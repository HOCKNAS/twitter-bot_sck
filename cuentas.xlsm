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Proyectos\Noa\twitter-bot_sck\"/>
    </mc:Choice>
  </mc:AlternateContent>
  <xr:revisionPtr revIDLastSave="0" documentId="13_ncr:1_{18750334-B387-440C-B22E-3D4F6FC90E1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OT" sheetId="7" r:id="rId1"/>
    <sheet name="Hombres" sheetId="1" r:id="rId2"/>
    <sheet name="Mujeres" sheetId="4" r:id="rId3"/>
    <sheet name="Dominios" sheetId="5" r:id="rId4"/>
    <sheet name="Celulares" sheetId="6" r:id="rId5"/>
    <sheet name="Frases" sheetId="3" r:id="rId6"/>
  </sheets>
  <functionGroups builtInGroupCount="19"/>
  <definedNames>
    <definedName name="_xlnm._FilterDatabase" localSheetId="2" hidden="1">Mujeres!$A$1:$M$543</definedName>
  </definedNames>
  <calcPr calcId="181029"/>
</workbook>
</file>

<file path=xl/calcChain.xml><?xml version="1.0" encoding="utf-8"?>
<calcChain xmlns="http://schemas.openxmlformats.org/spreadsheetml/2006/main">
  <c r="C2" i="5" l="1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" i="6"/>
  <c r="D3" i="5"/>
  <c r="D4" i="5"/>
  <c r="D5" i="5"/>
  <c r="D6" i="5"/>
  <c r="D7" i="5"/>
  <c r="D8" i="5"/>
  <c r="D9" i="5"/>
  <c r="D10" i="5"/>
  <c r="D11" i="5"/>
  <c r="E11" i="5" s="1"/>
  <c r="D12" i="5"/>
  <c r="D13" i="5"/>
  <c r="D14" i="5"/>
  <c r="D15" i="5"/>
  <c r="D16" i="5"/>
  <c r="D17" i="5"/>
  <c r="D18" i="5"/>
  <c r="D19" i="5"/>
  <c r="D20" i="5"/>
  <c r="D21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D3" i="6"/>
  <c r="E3" i="6" s="1"/>
  <c r="D4" i="6"/>
  <c r="E4" i="6" s="1"/>
  <c r="D5" i="6"/>
  <c r="E5" i="6" s="1"/>
  <c r="D6" i="6"/>
  <c r="E6" i="6" s="1"/>
  <c r="D7" i="6"/>
  <c r="D8" i="6"/>
  <c r="D9" i="6"/>
  <c r="D10" i="6"/>
  <c r="D11" i="6"/>
  <c r="D12" i="6"/>
  <c r="E12" i="6" s="1"/>
  <c r="D13" i="6"/>
  <c r="E13" i="6" s="1"/>
  <c r="D14" i="6"/>
  <c r="E14" i="6" s="1"/>
  <c r="D15" i="6"/>
  <c r="D16" i="6"/>
  <c r="D17" i="6"/>
  <c r="D18" i="6"/>
  <c r="D19" i="6"/>
  <c r="D20" i="6"/>
  <c r="D21" i="6"/>
  <c r="D2" i="6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E3" i="5"/>
  <c r="E4" i="5"/>
  <c r="E7" i="5"/>
  <c r="E9" i="5"/>
  <c r="E12" i="5"/>
  <c r="E20" i="5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2" i="4"/>
  <c r="E13" i="5" l="1"/>
  <c r="E5" i="5"/>
  <c r="E17" i="5"/>
  <c r="E8" i="5"/>
  <c r="E15" i="5"/>
  <c r="E15" i="6"/>
  <c r="E14" i="5"/>
  <c r="E7" i="6"/>
  <c r="E8" i="6"/>
  <c r="E17" i="6"/>
  <c r="E9" i="6"/>
  <c r="E6" i="5"/>
  <c r="E21" i="5"/>
  <c r="E16" i="6"/>
  <c r="E19" i="5"/>
  <c r="E18" i="5"/>
  <c r="E10" i="5"/>
  <c r="E16" i="5"/>
  <c r="E2" i="5"/>
  <c r="E21" i="6"/>
  <c r="E20" i="6"/>
  <c r="E19" i="6"/>
  <c r="E11" i="6"/>
  <c r="E18" i="6"/>
  <c r="E10" i="6"/>
  <c r="E2" i="6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143" i="4"/>
  <c r="G144" i="4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E31" i="5" l="1"/>
  <c r="E31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08" i="1"/>
  <c r="G109" i="1"/>
  <c r="G110" i="1"/>
  <c r="G111" i="1"/>
  <c r="G112" i="1"/>
  <c r="G113" i="1"/>
  <c r="G114" i="1"/>
  <c r="G107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2" i="4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2" i="1"/>
  <c r="K254" i="4" l="1" a="1"/>
  <c r="K396" i="4" a="1"/>
  <c r="K281" i="4" a="1"/>
  <c r="K42" i="4" a="1"/>
  <c r="K134" i="4" a="1"/>
  <c r="K299" i="4" a="1"/>
  <c r="K329" i="4" a="1"/>
  <c r="K318" i="4" a="1"/>
  <c r="K410" i="4" a="1"/>
  <c r="K39" i="4" a="1"/>
  <c r="I31" i="1" a="1"/>
  <c r="K475" i="1" a="1"/>
  <c r="I260" i="4" a="1"/>
  <c r="K524" i="4" a="1"/>
  <c r="K237" i="4" a="1"/>
  <c r="K444" i="4" a="1"/>
  <c r="K23" i="4" a="1"/>
  <c r="K221" i="4" a="1"/>
  <c r="K166" i="4" a="1"/>
  <c r="K303" i="4" a="1"/>
  <c r="K210" i="4" a="1"/>
  <c r="K492" i="4" a="1"/>
  <c r="K243" i="4" a="1"/>
  <c r="K296" i="4" a="1"/>
  <c r="K252" i="4" a="1"/>
  <c r="K11" i="4" a="1"/>
  <c r="K309" i="1" a="1"/>
  <c r="I402" i="1" a="1"/>
  <c r="I132" i="1" a="1"/>
  <c r="I56" i="1" a="1"/>
  <c r="I93" i="4" a="1"/>
  <c r="K434" i="1" a="1"/>
  <c r="K72" i="1" a="1"/>
  <c r="K273" i="1" a="1"/>
  <c r="K241" i="4" a="1"/>
  <c r="K14" i="4" a="1"/>
  <c r="K68" i="4" a="1"/>
  <c r="K366" i="4" a="1"/>
  <c r="K175" i="4" a="1"/>
  <c r="K330" i="4" a="1"/>
  <c r="K458" i="4" a="1"/>
  <c r="K154" i="4" a="1"/>
  <c r="K86" i="1" a="1"/>
  <c r="K17" i="4" a="1"/>
  <c r="K507" i="4" a="1"/>
  <c r="K332" i="4" a="1"/>
  <c r="K122" i="4" a="1"/>
  <c r="K452" i="4" a="1"/>
  <c r="K135" i="4" a="1"/>
  <c r="K438" i="4" a="1"/>
  <c r="K538" i="4" a="1"/>
  <c r="K219" i="1" a="1"/>
  <c r="K89" i="1" a="1"/>
  <c r="K221" i="1" a="1"/>
  <c r="K426" i="4" a="1"/>
  <c r="K63" i="4" a="1"/>
  <c r="K345" i="4" a="1"/>
  <c r="K439" i="4" a="1"/>
  <c r="K462" i="4" a="1"/>
  <c r="K20" i="4" a="1"/>
  <c r="K33" i="4" a="1"/>
  <c r="K67" i="4" a="1"/>
  <c r="K94" i="4" a="1"/>
  <c r="K405" i="4" a="1"/>
  <c r="K514" i="4" a="1"/>
  <c r="K58" i="4" a="1"/>
  <c r="K510" i="4" a="1"/>
  <c r="I41" i="1" a="1"/>
  <c r="K6" i="1" a="1"/>
  <c r="K484" i="1" a="1"/>
  <c r="K282" i="1" a="1"/>
  <c r="K321" i="1" a="1"/>
  <c r="I215" i="1" a="1"/>
  <c r="K336" i="1" a="1"/>
  <c r="I281" i="4" a="1"/>
  <c r="K388" i="4" a="1"/>
  <c r="K479" i="4" a="1"/>
  <c r="K295" i="4" a="1"/>
  <c r="K117" i="4" a="1"/>
  <c r="K472" i="4" a="1"/>
  <c r="K277" i="4" a="1"/>
  <c r="K312" i="4" a="1"/>
  <c r="K234" i="4" a="1"/>
  <c r="K91" i="1" a="1"/>
  <c r="I80" i="1" a="1"/>
  <c r="I134" i="1" a="1"/>
  <c r="K389" i="1" a="1"/>
  <c r="I306" i="4" a="1"/>
  <c r="K274" i="1" a="1"/>
  <c r="K378" i="1" a="1"/>
  <c r="I419" i="1" a="1"/>
  <c r="K37" i="4" a="1"/>
  <c r="K385" i="4" a="1"/>
  <c r="K69" i="4" a="1"/>
  <c r="K108" i="4" a="1"/>
  <c r="K360" i="4" a="1"/>
  <c r="K174" i="4" a="1"/>
  <c r="K337" i="4" a="1"/>
  <c r="K417" i="4" a="1"/>
  <c r="K328" i="4" a="1"/>
  <c r="K457" i="1" a="1"/>
  <c r="K335" i="1" a="1"/>
  <c r="K200" i="1" a="1"/>
  <c r="I94" i="1" a="1"/>
  <c r="K480" i="1" a="1"/>
  <c r="I298" i="1" a="1"/>
  <c r="I173" i="4" a="1"/>
  <c r="K244" i="4" a="1"/>
  <c r="K449" i="4" a="1"/>
  <c r="K386" i="4" a="1"/>
  <c r="K110" i="4" a="1"/>
  <c r="I511" i="4" a="1"/>
  <c r="K8" i="1" a="1"/>
  <c r="I366" i="4" a="1"/>
  <c r="I146" i="1" a="1"/>
  <c r="K313" i="1" a="1"/>
  <c r="K425" i="1" a="1"/>
  <c r="K275" i="1" a="1"/>
  <c r="I539" i="4" a="1"/>
  <c r="K411" i="1" a="1"/>
  <c r="I25" i="1" a="1"/>
  <c r="K289" i="1" a="1"/>
  <c r="I247" i="4" a="1"/>
  <c r="K480" i="4" a="1"/>
  <c r="K255" i="4" a="1"/>
  <c r="K350" i="4" a="1"/>
  <c r="K257" i="4" a="1"/>
  <c r="K60" i="1" a="1"/>
  <c r="I15" i="1" a="1"/>
  <c r="I106" i="4" a="1"/>
  <c r="I290" i="1" a="1"/>
  <c r="I322" i="1" a="1"/>
  <c r="I228" i="1" a="1"/>
  <c r="I458" i="4" a="1"/>
  <c r="K345" i="1" a="1"/>
  <c r="I528" i="4" a="1"/>
  <c r="I32" i="1" a="1"/>
  <c r="I161" i="4" a="1"/>
  <c r="I33" i="1" a="1"/>
  <c r="K148" i="4" a="1"/>
  <c r="K298" i="4" a="1"/>
  <c r="K521" i="4" a="1"/>
  <c r="K127" i="1" a="1"/>
  <c r="I24" i="4" a="1"/>
  <c r="I518" i="4" a="1"/>
  <c r="K196" i="1" a="1"/>
  <c r="I71" i="4" a="1"/>
  <c r="K450" i="1" a="1"/>
  <c r="K73" i="1" a="1"/>
  <c r="K112" i="1" a="1"/>
  <c r="I120" i="4" a="1"/>
  <c r="I358" i="1" a="1"/>
  <c r="I167" i="4" a="1"/>
  <c r="I344" i="1" a="1"/>
  <c r="K192" i="1" a="1"/>
  <c r="K511" i="4" a="1"/>
  <c r="K138" i="4" a="1"/>
  <c r="K227" i="4" a="1"/>
  <c r="K14" i="1" a="1"/>
  <c r="I503" i="4" a="1"/>
  <c r="K467" i="1" a="1"/>
  <c r="I151" i="4" a="1"/>
  <c r="I446" i="1" a="1"/>
  <c r="I340" i="4" a="1"/>
  <c r="I537" i="4" a="1"/>
  <c r="I360" i="4" a="1"/>
  <c r="K516" i="4" a="1"/>
  <c r="K190" i="4" a="1"/>
  <c r="K158" i="4" a="1"/>
  <c r="K485" i="4" a="1"/>
  <c r="K331" i="4" a="1"/>
  <c r="K456" i="4" a="1"/>
  <c r="K53" i="4" a="1"/>
  <c r="K541" i="4" a="1"/>
  <c r="K85" i="4" a="1"/>
  <c r="K461" i="4" a="1"/>
  <c r="K89" i="4" a="1"/>
  <c r="K99" i="4" a="1"/>
  <c r="K194" i="4" a="1"/>
  <c r="K533" i="4" a="1"/>
  <c r="K238" i="4" a="1"/>
  <c r="K371" i="4" a="1"/>
  <c r="K450" i="4" a="1"/>
  <c r="K272" i="4" a="1"/>
  <c r="K125" i="4" a="1"/>
  <c r="K407" i="4" a="1"/>
  <c r="K402" i="4" a="1"/>
  <c r="K57" i="4" a="1"/>
  <c r="K504" i="4" a="1"/>
  <c r="K192" i="4" a="1"/>
  <c r="I372" i="1" a="1"/>
  <c r="K327" i="1" a="1"/>
  <c r="K34" i="4" a="1"/>
  <c r="K280" i="4" a="1"/>
  <c r="K101" i="4" a="1"/>
  <c r="K408" i="4" a="1"/>
  <c r="K70" i="4" a="1"/>
  <c r="K279" i="4" a="1"/>
  <c r="K387" i="4" a="1"/>
  <c r="K118" i="4" a="1"/>
  <c r="K304" i="4" a="1"/>
  <c r="K327" i="4" a="1"/>
  <c r="K199" i="4" a="1"/>
  <c r="K428" i="4" a="1"/>
  <c r="K321" i="4" a="1"/>
  <c r="K179" i="4" a="1"/>
  <c r="K174" i="1" a="1"/>
  <c r="I129" i="1" a="1"/>
  <c r="I253" i="4" a="1"/>
  <c r="I149" i="4" a="1"/>
  <c r="K307" i="1" a="1"/>
  <c r="K143" i="1" a="1"/>
  <c r="I350" i="4" a="1"/>
  <c r="K341" i="4" a="1"/>
  <c r="K422" i="4" a="1"/>
  <c r="K224" i="4" a="1"/>
  <c r="K441" i="4" a="1"/>
  <c r="K362" i="4" a="1"/>
  <c r="K13" i="4" a="1"/>
  <c r="K416" i="4" a="1"/>
  <c r="K9" i="4" a="1"/>
  <c r="K309" i="4" a="1"/>
  <c r="I484" i="1" a="1"/>
  <c r="I352" i="1" a="1"/>
  <c r="I417" i="4" a="1"/>
  <c r="I104" i="4" a="1"/>
  <c r="I26" i="1" a="1"/>
  <c r="I188" i="1" a="1"/>
  <c r="K458" i="1" a="1"/>
  <c r="K26" i="4" a="1"/>
  <c r="K48" i="4" a="1"/>
  <c r="K61" i="4" a="1"/>
  <c r="K95" i="4" a="1"/>
  <c r="K502" i="4" a="1"/>
  <c r="K96" i="4" a="1"/>
  <c r="K288" i="4" a="1"/>
  <c r="K10" i="4" a="1"/>
  <c r="K6" i="4" a="1"/>
  <c r="K410" i="1" a="1"/>
  <c r="I76" i="1" a="1"/>
  <c r="I302" i="1" a="1"/>
  <c r="I35" i="4" a="1"/>
  <c r="I143" i="1" a="1"/>
  <c r="K465" i="1" a="1"/>
  <c r="I381" i="4" a="1"/>
  <c r="I331" i="1" a="1"/>
  <c r="K274" i="4" a="1"/>
  <c r="K246" i="4" a="1"/>
  <c r="K334" i="4" a="1"/>
  <c r="I450" i="1" a="1"/>
  <c r="K379" i="1" a="1"/>
  <c r="I203" i="4" a="1"/>
  <c r="K204" i="1" a="1"/>
  <c r="I53" i="1" a="1"/>
  <c r="I88" i="4" a="1"/>
  <c r="I217" i="4" a="1"/>
  <c r="I365" i="1" a="1"/>
  <c r="I393" i="4" a="1"/>
  <c r="I287" i="4" a="1"/>
  <c r="I100" i="1" a="1"/>
  <c r="K68" i="1" a="1"/>
  <c r="I424" i="1" a="1"/>
  <c r="K519" i="4" a="1"/>
  <c r="K106" i="4" a="1"/>
  <c r="K250" i="4" a="1"/>
  <c r="I448" i="4" a="1"/>
  <c r="I341" i="1" a="1"/>
  <c r="K384" i="1" a="1"/>
  <c r="K386" i="1" a="1"/>
  <c r="K360" i="1" a="1"/>
  <c r="K188" i="1" a="1"/>
  <c r="K57" i="1" a="1"/>
  <c r="I323" i="4" a="1"/>
  <c r="I85" i="4" a="1"/>
  <c r="I83" i="1" a="1"/>
  <c r="K238" i="1" a="1"/>
  <c r="K16" i="1" a="1"/>
  <c r="K71" i="4" a="1"/>
  <c r="K431" i="4" a="1"/>
  <c r="K267" i="4" a="1"/>
  <c r="K346" i="4" a="1"/>
  <c r="K184" i="1" a="1"/>
  <c r="K133" i="1" a="1"/>
  <c r="I394" i="4" a="1"/>
  <c r="I263" i="4" a="1"/>
  <c r="K171" i="1" a="1"/>
  <c r="K22" i="4" a="1"/>
  <c r="K415" i="4" a="1"/>
  <c r="K282" i="4" a="1"/>
  <c r="K273" i="4" a="1"/>
  <c r="I419" i="4" a="1"/>
  <c r="I69" i="4" a="1"/>
  <c r="K165" i="4" a="1"/>
  <c r="K383" i="4" a="1"/>
  <c r="K90" i="4" a="1"/>
  <c r="K517" i="4" a="1"/>
  <c r="K310" i="4" a="1"/>
  <c r="K171" i="4" a="1"/>
  <c r="K368" i="4" a="1"/>
  <c r="K525" i="4" a="1"/>
  <c r="K341" i="1" a="1"/>
  <c r="I324" i="1" a="1"/>
  <c r="K4" i="1" a="1"/>
  <c r="I379" i="1" a="1"/>
  <c r="I349" i="1" a="1"/>
  <c r="K515" i="4" a="1"/>
  <c r="K323" i="4" a="1"/>
  <c r="K81" i="4" a="1"/>
  <c r="K529" i="4" a="1"/>
  <c r="K518" i="4" a="1"/>
  <c r="I402" i="4" a="1"/>
  <c r="I459" i="4" a="1"/>
  <c r="I244" i="1" a="1"/>
  <c r="I190" i="4" a="1"/>
  <c r="I27" i="1" a="1"/>
  <c r="K434" i="4" a="1"/>
  <c r="K232" i="4" a="1"/>
  <c r="K265" i="4" a="1"/>
  <c r="K285" i="4" a="1"/>
  <c r="K283" i="4" a="1"/>
  <c r="K376" i="4" a="1"/>
  <c r="K317" i="4" a="1"/>
  <c r="K448" i="4" a="1"/>
  <c r="I342" i="1" a="1"/>
  <c r="I445" i="4" a="1"/>
  <c r="I5" i="1" a="1"/>
  <c r="K239" i="1" a="1"/>
  <c r="I376" i="4" a="1"/>
  <c r="K289" i="4" a="1"/>
  <c r="K336" i="4" a="1"/>
  <c r="K469" i="4" a="1"/>
  <c r="I480" i="1" a="1"/>
  <c r="I158" i="1" a="1"/>
  <c r="K325" i="1" a="1"/>
  <c r="I140" i="1" a="1"/>
  <c r="K446" i="1" a="1"/>
  <c r="I178" i="4" a="1"/>
  <c r="I451" i="4" a="1"/>
  <c r="I354" i="1" a="1"/>
  <c r="K81" i="1" a="1"/>
  <c r="K82" i="4" a="1"/>
  <c r="K177" i="4" a="1"/>
  <c r="K496" i="4" a="1"/>
  <c r="I261" i="1" a="1"/>
  <c r="K381" i="1" a="1"/>
  <c r="K94" i="1" a="1"/>
  <c r="I453" i="4" a="1"/>
  <c r="I390" i="4" a="1"/>
  <c r="K255" i="1" a="1"/>
  <c r="I381" i="1" a="1"/>
  <c r="I212" i="4" a="1"/>
  <c r="K352" i="1" a="1"/>
  <c r="K253" i="4" a="1"/>
  <c r="K508" i="4" a="1"/>
  <c r="K400" i="1" a="1"/>
  <c r="K299" i="1" a="1"/>
  <c r="I534" i="4" a="1"/>
  <c r="I376" i="1" a="1"/>
  <c r="I191" i="1" a="1"/>
  <c r="K487" i="4" a="1"/>
  <c r="K401" i="4" a="1"/>
  <c r="K325" i="4" a="1"/>
  <c r="K209" i="4" a="1"/>
  <c r="I205" i="1" a="1"/>
  <c r="I155" i="1" a="1"/>
  <c r="K43" i="4" a="1"/>
  <c r="K247" i="4" a="1"/>
  <c r="K162" i="4" a="1"/>
  <c r="K276" i="4" a="1"/>
  <c r="K537" i="4" a="1"/>
  <c r="K352" i="4" a="1"/>
  <c r="K269" i="4" a="1"/>
  <c r="K197" i="4" a="1"/>
  <c r="K394" i="1" a="1"/>
  <c r="K121" i="1" a="1"/>
  <c r="I478" i="1" a="1"/>
  <c r="I36" i="1" a="1"/>
  <c r="I318" i="1" a="1"/>
  <c r="K540" i="4" a="1"/>
  <c r="K193" i="4" a="1"/>
  <c r="K399" i="4" a="1"/>
  <c r="K77" i="4" a="1"/>
  <c r="K40" i="4" a="1"/>
  <c r="K180" i="1" a="1"/>
  <c r="I206" i="1" a="1"/>
  <c r="I433" i="1" a="1"/>
  <c r="I86" i="1" a="1"/>
  <c r="K370" i="1" a="1"/>
  <c r="K153" i="4" a="1"/>
  <c r="K268" i="4" a="1"/>
  <c r="K404" i="4" a="1"/>
  <c r="K478" i="4" a="1"/>
  <c r="K316" i="4" a="1"/>
  <c r="K429" i="4" a="1"/>
  <c r="K52" i="4" a="1"/>
  <c r="K245" i="1" a="1"/>
  <c r="I42" i="4" a="1"/>
  <c r="I510" i="4" a="1"/>
  <c r="K395" i="1" a="1"/>
  <c r="K235" i="1" a="1"/>
  <c r="I488" i="4" a="1"/>
  <c r="K391" i="4" a="1"/>
  <c r="K206" i="4" a="1"/>
  <c r="K311" i="4" a="1"/>
  <c r="I12" i="1" a="1"/>
  <c r="I409" i="1" a="1"/>
  <c r="I259" i="4" a="1"/>
  <c r="I501" i="4" a="1"/>
  <c r="K440" i="1" a="1"/>
  <c r="I166" i="4" a="1"/>
  <c r="I89" i="1" a="1"/>
  <c r="K93" i="1" a="1"/>
  <c r="I463" i="4" a="1"/>
  <c r="K308" i="4" a="1"/>
  <c r="K315" i="4" a="1"/>
  <c r="I200" i="1" a="1"/>
  <c r="I330" i="4" a="1"/>
  <c r="I235" i="1" a="1"/>
  <c r="I303" i="1" a="1"/>
  <c r="I130" i="1" a="1"/>
  <c r="K33" i="1" a="1"/>
  <c r="I358" i="4" a="1"/>
  <c r="I34" i="1" a="1"/>
  <c r="K414" i="4" a="1"/>
  <c r="K226" i="4" a="1"/>
  <c r="K105" i="4" a="1"/>
  <c r="K353" i="4" a="1"/>
  <c r="I265" i="1" a="1"/>
  <c r="I423" i="4" a="1"/>
  <c r="K294" i="4" a="1"/>
  <c r="K127" i="4" a="1"/>
  <c r="K55" i="4" a="1"/>
  <c r="K412" i="4" a="1"/>
  <c r="K176" i="4" a="1"/>
  <c r="K477" i="4" a="1"/>
  <c r="K520" i="4" a="1"/>
  <c r="K361" i="4" a="1"/>
  <c r="K416" i="1" a="1"/>
  <c r="K75" i="1" a="1"/>
  <c r="I448" i="1" a="1"/>
  <c r="I367" i="4" a="1"/>
  <c r="K292" i="4" a="1"/>
  <c r="K442" i="4" a="1"/>
  <c r="K146" i="4" a="1"/>
  <c r="K213" i="4" a="1"/>
  <c r="K390" i="4" a="1"/>
  <c r="K445" i="4" a="1"/>
  <c r="K115" i="1" a="1"/>
  <c r="I250" i="1" a="1"/>
  <c r="I289" i="1" a="1"/>
  <c r="I169" i="1" a="1"/>
  <c r="I82" i="1" a="1"/>
  <c r="K471" i="4" a="1"/>
  <c r="K215" i="4" a="1"/>
  <c r="K229" i="4" a="1"/>
  <c r="K536" i="4" a="1"/>
  <c r="K393" i="4" a="1"/>
  <c r="K403" i="4" a="1"/>
  <c r="K347" i="4" a="1"/>
  <c r="K285" i="1" a="1"/>
  <c r="I295" i="4" a="1"/>
  <c r="I372" i="4" a="1"/>
  <c r="K290" i="1" a="1"/>
  <c r="I75" i="1" a="1"/>
  <c r="I176" i="1" a="1"/>
  <c r="K46" i="4" a="1"/>
  <c r="K443" i="4" a="1"/>
  <c r="K220" i="4" a="1"/>
  <c r="K153" i="1" a="1"/>
  <c r="K375" i="1" a="1"/>
  <c r="K10" i="1" a="1"/>
  <c r="K301" i="1" a="1"/>
  <c r="I317" i="1" a="1"/>
  <c r="K459" i="1" a="1"/>
  <c r="I360" i="1" a="1"/>
  <c r="K298" i="1" a="1"/>
  <c r="K79" i="1" a="1"/>
  <c r="K465" i="4" a="1"/>
  <c r="K324" i="4" a="1"/>
  <c r="I29" i="1" a="1"/>
  <c r="I58" i="4" a="1"/>
  <c r="I268" i="4" a="1"/>
  <c r="K208" i="1" a="1"/>
  <c r="I301" i="4" a="1"/>
  <c r="I238" i="4" a="1"/>
  <c r="K452" i="1" a="1"/>
  <c r="K250" i="1" a="1"/>
  <c r="K532" i="4" a="1"/>
  <c r="K370" i="4" a="1"/>
  <c r="K203" i="4" a="1"/>
  <c r="K270" i="4" a="1"/>
  <c r="K433" i="1" a="1"/>
  <c r="K499" i="4" a="1"/>
  <c r="K542" i="4" a="1"/>
  <c r="K543" i="4" a="1"/>
  <c r="K56" i="4" a="1"/>
  <c r="K351" i="4" a="1"/>
  <c r="K275" i="4" a="1"/>
  <c r="K196" i="4" a="1"/>
  <c r="K137" i="4" a="1"/>
  <c r="K501" i="4" a="1"/>
  <c r="I219" i="1" a="1"/>
  <c r="I420" i="1" a="1"/>
  <c r="I37" i="4" a="1"/>
  <c r="I441" i="4" a="1"/>
  <c r="K25" i="4" a="1"/>
  <c r="K301" i="4" a="1"/>
  <c r="K392" i="4" a="1"/>
  <c r="K7" i="4" a="1"/>
  <c r="K66" i="4" a="1"/>
  <c r="K373" i="4" a="1"/>
  <c r="I145" i="4" a="1"/>
  <c r="K52" i="1" a="1"/>
  <c r="K144" i="1" a="1"/>
  <c r="I112" i="4" a="1"/>
  <c r="I172" i="1" a="1"/>
  <c r="K491" i="4" a="1"/>
  <c r="K339" i="4" a="1"/>
  <c r="K75" i="4" a="1"/>
  <c r="K394" i="4" a="1"/>
  <c r="K451" i="4" a="1"/>
  <c r="K49" i="4" a="1"/>
  <c r="K31" i="4" a="1"/>
  <c r="I123" i="1" a="1"/>
  <c r="I207" i="4" a="1"/>
  <c r="I174" i="4" a="1"/>
  <c r="I137" i="1" a="1"/>
  <c r="K373" i="1" a="1"/>
  <c r="K187" i="1" a="1"/>
  <c r="K286" i="4" a="1"/>
  <c r="K375" i="4" a="1"/>
  <c r="I368" i="1" a="1"/>
  <c r="I412" i="4" a="1"/>
  <c r="I399" i="1" a="1"/>
  <c r="I244" i="4" a="1"/>
  <c r="I234" i="1" a="1"/>
  <c r="I162" i="4" a="1"/>
  <c r="I493" i="4" a="1"/>
  <c r="I335" i="4" a="1"/>
  <c r="I487" i="4" a="1"/>
  <c r="I454" i="1" a="1"/>
  <c r="K464" i="4" a="1"/>
  <c r="K455" i="4" a="1"/>
  <c r="K233" i="1" a="1"/>
  <c r="K443" i="1" a="1"/>
  <c r="I50" i="4" a="1"/>
  <c r="I441" i="1" a="1"/>
  <c r="I49" i="1" a="1"/>
  <c r="I197" i="1" a="1"/>
  <c r="I10" i="1" a="1"/>
  <c r="I333" i="4" a="1"/>
  <c r="I533" i="4" a="1"/>
  <c r="K263" i="4" a="1"/>
  <c r="K3" i="4" a="1"/>
  <c r="K195" i="4" a="1"/>
  <c r="I64" i="1" a="1"/>
  <c r="K269" i="1" a="1"/>
  <c r="K138" i="1" a="1"/>
  <c r="I506" i="4" a="1"/>
  <c r="I257" i="1" a="1"/>
  <c r="I357" i="1" a="1"/>
  <c r="I246" i="1" a="1"/>
  <c r="I535" i="4" a="1"/>
  <c r="K326" i="1" a="1"/>
  <c r="I225" i="4" a="1"/>
  <c r="K116" i="4" a="1"/>
  <c r="K432" i="4" a="1"/>
  <c r="K126" i="4" a="1"/>
  <c r="I236" i="1" a="1"/>
  <c r="K124" i="1" a="1"/>
  <c r="K270" i="1" a="1"/>
  <c r="I251" i="4" a="1"/>
  <c r="I184" i="1" a="1"/>
  <c r="I430" i="1" a="1"/>
  <c r="I371" i="1" a="1"/>
  <c r="K217" i="4" a="1"/>
  <c r="K302" i="4" a="1"/>
  <c r="K500" i="4" a="1"/>
  <c r="I27" i="4" a="1"/>
  <c r="K197" i="1" a="1"/>
  <c r="I33" i="4" a="1"/>
  <c r="I270" i="4" a="1"/>
  <c r="K426" i="1" a="1"/>
  <c r="I247" i="1" a="1"/>
  <c r="K31" i="1" a="1"/>
  <c r="I114" i="1" a="1"/>
  <c r="I159" i="4" a="1"/>
  <c r="K326" i="4" a="1"/>
  <c r="K119" i="4" a="1"/>
  <c r="K149" i="4" a="1"/>
  <c r="K5" i="4" a="1"/>
  <c r="K128" i="1" a="1"/>
  <c r="K175" i="1" a="1"/>
  <c r="I136" i="4" a="1"/>
  <c r="I451" i="1" a="1"/>
  <c r="K243" i="1" a="1"/>
  <c r="I70" i="1" a="1"/>
  <c r="I407" i="4" a="1"/>
  <c r="I300" i="4" a="1"/>
  <c r="I65" i="1" a="1"/>
  <c r="I193" i="1" a="1"/>
  <c r="K286" i="1" a="1"/>
  <c r="K157" i="1" a="1"/>
  <c r="K332" i="1" a="1"/>
  <c r="I142" i="4" a="1"/>
  <c r="I296" i="1" a="1"/>
  <c r="I264" i="1" a="1"/>
  <c r="I140" i="4" a="1"/>
  <c r="I20" i="1" a="1"/>
  <c r="K80" i="1" a="1"/>
  <c r="I423" i="1" a="1"/>
  <c r="I77" i="4" a="1"/>
  <c r="I163" i="4" a="1"/>
  <c r="I194" i="4" a="1"/>
  <c r="I185" i="4" a="1"/>
  <c r="K76" i="4" a="1"/>
  <c r="K109" i="4" a="1"/>
  <c r="K287" i="4" a="1"/>
  <c r="K222" i="4" a="1"/>
  <c r="I442" i="4" a="1"/>
  <c r="K406" i="4" a="1"/>
  <c r="K132" i="4" a="1"/>
  <c r="K459" i="4" a="1"/>
  <c r="K84" i="4" a="1"/>
  <c r="K488" i="4" a="1"/>
  <c r="K467" i="4" a="1"/>
  <c r="K421" i="4" a="1"/>
  <c r="K291" i="4" a="1"/>
  <c r="K400" i="4" a="1"/>
  <c r="I78" i="1" a="1"/>
  <c r="I141" i="4" a="1"/>
  <c r="K463" i="1" a="1"/>
  <c r="I262" i="1" a="1"/>
  <c r="K45" i="4" a="1"/>
  <c r="K151" i="4" a="1"/>
  <c r="K307" i="4" a="1"/>
  <c r="K225" i="4" a="1"/>
  <c r="K51" i="4" a="1"/>
  <c r="K477" i="1" a="1"/>
  <c r="I215" i="4" a="1"/>
  <c r="K186" i="1" a="1"/>
  <c r="K3" i="1" a="1"/>
  <c r="I343" i="1" a="1"/>
  <c r="I170" i="4" a="1"/>
  <c r="K398" i="4" a="1"/>
  <c r="K313" i="4" a="1"/>
  <c r="K342" i="4" a="1"/>
  <c r="K155" i="4" a="1"/>
  <c r="K248" i="4" a="1"/>
  <c r="K164" i="4" a="1"/>
  <c r="K369" i="4" a="1"/>
  <c r="K402" i="1" a="1"/>
  <c r="K203" i="1" a="1"/>
  <c r="K291" i="1" a="1"/>
  <c r="I273" i="1" a="1"/>
  <c r="I438" i="4" a="1"/>
  <c r="K102" i="1" a="1"/>
  <c r="K384" i="4" a="1"/>
  <c r="K483" i="4" a="1"/>
  <c r="K348" i="1" a="1"/>
  <c r="K97" i="1" a="1"/>
  <c r="I464" i="1" a="1"/>
  <c r="K164" i="1" a="1"/>
  <c r="I226" i="1" a="1"/>
  <c r="I378" i="4" a="1"/>
  <c r="I138" i="1" a="1"/>
  <c r="I380" i="1" a="1"/>
  <c r="I11" i="4" a="1"/>
  <c r="K262" i="4" a="1"/>
  <c r="K91" i="4" a="1"/>
  <c r="K523" i="4" a="1"/>
  <c r="K247" i="1" a="1"/>
  <c r="I132" i="4" a="1"/>
  <c r="I505" i="4" a="1"/>
  <c r="I59" i="4" a="1"/>
  <c r="I141" i="1" a="1"/>
  <c r="K314" i="1" a="1"/>
  <c r="K211" i="1" a="1"/>
  <c r="I432" i="4" a="1"/>
  <c r="I275" i="1" a="1"/>
  <c r="K36" i="4" a="1"/>
  <c r="K123" i="4" a="1"/>
  <c r="K473" i="4" a="1"/>
  <c r="K145" i="1" a="1"/>
  <c r="I431" i="4" a="1"/>
  <c r="K344" i="1" a="1"/>
  <c r="I224" i="1" a="1"/>
  <c r="K251" i="1" a="1"/>
  <c r="I418" i="1" a="1"/>
  <c r="K92" i="1" a="1"/>
  <c r="I45" i="1" a="1"/>
  <c r="K215" i="1" a="1"/>
  <c r="K272" i="1" a="1"/>
  <c r="K482" i="4" a="1"/>
  <c r="K223" i="4" a="1"/>
  <c r="K142" i="4" a="1"/>
  <c r="K374" i="1" a="1"/>
  <c r="K177" i="1" a="1"/>
  <c r="I48" i="4" a="1"/>
  <c r="I269" i="4" a="1"/>
  <c r="K69" i="1" a="1"/>
  <c r="I351" i="4" a="1"/>
  <c r="I452" i="4" a="1"/>
  <c r="K365" i="4" a="1"/>
  <c r="K83" i="4" a="1"/>
  <c r="K344" i="4" a="1"/>
  <c r="K65" i="1" a="1"/>
  <c r="I507" i="4" a="1"/>
  <c r="I502" i="4" a="1"/>
  <c r="I254" i="4" a="1"/>
  <c r="I273" i="4" a="1"/>
  <c r="I486" i="1" a="1"/>
  <c r="K431" i="1" a="1"/>
  <c r="I263" i="1" a="1"/>
  <c r="I345" i="1" a="1"/>
  <c r="K64" i="4" a="1"/>
  <c r="K181" i="4" a="1"/>
  <c r="K188" i="4" a="1"/>
  <c r="K424" i="4" a="1"/>
  <c r="I147" i="4" a="1"/>
  <c r="K305" i="4" a="1"/>
  <c r="K427" i="4" a="1"/>
  <c r="K18" i="4" a="1"/>
  <c r="K382" i="4" a="1"/>
  <c r="K167" i="1" a="1"/>
  <c r="K145" i="4" a="1"/>
  <c r="K419" i="4" a="1"/>
  <c r="K437" i="4" a="1"/>
  <c r="K349" i="4" a="1"/>
  <c r="K103" i="4" a="1"/>
  <c r="K440" i="4" a="1"/>
  <c r="K245" i="4" a="1"/>
  <c r="K178" i="4" a="1"/>
  <c r="K461" i="1" a="1"/>
  <c r="K51" i="1" a="1"/>
  <c r="K142" i="1" a="1"/>
  <c r="I7" i="4" a="1"/>
  <c r="I92" i="1" a="1"/>
  <c r="K363" i="4" a="1"/>
  <c r="K343" i="4" a="1"/>
  <c r="K435" i="4" a="1"/>
  <c r="K115" i="4" a="1"/>
  <c r="K32" i="4" a="1"/>
  <c r="I165" i="4" a="1"/>
  <c r="I453" i="1" a="1"/>
  <c r="K303" i="1" a="1"/>
  <c r="I314" i="4" a="1"/>
  <c r="I216" i="4" a="1"/>
  <c r="K310" i="1" a="1"/>
  <c r="K21" i="4" a="1"/>
  <c r="K41" i="4" a="1"/>
  <c r="K88" i="4" a="1"/>
  <c r="K184" i="4" a="1"/>
  <c r="K374" i="4" a="1"/>
  <c r="K38" i="4" a="1"/>
  <c r="K150" i="4" a="1"/>
  <c r="I109" i="4" a="1"/>
  <c r="I278" i="4" a="1"/>
  <c r="I449" i="1" a="1"/>
  <c r="I65" i="4" a="1"/>
  <c r="K90" i="1" a="1"/>
  <c r="K136" i="4" a="1"/>
  <c r="K161" i="4" a="1"/>
  <c r="K201" i="4" a="1"/>
  <c r="K9" i="1" a="1"/>
  <c r="I187" i="1" a="1"/>
  <c r="I98" i="1" a="1"/>
  <c r="I227" i="4" a="1"/>
  <c r="K179" i="1" a="1"/>
  <c r="I171" i="1" a="1"/>
  <c r="I468" i="4" a="1"/>
  <c r="I238" i="1" a="1"/>
  <c r="I258" i="1" a="1"/>
  <c r="K19" i="4" a="1"/>
  <c r="K242" i="4" a="1"/>
  <c r="K80" i="4" a="1"/>
  <c r="I172" i="4" a="1"/>
  <c r="I480" i="4" a="1"/>
  <c r="K168" i="1" a="1"/>
  <c r="K160" i="1" a="1"/>
  <c r="I30" i="4" a="1"/>
  <c r="I276" i="1" a="1"/>
  <c r="K223" i="1" a="1"/>
  <c r="K214" i="1" a="1"/>
  <c r="I524" i="4" a="1"/>
  <c r="K354" i="4" a="1"/>
  <c r="K494" i="4" a="1"/>
  <c r="K4" i="4" a="1"/>
  <c r="K267" i="1" a="1"/>
  <c r="I383" i="1" a="1"/>
  <c r="I422" i="1" a="1"/>
  <c r="I126" i="1" a="1"/>
  <c r="K389" i="4" a="1"/>
  <c r="K107" i="4" a="1"/>
  <c r="K59" i="4" a="1"/>
  <c r="I338" i="4" a="1"/>
  <c r="I321" i="1" a="1"/>
  <c r="K259" i="4" a="1"/>
  <c r="K65" i="4" a="1"/>
  <c r="K535" i="4" a="1"/>
  <c r="K140" i="4" a="1"/>
  <c r="K233" i="4" a="1"/>
  <c r="K124" i="4" a="1"/>
  <c r="K486" i="4" a="1"/>
  <c r="K271" i="4" a="1"/>
  <c r="K401" i="1" a="1"/>
  <c r="K387" i="1" a="1"/>
  <c r="I124" i="4" a="1"/>
  <c r="I426" i="4" a="1"/>
  <c r="I127" i="4" a="1"/>
  <c r="K50" i="4" a="1"/>
  <c r="K261" i="4" a="1"/>
  <c r="K460" i="4" a="1"/>
  <c r="K78" i="4" a="1"/>
  <c r="K129" i="4" a="1"/>
  <c r="I449" i="4" a="1"/>
  <c r="I133" i="4" a="1"/>
  <c r="K5" i="1" a="1"/>
  <c r="K338" i="1" a="1"/>
  <c r="K311" i="1" a="1"/>
  <c r="K149" i="1" a="1"/>
  <c r="K28" i="4" a="1"/>
  <c r="K379" i="4" a="1"/>
  <c r="K214" i="4" a="1"/>
  <c r="K413" i="4" a="1"/>
  <c r="K114" i="4" a="1"/>
  <c r="K87" i="4" a="1"/>
  <c r="K355" i="4" a="1"/>
  <c r="K104" i="1" a="1"/>
  <c r="K43" i="1" a="1"/>
  <c r="K20" i="1" a="1"/>
  <c r="I6" i="4" a="1"/>
  <c r="K292" i="1" a="1"/>
  <c r="K183" i="4" a="1"/>
  <c r="K236" i="4" a="1"/>
  <c r="K513" i="4" a="1"/>
  <c r="I230" i="1" a="1"/>
  <c r="I185" i="1" a="1"/>
  <c r="I287" i="1" a="1"/>
  <c r="K56" i="1" a="1"/>
  <c r="I103" i="1" a="1"/>
  <c r="K376" i="1" a="1"/>
  <c r="I476" i="4" a="1"/>
  <c r="I428" i="4" a="1"/>
  <c r="I388" i="1" a="1"/>
  <c r="K35" i="4" a="1"/>
  <c r="K121" i="4" a="1"/>
  <c r="K258" i="4" a="1"/>
  <c r="I12" i="4" a="1"/>
  <c r="I90" i="1" a="1"/>
  <c r="K234" i="1" a="1"/>
  <c r="I311" i="1" a="1"/>
  <c r="I337" i="4" a="1"/>
  <c r="I219" i="4" a="1"/>
  <c r="I108" i="1" a="1"/>
  <c r="I474" i="1" a="1"/>
  <c r="K123" i="1" a="1"/>
  <c r="K423" i="4" a="1"/>
  <c r="K395" i="4" a="1"/>
  <c r="I462" i="4" a="1"/>
  <c r="K55" i="1" a="1"/>
  <c r="I121" i="1" a="1"/>
  <c r="K253" i="1" a="1"/>
  <c r="K191" i="1" a="1"/>
  <c r="I421" i="4" a="1"/>
  <c r="I446" i="4" a="1"/>
  <c r="K84" i="1" a="1"/>
  <c r="I270" i="1" a="1"/>
  <c r="I46" i="1" a="1"/>
  <c r="K534" i="4" a="1"/>
  <c r="K102" i="4" a="1"/>
  <c r="K239" i="4" a="1"/>
  <c r="K380" i="4" a="1"/>
  <c r="K260" i="1" a="1"/>
  <c r="I14" i="4" a="1"/>
  <c r="I186" i="4" a="1"/>
  <c r="I442" i="1" a="1"/>
  <c r="I377" i="4" a="1"/>
  <c r="I143" i="4" a="1"/>
  <c r="K34" i="1" a="1"/>
  <c r="K74" i="4" a="1"/>
  <c r="K364" i="4" a="1"/>
  <c r="K231" i="4" a="1"/>
  <c r="I36" i="4" a="1"/>
  <c r="I491" i="4" a="1"/>
  <c r="K64" i="1" a="1"/>
  <c r="I314" i="1" a="1"/>
  <c r="K225" i="1" a="1"/>
  <c r="K162" i="1" a="1"/>
  <c r="I312" i="1" a="1"/>
  <c r="I157" i="1" a="1"/>
  <c r="K83" i="1" a="1"/>
  <c r="K474" i="4" a="1"/>
  <c r="K493" i="4" a="1"/>
  <c r="K100" i="4" a="1"/>
  <c r="K347" i="1" a="1"/>
  <c r="K439" i="1" a="1"/>
  <c r="I396" i="4" a="1"/>
  <c r="K276" i="1" a="1"/>
  <c r="K199" i="1" a="1"/>
  <c r="I136" i="1" a="1"/>
  <c r="K405" i="1" a="1"/>
  <c r="I112" i="1" a="1"/>
  <c r="K152" i="1" a="1"/>
  <c r="I49" i="4" a="1"/>
  <c r="I312" i="4" a="1"/>
  <c r="I485" i="1" a="1"/>
  <c r="K527" i="4" a="1"/>
  <c r="I195" i="4" a="1"/>
  <c r="K218" i="1" a="1"/>
  <c r="I221" i="4" a="1"/>
  <c r="I80" i="4" a="1"/>
  <c r="I57" i="4" a="1"/>
  <c r="I481" i="1" a="1"/>
  <c r="I223" i="4" a="1"/>
  <c r="I6" i="1" a="1"/>
  <c r="I171" i="4" a="1"/>
  <c r="I182" i="4" a="1"/>
  <c r="I76" i="4" a="1"/>
  <c r="K211" i="4" a="1"/>
  <c r="K219" i="4" a="1"/>
  <c r="I406" i="1" a="1"/>
  <c r="K169" i="1" a="1"/>
  <c r="K256" i="4" a="1"/>
  <c r="K39" i="1" a="1"/>
  <c r="K391" i="1" a="1"/>
  <c r="I266" i="1" a="1"/>
  <c r="I452" i="1" a="1"/>
  <c r="K167" i="4" a="1"/>
  <c r="I153" i="4" a="1"/>
  <c r="I234" i="4" a="1"/>
  <c r="K358" i="1" a="1"/>
  <c r="I326" i="1" a="1"/>
  <c r="I525" i="4" a="1"/>
  <c r="K93" i="4" a="1"/>
  <c r="K475" i="4" a="1"/>
  <c r="I435" i="1" a="1"/>
  <c r="I118" i="1" a="1"/>
  <c r="K135" i="1" a="1"/>
  <c r="I156" i="4" a="1"/>
  <c r="I364" i="4" a="1"/>
  <c r="K104" i="4" a="1"/>
  <c r="I213" i="4" a="1"/>
  <c r="K380" i="1" a="1"/>
  <c r="K430" i="1" a="1"/>
  <c r="K485" i="1" a="1"/>
  <c r="I66" i="4" a="1"/>
  <c r="K217" i="1" a="1"/>
  <c r="K130" i="4" a="1"/>
  <c r="K466" i="4" a="1"/>
  <c r="I2" i="1" a="1"/>
  <c r="I89" i="4" a="1"/>
  <c r="K109" i="1" a="1"/>
  <c r="K293" i="1" a="1"/>
  <c r="K205" i="1" a="1"/>
  <c r="I411" i="1" a="1"/>
  <c r="I135" i="4" a="1"/>
  <c r="I440" i="4" a="1"/>
  <c r="I311" i="4" a="1"/>
  <c r="K290" i="4" a="1"/>
  <c r="I111" i="1" a="1"/>
  <c r="I32" i="4" a="1"/>
  <c r="K300" i="1" a="1"/>
  <c r="I17" i="1" a="1"/>
  <c r="K268" i="1" a="1"/>
  <c r="I130" i="4" a="1"/>
  <c r="I289" i="4" a="1"/>
  <c r="I532" i="4" a="1"/>
  <c r="K279" i="1" a="1"/>
  <c r="I87" i="1" a="1"/>
  <c r="I526" i="4" a="1"/>
  <c r="K119" i="1" a="1"/>
  <c r="K216" i="4" a="1"/>
  <c r="I307" i="1" a="1"/>
  <c r="I22" i="1" a="1"/>
  <c r="I146" i="4" a="1"/>
  <c r="I78" i="4" a="1"/>
  <c r="K296" i="1" a="1"/>
  <c r="I102" i="1" a="1"/>
  <c r="I7" i="1" a="1"/>
  <c r="K30" i="1" a="1"/>
  <c r="I405" i="4" a="1"/>
  <c r="K377" i="1" a="1"/>
  <c r="I327" i="4" a="1"/>
  <c r="K8" i="4" a="1"/>
  <c r="K476" i="4" a="1"/>
  <c r="I416" i="4" a="1"/>
  <c r="I384" i="4" a="1"/>
  <c r="I74" i="1" a="1"/>
  <c r="I183" i="4" a="1"/>
  <c r="I120" i="1" a="1"/>
  <c r="I404" i="1" a="1"/>
  <c r="I267" i="4" a="1"/>
  <c r="K278" i="1" a="1"/>
  <c r="K297" i="1" a="1"/>
  <c r="I122" i="1" a="1"/>
  <c r="K189" i="1" a="1"/>
  <c r="I455" i="4" a="1"/>
  <c r="I54" i="4" a="1"/>
  <c r="I83" i="4" a="1"/>
  <c r="I108" i="4" a="1"/>
  <c r="K278" i="4" a="1"/>
  <c r="K316" i="1" a="1"/>
  <c r="I414" i="1" a="1"/>
  <c r="K306" i="1" a="1"/>
  <c r="I258" i="4" a="1"/>
  <c r="I299" i="1" a="1"/>
  <c r="I16" i="4" a="1"/>
  <c r="I466" i="1" a="1"/>
  <c r="I348" i="4" a="1"/>
  <c r="I332" i="4" a="1"/>
  <c r="K29" i="4" a="1"/>
  <c r="K266" i="4" a="1"/>
  <c r="K222" i="1" a="1"/>
  <c r="K170" i="1" a="1"/>
  <c r="I230" i="4" a="1"/>
  <c r="K476" i="1" a="1"/>
  <c r="I357" i="4" a="1"/>
  <c r="I226" i="4" a="1"/>
  <c r="K117" i="1" a="1"/>
  <c r="K254" i="1" a="1"/>
  <c r="I99" i="1" a="1"/>
  <c r="I536" i="4" a="1"/>
  <c r="I149" i="1" a="1"/>
  <c r="K306" i="4" a="1"/>
  <c r="K172" i="4" a="1"/>
  <c r="I2" i="4" a="1"/>
  <c r="K472" i="1" a="1"/>
  <c r="K522" i="4" a="1"/>
  <c r="K120" i="4" a="1"/>
  <c r="I159" i="1" a="1"/>
  <c r="I193" i="4" a="1"/>
  <c r="K32" i="1" a="1"/>
  <c r="K30" i="4" a="1"/>
  <c r="K441" i="1" a="1"/>
  <c r="K412" i="1" a="1"/>
  <c r="K436" i="1" a="1"/>
  <c r="I152" i="1" a="1"/>
  <c r="I164" i="4" a="1"/>
  <c r="K348" i="4" a="1"/>
  <c r="K202" i="4" a="1"/>
  <c r="I386" i="1" a="1"/>
  <c r="I160" i="4" a="1"/>
  <c r="I233" i="4" a="1"/>
  <c r="I370" i="4" a="1"/>
  <c r="K205" i="4" a="1"/>
  <c r="K484" i="4" a="1"/>
  <c r="K70" i="1" a="1"/>
  <c r="I281" i="1" a="1"/>
  <c r="K122" i="1" a="1"/>
  <c r="I196" i="4" a="1"/>
  <c r="I164" i="1" a="1"/>
  <c r="K382" i="1" a="1"/>
  <c r="K97" i="4" a="1"/>
  <c r="K207" i="4" a="1"/>
  <c r="K62" i="1" a="1"/>
  <c r="I325" i="1" a="1"/>
  <c r="I168" i="4" a="1"/>
  <c r="I425" i="1" a="1"/>
  <c r="K99" i="1" a="1"/>
  <c r="I202" i="1" a="1"/>
  <c r="K283" i="1" a="1"/>
  <c r="K213" i="1" a="1"/>
  <c r="I380" i="4" a="1"/>
  <c r="I117" i="1" a="1"/>
  <c r="I438" i="1" a="1"/>
  <c r="I515" i="4" a="1"/>
  <c r="I500" i="4" a="1"/>
  <c r="I68" i="4" a="1"/>
  <c r="I106" i="1" a="1"/>
  <c r="I152" i="4" a="1"/>
  <c r="K466" i="1" a="1"/>
  <c r="K146" i="1" a="1"/>
  <c r="I310" i="1" a="1"/>
  <c r="K468" i="1" a="1"/>
  <c r="I170" i="1" a="1"/>
  <c r="I295" i="1" a="1"/>
  <c r="K503" i="4" a="1"/>
  <c r="I274" i="1" a="1"/>
  <c r="I463" i="1" a="1"/>
  <c r="I336" i="4" a="1"/>
  <c r="I495" i="4" a="1"/>
  <c r="I499" i="4" a="1"/>
  <c r="I359" i="4" a="1"/>
  <c r="I79" i="1" a="1"/>
  <c r="I205" i="4" a="1"/>
  <c r="K363" i="1" a="1"/>
  <c r="K265" i="1" a="1"/>
  <c r="I377" i="1" a="1"/>
  <c r="I331" i="4" a="1"/>
  <c r="K453" i="4" a="1"/>
  <c r="I190" i="1" a="1"/>
  <c r="I183" i="1" a="1"/>
  <c r="K2" i="4" a="1"/>
  <c r="I177" i="1" a="1"/>
  <c r="I286" i="4" a="1"/>
  <c r="K319" i="1" a="1"/>
  <c r="I182" i="1" a="1"/>
  <c r="I305" i="1" a="1"/>
  <c r="I473" i="1" a="1"/>
  <c r="K362" i="1" a="1"/>
  <c r="K61" i="1" a="1"/>
  <c r="I21" i="1" a="1"/>
  <c r="I296" i="4" a="1"/>
  <c r="I497" i="4" a="1"/>
  <c r="I121" i="4" a="1"/>
  <c r="K182" i="4" a="1"/>
  <c r="I329" i="1" a="1"/>
  <c r="I374" i="4" a="1"/>
  <c r="I245" i="1" a="1"/>
  <c r="I261" i="4" a="1"/>
  <c r="I195" i="1" a="1"/>
  <c r="K137" i="1" a="1"/>
  <c r="K19" i="1" a="1"/>
  <c r="I283" i="1" a="1"/>
  <c r="K495" i="4" a="1"/>
  <c r="K293" i="4" a="1"/>
  <c r="K157" i="4" a="1"/>
  <c r="I319" i="1" a="1"/>
  <c r="K430" i="4" a="1"/>
  <c r="K490" i="4" a="1"/>
  <c r="I479" i="4" a="1"/>
  <c r="K74" i="1" a="1"/>
  <c r="K50" i="1" a="1"/>
  <c r="K230" i="4" a="1"/>
  <c r="I114" i="4" a="1"/>
  <c r="K392" i="1" a="1"/>
  <c r="K24" i="1" a="1"/>
  <c r="I139" i="4" a="1"/>
  <c r="I60" i="1" a="1"/>
  <c r="K338" i="4" a="1"/>
  <c r="K163" i="4" a="1"/>
  <c r="I30" i="1" a="1"/>
  <c r="I88" i="1" a="1"/>
  <c r="I209" i="1" a="1"/>
  <c r="K418" i="1" a="1"/>
  <c r="K218" i="4" a="1"/>
  <c r="K240" i="4" a="1"/>
  <c r="K315" i="1" a="1"/>
  <c r="K343" i="1" a="1"/>
  <c r="I221" i="1" a="1"/>
  <c r="I386" i="4" a="1"/>
  <c r="I96" i="4" a="1"/>
  <c r="K333" i="1" a="1"/>
  <c r="K168" i="4" a="1"/>
  <c r="K320" i="4" a="1"/>
  <c r="I320" i="4" a="1"/>
  <c r="I471" i="1" a="1"/>
  <c r="K456" i="1" a="1"/>
  <c r="I412" i="1" a="1"/>
  <c r="K125" i="1" a="1"/>
  <c r="I519" i="4" a="1"/>
  <c r="I156" i="1" a="1"/>
  <c r="K53" i="1" a="1"/>
  <c r="I180" i="4" a="1"/>
  <c r="K163" i="1" a="1"/>
  <c r="I3" i="1" a="1"/>
  <c r="I97" i="4" a="1"/>
  <c r="I67" i="1" a="1"/>
  <c r="I444" i="4" a="1"/>
  <c r="I252" i="1" a="1"/>
  <c r="K371" i="1" a="1"/>
  <c r="I150" i="1" a="1"/>
  <c r="I82" i="4" a="1"/>
  <c r="I410" i="4" a="1"/>
  <c r="I305" i="4" a="1"/>
  <c r="I47" i="4" a="1"/>
  <c r="I51" i="4" a="1"/>
  <c r="K212" i="4" a="1"/>
  <c r="K48" i="1" a="1"/>
  <c r="K424" i="1" a="1"/>
  <c r="K181" i="1" a="1"/>
  <c r="K185" i="1" a="1"/>
  <c r="I109" i="1" a="1"/>
  <c r="I351" i="1" a="1"/>
  <c r="K398" i="1" a="1"/>
  <c r="I443" i="4" a="1"/>
  <c r="I72" i="1" a="1"/>
  <c r="I485" i="4" a="1"/>
  <c r="K23" i="1" a="1"/>
  <c r="I105" i="4" a="1"/>
  <c r="K79" i="4" a="1"/>
  <c r="I264" i="4" a="1"/>
  <c r="I157" i="4" a="1"/>
  <c r="I280" i="1" a="1"/>
  <c r="K438" i="1" a="1"/>
  <c r="I471" i="4" a="1"/>
  <c r="K107" i="1" a="1"/>
  <c r="K100" i="1" a="1"/>
  <c r="I408" i="1" a="1"/>
  <c r="K25" i="1" a="1"/>
  <c r="I348" i="1" a="1"/>
  <c r="I492" i="4" a="1"/>
  <c r="I469" i="4" a="1"/>
  <c r="I265" i="4" a="1"/>
  <c r="I58" i="1" a="1"/>
  <c r="I45" i="4" a="1"/>
  <c r="I315" i="1" a="1"/>
  <c r="I363" i="1" a="1"/>
  <c r="K141" i="1" a="1"/>
  <c r="I513" i="4" a="1"/>
  <c r="K226" i="1" a="1"/>
  <c r="I370" i="1" a="1"/>
  <c r="I103" i="4" a="1"/>
  <c r="I529" i="4" a="1"/>
  <c r="I134" i="4" a="1"/>
  <c r="K355" i="1" a="1"/>
  <c r="K126" i="1" a="1"/>
  <c r="K335" i="4" a="1"/>
  <c r="I404" i="4" a="1"/>
  <c r="K406" i="1" a="1"/>
  <c r="I483" i="4" a="1"/>
  <c r="I126" i="4" a="1"/>
  <c r="I228" i="4" a="1"/>
  <c r="I292" i="1" a="1"/>
  <c r="K351" i="1" a="1"/>
  <c r="K173" i="1" a="1"/>
  <c r="I117" i="4" a="1"/>
  <c r="I498" i="4" a="1"/>
  <c r="I300" i="1" a="1"/>
  <c r="I86" i="4" a="1"/>
  <c r="I479" i="1" a="1"/>
  <c r="I353" i="1" a="1"/>
  <c r="K150" i="1" a="1"/>
  <c r="I177" i="4" a="1"/>
  <c r="I543" i="4" a="1"/>
  <c r="K471" i="1" a="1"/>
  <c r="I461" i="1" a="1"/>
  <c r="I241" i="4" a="1"/>
  <c r="I328" i="4" a="1"/>
  <c r="I8" i="1" a="1"/>
  <c r="I276" i="4" a="1"/>
  <c r="I389" i="1" a="1"/>
  <c r="I279" i="4" a="1"/>
  <c r="I39" i="1" a="1"/>
  <c r="I75" i="4" a="1"/>
  <c r="I184" i="4" a="1"/>
  <c r="I92" i="4" a="1"/>
  <c r="I392" i="4" a="1"/>
  <c r="I4" i="4" a="1"/>
  <c r="I133" i="1" a="1"/>
  <c r="K449" i="1" a="1"/>
  <c r="K209" i="1" a="1"/>
  <c r="K113" i="4" a="1"/>
  <c r="K397" i="4" a="1"/>
  <c r="I173" i="1" a="1"/>
  <c r="K60" i="4" a="1"/>
  <c r="K112" i="4" a="1"/>
  <c r="K158" i="1" a="1"/>
  <c r="I382" i="1" a="1"/>
  <c r="K27" i="4" a="1"/>
  <c r="I227" i="1" a="1"/>
  <c r="I93" i="1" a="1"/>
  <c r="I542" i="4" a="1"/>
  <c r="I72" i="4" a="1"/>
  <c r="I307" i="4" a="1"/>
  <c r="I304" i="4" a="1"/>
  <c r="K204" i="4" a="1"/>
  <c r="K314" i="4" a="1"/>
  <c r="I77" i="1" a="1"/>
  <c r="K229" i="1" a="1"/>
  <c r="K131" i="1" a="1"/>
  <c r="I155" i="4" a="1"/>
  <c r="K170" i="4" a="1"/>
  <c r="K420" i="4" a="1"/>
  <c r="I81" i="1" a="1"/>
  <c r="I309" i="4" a="1"/>
  <c r="I465" i="1" a="1"/>
  <c r="I411" i="4" a="1"/>
  <c r="I530" i="4" a="1"/>
  <c r="K330" i="1" a="1"/>
  <c r="K191" i="4" a="1"/>
  <c r="K173" i="4" a="1"/>
  <c r="K415" i="1" a="1"/>
  <c r="I475" i="1" a="1"/>
  <c r="I31" i="4" a="1"/>
  <c r="I61" i="1" a="1"/>
  <c r="I50" i="1" a="1"/>
  <c r="I285" i="4" a="1"/>
  <c r="I73" i="1" a="1"/>
  <c r="I150" i="4" a="1"/>
  <c r="K47" i="4" a="1"/>
  <c r="I201" i="4" a="1"/>
  <c r="I154" i="4" a="1"/>
  <c r="I429" i="1" a="1"/>
  <c r="I439" i="1" a="1"/>
  <c r="I303" i="4" a="1"/>
  <c r="K320" i="1" a="1"/>
  <c r="K432" i="1" a="1"/>
  <c r="I68" i="1" a="1"/>
  <c r="I23" i="1" a="1"/>
  <c r="I319" i="4" a="1"/>
  <c r="I246" i="4" a="1"/>
  <c r="K264" i="4" a="1"/>
  <c r="I212" i="1" a="1"/>
  <c r="I389" i="4" a="1"/>
  <c r="K403" i="1" a="1"/>
  <c r="I243" i="1" a="1"/>
  <c r="I204" i="1" a="1"/>
  <c r="I489" i="4" a="1"/>
  <c r="I262" i="4" a="1"/>
  <c r="I250" i="4" a="1"/>
  <c r="I277" i="4" a="1"/>
  <c r="I472" i="4" a="1"/>
  <c r="K339" i="1" a="1"/>
  <c r="K349" i="1" a="1"/>
  <c r="I25" i="4" a="1"/>
  <c r="I435" i="4" a="1"/>
  <c r="I415" i="1" a="1"/>
  <c r="K413" i="1" a="1"/>
  <c r="I99" i="4" a="1"/>
  <c r="I391" i="1" a="1"/>
  <c r="I496" i="4" a="1"/>
  <c r="K271" i="1" a="1"/>
  <c r="I362" i="4" a="1"/>
  <c r="I424" i="4" a="1"/>
  <c r="I385" i="4" a="1"/>
  <c r="K357" i="1" a="1"/>
  <c r="I98" i="4" a="1"/>
  <c r="I445" i="1" a="1"/>
  <c r="K201" i="1" a="1"/>
  <c r="I286" i="1" a="1"/>
  <c r="K235" i="4" a="1"/>
  <c r="K433" i="4" a="1"/>
  <c r="K365" i="1" a="1"/>
  <c r="I316" i="4" a="1"/>
  <c r="K230" i="1" a="1"/>
  <c r="I466" i="4" a="1"/>
  <c r="I147" i="1" a="1"/>
  <c r="I477" i="4" a="1"/>
  <c r="I373" i="4" a="1"/>
  <c r="K194" i="1" a="1"/>
  <c r="I90" i="4" a="1"/>
  <c r="K114" i="1" a="1"/>
  <c r="I321" i="4" a="1"/>
  <c r="K131" i="4" a="1"/>
  <c r="I64" i="4" a="1"/>
  <c r="I42" i="1" a="1"/>
  <c r="I413" i="1" a="1"/>
  <c r="K132" i="1" a="1"/>
  <c r="K284" i="1" a="1"/>
  <c r="K294" i="1" a="1"/>
  <c r="K85" i="1" a="1"/>
  <c r="I222" i="4" a="1"/>
  <c r="K342" i="1" a="1"/>
  <c r="I508" i="4" a="1"/>
  <c r="K481" i="1" a="1"/>
  <c r="I248" i="1" a="1"/>
  <c r="I326" i="4" a="1"/>
  <c r="K44" i="4" a="1"/>
  <c r="K312" i="1" a="1"/>
  <c r="I477" i="1" a="1"/>
  <c r="K58" i="1" a="1"/>
  <c r="I145" i="1" a="1"/>
  <c r="K136" i="1" a="1"/>
  <c r="I522" i="4" a="1"/>
  <c r="K455" i="1" a="1"/>
  <c r="K78" i="1" a="1"/>
  <c r="K302" i="1" a="1"/>
  <c r="K337" i="1" a="1"/>
  <c r="I384" i="1" a="1"/>
  <c r="I163" i="1" a="1"/>
  <c r="K66" i="1" a="1"/>
  <c r="I211" i="4" a="1"/>
  <c r="K256" i="1" a="1"/>
  <c r="K200" i="4" a="1"/>
  <c r="K340" i="4" a="1"/>
  <c r="I3" i="4" a="1"/>
  <c r="I332" i="1" a="1"/>
  <c r="K469" i="1" a="1"/>
  <c r="K98" i="1" a="1"/>
  <c r="K414" i="1" a="1"/>
  <c r="K526" i="4" a="1"/>
  <c r="I54" i="1" a="1"/>
  <c r="I52" i="1" a="1"/>
  <c r="I427" i="4" a="1"/>
  <c r="K147" i="1" a="1"/>
  <c r="K231" i="1" a="1"/>
  <c r="I196" i="1" a="1"/>
  <c r="K62" i="4" a="1"/>
  <c r="I208" i="4" a="1"/>
  <c r="K236" i="1" a="1"/>
  <c r="K206" i="1" a="1"/>
  <c r="K399" i="1" a="1"/>
  <c r="I468" i="1" a="1"/>
  <c r="K436" i="4" a="1"/>
  <c r="K12" i="4" a="1"/>
  <c r="K408" i="1" a="1"/>
  <c r="I521" i="4" a="1"/>
  <c r="K366" i="1" a="1"/>
  <c r="I203" i="1" a="1"/>
  <c r="K139" i="1" a="1"/>
  <c r="K92" i="4" a="1"/>
  <c r="K497" i="4" a="1"/>
  <c r="K144" i="4" a="1"/>
  <c r="K404" i="1" a="1"/>
  <c r="I128" i="1" a="1"/>
  <c r="K448" i="1" a="1"/>
  <c r="I17" i="4" a="1"/>
  <c r="I200" i="4" a="1"/>
  <c r="I456" i="4" a="1"/>
  <c r="I198" i="1" a="1"/>
  <c r="K113" i="1" a="1"/>
  <c r="K357" i="4" a="1"/>
  <c r="I447" i="4" a="1"/>
  <c r="I256" i="4" a="1"/>
  <c r="K354" i="1" a="1"/>
  <c r="I207" i="1" a="1"/>
  <c r="I440" i="1" a="1"/>
  <c r="I105" i="1" a="1"/>
  <c r="I401" i="4" a="1"/>
  <c r="I339" i="1" a="1"/>
  <c r="I94" i="4" a="1"/>
  <c r="K27" i="1" a="1"/>
  <c r="I91" i="1" a="1"/>
  <c r="I349" i="4" a="1"/>
  <c r="K228" i="4" a="1"/>
  <c r="I483" i="1" a="1"/>
  <c r="I110" i="4" a="1"/>
  <c r="I313" i="1" a="1"/>
  <c r="I420" i="4" a="1"/>
  <c r="I178" i="1" a="1"/>
  <c r="I280" i="4" a="1"/>
  <c r="I214" i="4" a="1"/>
  <c r="I113" i="1" a="1"/>
  <c r="K453" i="1" a="1"/>
  <c r="I67" i="4" a="1"/>
  <c r="I19" i="4" a="1"/>
  <c r="I122" i="4" a="1"/>
  <c r="K489" i="4" a="1"/>
  <c r="I294" i="1" a="1"/>
  <c r="I403" i="1" a="1"/>
  <c r="K437" i="1" a="1"/>
  <c r="I271" i="1" a="1"/>
  <c r="I339" i="4" a="1"/>
  <c r="I220" i="1" a="1"/>
  <c r="I352" i="4" a="1"/>
  <c r="K190" i="1" a="1"/>
  <c r="I202" i="4" a="1"/>
  <c r="I474" i="4" a="1"/>
  <c r="I324" i="4" a="1"/>
  <c r="I371" i="4" a="1"/>
  <c r="I481" i="4" a="1"/>
  <c r="K15" i="1" a="1"/>
  <c r="K423" i="1" a="1"/>
  <c r="K454" i="4" a="1"/>
  <c r="I459" i="1" a="1"/>
  <c r="I383" i="4" a="1"/>
  <c r="I113" i="4" a="1"/>
  <c r="I470" i="4" a="1"/>
  <c r="K22" i="1" a="1"/>
  <c r="I346" i="4" a="1"/>
  <c r="I538" i="4" a="1"/>
  <c r="I41" i="4" a="1"/>
  <c r="K224" i="1" a="1"/>
  <c r="I216" i="1" a="1"/>
  <c r="I24" i="1" a="1"/>
  <c r="K249" i="4" a="1"/>
  <c r="I369" i="1" a="1"/>
  <c r="I220" i="4" a="1"/>
  <c r="I504" i="4" a="1"/>
  <c r="I291" i="1" a="1"/>
  <c r="K228" i="1" a="1"/>
  <c r="K295" i="1" a="1"/>
  <c r="I158" i="4" a="1"/>
  <c r="I248" i="4" a="1"/>
  <c r="K280" i="1" a="1"/>
  <c r="I11" i="1" a="1"/>
  <c r="K463" i="4" a="1"/>
  <c r="K118" i="1" a="1"/>
  <c r="K457" i="4" a="1"/>
  <c r="K185" i="4" a="1"/>
  <c r="I338" i="1" a="1"/>
  <c r="I232" i="1" a="1"/>
  <c r="K160" i="4" a="1"/>
  <c r="I387" i="1" a="1"/>
  <c r="K446" i="4" a="1"/>
  <c r="K372" i="1" a="1"/>
  <c r="I229" i="1" a="1"/>
  <c r="I160" i="1" a="1"/>
  <c r="I96" i="1" a="1"/>
  <c r="K334" i="1" a="1"/>
  <c r="K186" i="4" a="1"/>
  <c r="K356" i="4" a="1"/>
  <c r="I392" i="1" a="1"/>
  <c r="I531" i="4" a="1"/>
  <c r="I51" i="1" a="1"/>
  <c r="K385" i="1" a="1"/>
  <c r="I104" i="1" a="1"/>
  <c r="K378" i="4" a="1"/>
  <c r="K509" i="4" a="1"/>
  <c r="I405" i="1" a="1"/>
  <c r="I277" i="1" a="1"/>
  <c r="I283" i="4" a="1"/>
  <c r="K462" i="1" a="1"/>
  <c r="I425" i="4" a="1"/>
  <c r="K322" i="4" a="1"/>
  <c r="K15" i="4" a="1"/>
  <c r="I447" i="1" a="1"/>
  <c r="K87" i="1" a="1"/>
  <c r="I151" i="1" a="1"/>
  <c r="K148" i="1" a="1"/>
  <c r="I427" i="1" a="1"/>
  <c r="I278" i="1" a="1"/>
  <c r="I55" i="1" a="1"/>
  <c r="I22" i="4" a="1"/>
  <c r="I95" i="1" a="1"/>
  <c r="K143" i="4" a="1"/>
  <c r="I272" i="1" a="1"/>
  <c r="K134" i="1" a="1"/>
  <c r="K421" i="1" a="1"/>
  <c r="K388" i="1" a="1"/>
  <c r="I127" i="1" a="1"/>
  <c r="I271" i="4" a="1"/>
  <c r="I16" i="1" a="1"/>
  <c r="I211" i="1" a="1"/>
  <c r="I408" i="4" a="1"/>
  <c r="I356" i="1" a="1"/>
  <c r="I60" i="4" a="1"/>
  <c r="I237" i="4" a="1"/>
  <c r="K505" i="4" a="1"/>
  <c r="K479" i="1" a="1"/>
  <c r="K486" i="1" a="1"/>
  <c r="I527" i="4" a="1"/>
  <c r="K324" i="1" a="1"/>
  <c r="I282" i="1" a="1"/>
  <c r="I355" i="1" a="1"/>
  <c r="K82" i="1" a="1"/>
  <c r="I494" i="4" a="1"/>
  <c r="K482" i="1" a="1"/>
  <c r="I294" i="4" a="1"/>
  <c r="I9" i="4" a="1"/>
  <c r="I460" i="1" a="1"/>
  <c r="K54" i="4" a="1"/>
  <c r="I378" i="1" a="1"/>
  <c r="K474" i="1" a="1"/>
  <c r="K120" i="1" a="1"/>
  <c r="I397" i="4" a="1"/>
  <c r="I329" i="4" a="1"/>
  <c r="K483" i="1" a="1"/>
  <c r="K417" i="1" a="1"/>
  <c r="K364" i="1" a="1"/>
  <c r="K198" i="1" a="1"/>
  <c r="I21" i="4" a="1"/>
  <c r="I328" i="1" a="1"/>
  <c r="I470" i="1" a="1"/>
  <c r="I437" i="1" a="1"/>
  <c r="I43" i="1" a="1"/>
  <c r="I341" i="4" a="1"/>
  <c r="K16" i="4" a="1"/>
  <c r="I18" i="4" a="1"/>
  <c r="I284" i="1" a="1"/>
  <c r="K11" i="1" a="1"/>
  <c r="I437" i="4" a="1"/>
  <c r="I461" i="4" a="1"/>
  <c r="I512" i="4" a="1"/>
  <c r="I462" i="1" a="1"/>
  <c r="I426" i="1" a="1"/>
  <c r="I390" i="1" a="1"/>
  <c r="K498" i="4" a="1"/>
  <c r="I421" i="1" a="1"/>
  <c r="I282" i="4" a="1"/>
  <c r="K159" i="4" a="1"/>
  <c r="I454" i="4" a="1"/>
  <c r="I343" i="4" a="1"/>
  <c r="K447" i="4" a="1"/>
  <c r="I308" i="4" a="1"/>
  <c r="K147" i="4" a="1"/>
  <c r="K397" i="1" a="1"/>
  <c r="I430" i="4" a="1"/>
  <c r="I229" i="4" a="1"/>
  <c r="I128" i="4" a="1"/>
  <c r="I523" i="4" a="1"/>
  <c r="K169" i="4" a="1"/>
  <c r="K367" i="4" a="1"/>
  <c r="K13" i="1" a="1"/>
  <c r="K166" i="1" a="1"/>
  <c r="I409" i="4" a="1"/>
  <c r="K277" i="1" a="1"/>
  <c r="K350" i="1" a="1"/>
  <c r="K208" i="4" a="1"/>
  <c r="K260" i="4" a="1"/>
  <c r="I84" i="4" a="1"/>
  <c r="I87" i="4" a="1"/>
  <c r="I62" i="1" a="1"/>
  <c r="I148" i="4" a="1"/>
  <c r="I387" i="4" a="1"/>
  <c r="K73" i="4" a="1"/>
  <c r="K139" i="4" a="1"/>
  <c r="K103" i="1" a="1"/>
  <c r="I313" i="4" a="1"/>
  <c r="I393" i="1" a="1"/>
  <c r="I336" i="1" a="1"/>
  <c r="I14" i="1" a="1"/>
  <c r="I290" i="4" a="1"/>
  <c r="I284" i="4" a="1"/>
  <c r="I168" i="1" a="1"/>
  <c r="I13" i="4" a="1"/>
  <c r="K531" i="4" a="1"/>
  <c r="I337" i="1" a="1"/>
  <c r="I400" i="1" a="1"/>
  <c r="I478" i="4" a="1"/>
  <c r="I355" i="4" a="1"/>
  <c r="K111" i="1" a="1"/>
  <c r="K76" i="1" a="1"/>
  <c r="I40" i="1" a="1"/>
  <c r="K390" i="1" a="1"/>
  <c r="I91" i="4" a="1"/>
  <c r="I388" i="4" a="1"/>
  <c r="I241" i="1" a="1"/>
  <c r="K7" i="1" a="1"/>
  <c r="K189" i="4" a="1"/>
  <c r="I293" i="4" a="1"/>
  <c r="K106" i="1" a="1"/>
  <c r="I34" i="4" a="1"/>
  <c r="I436" i="4" a="1"/>
  <c r="I464" i="4" a="1"/>
  <c r="I367" i="1" a="1"/>
  <c r="I406" i="4" a="1"/>
  <c r="K323" i="1" a="1"/>
  <c r="I187" i="4" a="1"/>
  <c r="I71" i="1" a="1"/>
  <c r="K172" i="1" a="1"/>
  <c r="I403" i="4" a="1"/>
  <c r="K333" i="4" a="1"/>
  <c r="K361" i="1" a="1"/>
  <c r="I56" i="4" a="1"/>
  <c r="I39" i="4" a="1"/>
  <c r="K212" i="1" a="1"/>
  <c r="I189" i="4" a="1"/>
  <c r="I279" i="1" a="1"/>
  <c r="I347" i="1" a="1"/>
  <c r="I375" i="4" a="1"/>
  <c r="I8" i="4" a="1"/>
  <c r="I162" i="1" a="1"/>
  <c r="I15" i="4" a="1"/>
  <c r="K460" i="1" a="1"/>
  <c r="K44" i="1" a="1"/>
  <c r="I309" i="1" a="1"/>
  <c r="I255" i="4" a="1"/>
  <c r="K506" i="4" a="1"/>
  <c r="I95" i="4" a="1"/>
  <c r="I175" i="1" a="1"/>
  <c r="K59" i="1" a="1"/>
  <c r="I444" i="1" a="1"/>
  <c r="K304" i="1" a="1"/>
  <c r="I192" i="4" a="1"/>
  <c r="K288" i="1" a="1"/>
  <c r="K308" i="1" a="1"/>
  <c r="I210" i="1" a="1"/>
  <c r="I55" i="4" a="1"/>
  <c r="K411" i="4" a="1"/>
  <c r="I354" i="4" a="1"/>
  <c r="I457" i="4" a="1"/>
  <c r="I257" i="4" a="1"/>
  <c r="I110" i="1" a="1"/>
  <c r="I44" i="1" a="1"/>
  <c r="I57" i="1" a="1"/>
  <c r="K317" i="1" a="1"/>
  <c r="I199" i="4" a="1"/>
  <c r="K409" i="1" a="1"/>
  <c r="K258" i="1" a="1"/>
  <c r="I208" i="1" a="1"/>
  <c r="I434" i="4" a="1"/>
  <c r="K377" i="4" a="1"/>
  <c r="K130" i="1" a="1"/>
  <c r="K297" i="4" a="1"/>
  <c r="I418" i="4" a="1"/>
  <c r="I361" i="4" a="1"/>
  <c r="K263" i="1" a="1"/>
  <c r="K154" i="1" a="1"/>
  <c r="I29" i="4" a="1"/>
  <c r="I125" i="4" a="1"/>
  <c r="I514" i="4" a="1"/>
  <c r="I59" i="1" a="1"/>
  <c r="I107" i="4" a="1"/>
  <c r="I362" i="1" a="1"/>
  <c r="I374" i="1" a="1"/>
  <c r="I255" i="1" a="1"/>
  <c r="I259" i="1" a="1"/>
  <c r="I233" i="1" a="1"/>
  <c r="K319" i="4" a="1"/>
  <c r="K470" i="4" a="1"/>
  <c r="K264" i="1" a="1"/>
  <c r="I363" i="4" a="1"/>
  <c r="I118" i="4" a="1"/>
  <c r="I231" i="4" a="1"/>
  <c r="K353" i="1" a="1"/>
  <c r="I439" i="4" a="1"/>
  <c r="I223" i="1" a="1"/>
  <c r="K369" i="1" a="1"/>
  <c r="K17" i="1" a="1"/>
  <c r="I23" i="4" a="1"/>
  <c r="K300" i="4" a="1"/>
  <c r="I428" i="1" a="1"/>
  <c r="K178" i="1" a="1"/>
  <c r="I189" i="1" a="1"/>
  <c r="I293" i="1" a="1"/>
  <c r="I218" i="1" a="1"/>
  <c r="I364" i="1" a="1"/>
  <c r="I301" i="1" a="1"/>
  <c r="I63" i="1" a="1"/>
  <c r="I245" i="4" a="1"/>
  <c r="K318" i="1" a="1"/>
  <c r="I254" i="1" a="1"/>
  <c r="I125" i="1" a="1"/>
  <c r="I379" i="4" a="1"/>
  <c r="I520" i="4" a="1"/>
  <c r="I373" i="1" a="1"/>
  <c r="K108" i="1" a="1"/>
  <c r="I431" i="1" a="1"/>
  <c r="I417" i="1" a="1"/>
  <c r="K257" i="1" a="1"/>
  <c r="K464" i="1" a="1"/>
  <c r="I153" i="1" a="1"/>
  <c r="I197" i="4" a="1"/>
  <c r="I340" i="1" a="1"/>
  <c r="I210" i="4" a="1"/>
  <c r="I242" i="1" a="1"/>
  <c r="K428" i="1" a="1"/>
  <c r="I465" i="4" a="1"/>
  <c r="I285" i="1" a="1"/>
  <c r="K244" i="1" a="1"/>
  <c r="K207" i="1" a="1"/>
  <c r="K237" i="1" a="1"/>
  <c r="I48" i="1" a="1"/>
  <c r="I413" i="4" a="1"/>
  <c r="I239" i="1" a="1"/>
  <c r="I53" i="4" a="1"/>
  <c r="I66" i="1" a="1"/>
  <c r="K141" i="4" a="1"/>
  <c r="I368" i="4" a="1"/>
  <c r="K358" i="4" a="1"/>
  <c r="I38" i="4" a="1"/>
  <c r="K24" i="4" a="1"/>
  <c r="K356" i="1" a="1"/>
  <c r="K140" i="1" a="1"/>
  <c r="I394" i="1" a="1"/>
  <c r="K151" i="1" a="1"/>
  <c r="K67" i="1" a="1"/>
  <c r="I181" i="4" a="1"/>
  <c r="I486" i="4" a="1"/>
  <c r="I179" i="4" a="1"/>
  <c r="I288" i="1" a="1"/>
  <c r="I222" i="1" a="1"/>
  <c r="K71" i="1" a="1"/>
  <c r="K12" i="1" a="1"/>
  <c r="I46" i="4" a="1"/>
  <c r="I299" i="4" a="1"/>
  <c r="I509" i="4" a="1"/>
  <c r="I467" i="4" a="1"/>
  <c r="K447" i="1" a="1"/>
  <c r="I456" i="1" a="1"/>
  <c r="I385" i="1" a="1"/>
  <c r="K240" i="1" a="1"/>
  <c r="I366" i="1" a="1"/>
  <c r="K21" i="1" a="1"/>
  <c r="K193" i="1" a="1"/>
  <c r="I361" i="1" a="1"/>
  <c r="K305" i="1" a="1"/>
  <c r="I401" i="1" a="1"/>
  <c r="K35" i="1" a="1"/>
  <c r="I269" i="1" a="1"/>
  <c r="K418" i="4" a="1"/>
  <c r="K470" i="1" a="1"/>
  <c r="I541" i="4" a="1"/>
  <c r="I323" i="1" a="1"/>
  <c r="K284" i="4" a="1"/>
  <c r="K444" i="1" a="1"/>
  <c r="K429" i="1" a="1"/>
  <c r="I302" i="4" a="1"/>
  <c r="I395" i="1" a="1"/>
  <c r="I73" i="4" a="1"/>
  <c r="I44" i="4" a="1"/>
  <c r="K454" i="1" a="1"/>
  <c r="K26" i="1" a="1"/>
  <c r="K28" i="1" a="1"/>
  <c r="I85" i="1" a="1"/>
  <c r="I443" i="1" a="1"/>
  <c r="K18" i="1" a="1"/>
  <c r="I399" i="4" a="1"/>
  <c r="K442" i="1" a="1"/>
  <c r="I275" i="4" a="1"/>
  <c r="I249" i="4" a="1"/>
  <c r="I274" i="4" a="1"/>
  <c r="K539" i="4" a="1"/>
  <c r="I240" i="4" a="1"/>
  <c r="I52" i="4" a="1"/>
  <c r="K359" i="1" a="1"/>
  <c r="I475" i="4" a="1"/>
  <c r="I100" i="4" a="1"/>
  <c r="I181" i="1" a="1"/>
  <c r="K435" i="1" a="1"/>
  <c r="K422" i="1" a="1"/>
  <c r="I137" i="4" a="1"/>
  <c r="K129" i="1" a="1"/>
  <c r="K227" i="1" a="1"/>
  <c r="K202" i="1" a="1"/>
  <c r="I335" i="1" a="1"/>
  <c r="K328" i="1" a="1"/>
  <c r="K40" i="1" a="1"/>
  <c r="K36" i="1" a="1"/>
  <c r="I469" i="1" a="1"/>
  <c r="I272" i="4" a="1"/>
  <c r="I123" i="4" a="1"/>
  <c r="I239" i="4" a="1"/>
  <c r="I116" i="4" a="1"/>
  <c r="K42" i="1" a="1"/>
  <c r="I43" i="4" a="1"/>
  <c r="K49" i="1" a="1"/>
  <c r="K156" i="1" a="1"/>
  <c r="K38" i="1" a="1"/>
  <c r="I18" i="1" a="1"/>
  <c r="K266" i="1" a="1"/>
  <c r="I398" i="1" a="1"/>
  <c r="K101" i="1" a="1"/>
  <c r="I201" i="1" a="1"/>
  <c r="I174" i="1" a="1"/>
  <c r="I317" i="4" a="1"/>
  <c r="K176" i="1" a="1"/>
  <c r="I268" i="1" a="1"/>
  <c r="I231" i="1" a="1"/>
  <c r="K259" i="1" a="1"/>
  <c r="K372" i="4" a="1"/>
  <c r="I407" i="1" a="1"/>
  <c r="I414" i="4" a="1"/>
  <c r="K241" i="1" a="1"/>
  <c r="I327" i="1" a="1"/>
  <c r="K183" i="1" a="1"/>
  <c r="I111" i="4" a="1"/>
  <c r="I334" i="4" a="1"/>
  <c r="K407" i="1" a="1"/>
  <c r="I320" i="1" a="1"/>
  <c r="I365" i="4" a="1"/>
  <c r="K359" i="4" a="1"/>
  <c r="K116" i="1" a="1"/>
  <c r="I460" i="4" a="1"/>
  <c r="I236" i="4" a="1"/>
  <c r="I5" i="4" a="1"/>
  <c r="I198" i="4" a="1"/>
  <c r="I129" i="4" a="1"/>
  <c r="I188" i="4" a="1"/>
  <c r="I457" i="1" a="1"/>
  <c r="I325" i="4" a="1"/>
  <c r="K368" i="1" a="1"/>
  <c r="I308" i="1" a="1"/>
  <c r="K63" i="1" a="1"/>
  <c r="I161" i="1" a="1"/>
  <c r="K45" i="1" a="1"/>
  <c r="I297" i="4" a="1"/>
  <c r="K478" i="1" a="1"/>
  <c r="K528" i="4" a="1"/>
  <c r="K128" i="4" a="1"/>
  <c r="I37" i="1" a="1"/>
  <c r="K420" i="1" a="1"/>
  <c r="K77" i="1" a="1"/>
  <c r="I476" i="1" a="1"/>
  <c r="K281" i="1" a="1"/>
  <c r="I422" i="4" a="1"/>
  <c r="I429" i="4" a="1"/>
  <c r="K152" i="4" a="1"/>
  <c r="K198" i="4" a="1"/>
  <c r="K159" i="1" a="1"/>
  <c r="I395" i="4" a="1"/>
  <c r="I4" i="1" a="1"/>
  <c r="I20" i="4" a="1"/>
  <c r="I434" i="1" a="1"/>
  <c r="I119" i="4" a="1"/>
  <c r="I199" i="1" a="1"/>
  <c r="I288" i="4" a="1"/>
  <c r="I35" i="1" a="1"/>
  <c r="I330" i="1" a="1"/>
  <c r="K47" i="1" a="1"/>
  <c r="I472" i="1" a="1"/>
  <c r="K329" i="1" a="1"/>
  <c r="I333" i="1" a="1"/>
  <c r="I298" i="4" a="1"/>
  <c r="I169" i="4" a="1"/>
  <c r="K251" i="4" a="1"/>
  <c r="I310" i="4" a="1"/>
  <c r="I334" i="1" a="1"/>
  <c r="K468" i="4" a="1"/>
  <c r="I115" i="4" a="1"/>
  <c r="K261" i="1" a="1"/>
  <c r="I116" i="1" a="1"/>
  <c r="I433" i="4" a="1"/>
  <c r="I144" i="4" a="1"/>
  <c r="I69" i="1" a="1"/>
  <c r="I458" i="1" a="1"/>
  <c r="I97" i="1" a="1"/>
  <c r="I63" i="4" a="1"/>
  <c r="K451" i="1" a="1"/>
  <c r="I38" i="1" a="1"/>
  <c r="K530" i="4" a="1"/>
  <c r="I225" i="1" a="1"/>
  <c r="K96" i="1" a="1"/>
  <c r="I13" i="1" a="1"/>
  <c r="I267" i="1" a="1"/>
  <c r="I235" i="4" a="1"/>
  <c r="I315" i="4" a="1"/>
  <c r="I484" i="4" a="1"/>
  <c r="I304" i="1" a="1"/>
  <c r="K232" i="1" a="1"/>
  <c r="I473" i="4" a="1"/>
  <c r="K383" i="1" a="1"/>
  <c r="K473" i="1" a="1"/>
  <c r="I186" i="1" a="1"/>
  <c r="I467" i="1" a="1"/>
  <c r="K180" i="4" a="1"/>
  <c r="K322" i="1" a="1"/>
  <c r="I154" i="1" a="1"/>
  <c r="I217" i="1" a="1"/>
  <c r="K249" i="1" a="1"/>
  <c r="K98" i="4" a="1"/>
  <c r="K481" i="4" a="1"/>
  <c r="I26" i="4" a="1"/>
  <c r="I124" i="1" a="1"/>
  <c r="I482" i="1" a="1"/>
  <c r="I353" i="4" a="1"/>
  <c r="I81" i="4" a="1"/>
  <c r="I28" i="1" a="1"/>
  <c r="I455" i="1" a="1"/>
  <c r="I516" i="4" a="1"/>
  <c r="I540" i="4" a="1"/>
  <c r="I62" i="4" a="1"/>
  <c r="I237" i="1" a="1"/>
  <c r="K242" i="1" a="1"/>
  <c r="I266" i="4" a="1"/>
  <c r="I292" i="4" a="1"/>
  <c r="K425" i="4" a="1"/>
  <c r="I101" i="1" a="1"/>
  <c r="K252" i="1" a="1"/>
  <c r="I253" i="1" a="1"/>
  <c r="I450" i="4" a="1"/>
  <c r="I391" i="4" a="1"/>
  <c r="I482" i="4" a="1"/>
  <c r="I260" i="1" a="1"/>
  <c r="I70" i="4" a="1"/>
  <c r="I115" i="1" a="1"/>
  <c r="K246" i="1" a="1"/>
  <c r="I142" i="1" a="1"/>
  <c r="K155" i="1" a="1"/>
  <c r="K41" i="1" a="1"/>
  <c r="I517" i="4" a="1"/>
  <c r="I342" i="4" a="1"/>
  <c r="K111" i="4" a="1"/>
  <c r="I243" i="4" a="1"/>
  <c r="I102" i="4" a="1"/>
  <c r="I291" i="4" a="1"/>
  <c r="I204" i="4" a="1"/>
  <c r="K445" i="1" a="1"/>
  <c r="K2" i="1" a="1"/>
  <c r="I61" i="4" a="1"/>
  <c r="K195" i="1" a="1"/>
  <c r="I344" i="4" a="1"/>
  <c r="K409" i="4" a="1"/>
  <c r="K72" i="4" a="1"/>
  <c r="K187" i="4" a="1"/>
  <c r="I144" i="1" a="1"/>
  <c r="I345" i="4" a="1"/>
  <c r="I256" i="1" a="1"/>
  <c r="K182" i="1" a="1"/>
  <c r="I166" i="1" a="1"/>
  <c r="I382" i="4" a="1"/>
  <c r="I218" i="4" a="1"/>
  <c r="I432" i="1" a="1"/>
  <c r="K396" i="1" a="1"/>
  <c r="I167" i="1" a="1"/>
  <c r="I415" i="4" a="1"/>
  <c r="I436" i="1" a="1"/>
  <c r="I350" i="1" a="1"/>
  <c r="K105" i="1" a="1"/>
  <c r="I322" i="4" a="1"/>
  <c r="K381" i="4" a="1"/>
  <c r="K340" i="1" a="1"/>
  <c r="I410" i="1" a="1"/>
  <c r="I224" i="4" a="1"/>
  <c r="I165" i="1" a="1"/>
  <c r="I346" i="1" a="1"/>
  <c r="I416" i="1" a="1"/>
  <c r="K161" i="1" a="1"/>
  <c r="I9" i="1" a="1"/>
  <c r="I347" i="4" a="1"/>
  <c r="I180" i="1" a="1"/>
  <c r="I252" i="4" a="1"/>
  <c r="I139" i="1" a="1"/>
  <c r="I400" i="4" a="1"/>
  <c r="I19" i="1" a="1"/>
  <c r="I214" i="1" a="1"/>
  <c r="I10" i="4" a="1"/>
  <c r="K262" i="1" a="1"/>
  <c r="I101" i="4" a="1"/>
  <c r="I398" i="4" a="1"/>
  <c r="I84" i="1" a="1"/>
  <c r="K216" i="1" a="1"/>
  <c r="I138" i="4" a="1"/>
  <c r="I79" i="4" a="1"/>
  <c r="I47" i="1" a="1"/>
  <c r="I251" i="1" a="1"/>
  <c r="I119" i="1" a="1"/>
  <c r="I179" i="1" a="1"/>
  <c r="I107" i="1" a="1"/>
  <c r="K331" i="1" a="1"/>
  <c r="K95" i="1" a="1"/>
  <c r="K287" i="1" a="1"/>
  <c r="K512" i="4" a="1"/>
  <c r="K54" i="1" a="1"/>
  <c r="I148" i="1" a="1"/>
  <c r="I397" i="1" a="1"/>
  <c r="I131" i="1" a="1"/>
  <c r="I297" i="1" a="1"/>
  <c r="K86" i="4" a="1"/>
  <c r="K46" i="1" a="1"/>
  <c r="K165" i="1" a="1"/>
  <c r="K133" i="4" a="1"/>
  <c r="K419" i="1" a="1"/>
  <c r="I213" i="1" a="1"/>
  <c r="I131" i="4" a="1"/>
  <c r="K220" i="1" a="1"/>
  <c r="K210" i="1" a="1"/>
  <c r="K346" i="1" a="1"/>
  <c r="K37" i="1" a="1"/>
  <c r="I359" i="1" a="1"/>
  <c r="I356" i="4" a="1"/>
  <c r="I375" i="1" a="1"/>
  <c r="K110" i="1" a="1"/>
  <c r="I242" i="4" a="1"/>
  <c r="I175" i="4" a="1"/>
  <c r="K427" i="1" a="1"/>
  <c r="I192" i="1" a="1"/>
  <c r="I249" i="1" a="1"/>
  <c r="I28" i="4" a="1"/>
  <c r="I316" i="1" a="1"/>
  <c r="I135" i="1" a="1"/>
  <c r="I206" i="4" a="1"/>
  <c r="I369" i="4" a="1"/>
  <c r="K393" i="1" a="1"/>
  <c r="I209" i="4" a="1"/>
  <c r="I232" i="4" a="1"/>
  <c r="K248" i="1" a="1"/>
  <c r="K156" i="4" a="1"/>
  <c r="K367" i="1" a="1"/>
  <c r="I191" i="4" a="1"/>
  <c r="I396" i="1" a="1"/>
  <c r="I240" i="1" a="1"/>
  <c r="K29" i="1" a="1"/>
  <c r="I194" i="1" a="1"/>
  <c r="I40" i="4" a="1"/>
  <c r="I306" i="1" a="1"/>
  <c r="I318" i="4" a="1"/>
  <c r="K88" i="1" a="1"/>
  <c r="I490" i="4" a="1"/>
  <c r="I74" i="4" a="1"/>
  <c r="I176" i="4" a="1"/>
  <c r="I176" i="4" l="1"/>
  <c r="I74" i="4"/>
  <c r="I490" i="4"/>
  <c r="K88" i="1"/>
  <c r="I318" i="4"/>
  <c r="I306" i="1"/>
  <c r="I40" i="4"/>
  <c r="I194" i="1"/>
  <c r="K29" i="1"/>
  <c r="I240" i="1"/>
  <c r="I396" i="1"/>
  <c r="I191" i="4"/>
  <c r="K367" i="1"/>
  <c r="K156" i="4"/>
  <c r="K248" i="1"/>
  <c r="I232" i="4"/>
  <c r="I209" i="4"/>
  <c r="K393" i="1"/>
  <c r="I369" i="4"/>
  <c r="I206" i="4"/>
  <c r="I135" i="1"/>
  <c r="I316" i="1"/>
  <c r="I28" i="4"/>
  <c r="I249" i="1"/>
  <c r="I192" i="1"/>
  <c r="K427" i="1"/>
  <c r="I175" i="4"/>
  <c r="I242" i="4"/>
  <c r="K110" i="1"/>
  <c r="I375" i="1"/>
  <c r="I356" i="4"/>
  <c r="I359" i="1"/>
  <c r="K37" i="1"/>
  <c r="K346" i="1"/>
  <c r="K210" i="1"/>
  <c r="K220" i="1"/>
  <c r="I131" i="4"/>
  <c r="I213" i="1"/>
  <c r="K419" i="1"/>
  <c r="K133" i="4"/>
  <c r="K165" i="1"/>
  <c r="K46" i="1"/>
  <c r="K86" i="4"/>
  <c r="I297" i="1"/>
  <c r="I131" i="1"/>
  <c r="I397" i="1"/>
  <c r="I148" i="1"/>
  <c r="K54" i="1"/>
  <c r="K512" i="4"/>
  <c r="K287" i="1"/>
  <c r="K95" i="1"/>
  <c r="K331" i="1"/>
  <c r="I107" i="1"/>
  <c r="I179" i="1"/>
  <c r="I119" i="1"/>
  <c r="I251" i="1"/>
  <c r="I47" i="1"/>
  <c r="I79" i="4"/>
  <c r="I138" i="4"/>
  <c r="K216" i="1"/>
  <c r="I84" i="1"/>
  <c r="I398" i="4"/>
  <c r="I101" i="4"/>
  <c r="K262" i="1"/>
  <c r="I10" i="4"/>
  <c r="I214" i="1"/>
  <c r="I19" i="1"/>
  <c r="I400" i="4"/>
  <c r="I139" i="1"/>
  <c r="I252" i="4"/>
  <c r="I180" i="1"/>
  <c r="I347" i="4"/>
  <c r="I9" i="1"/>
  <c r="K161" i="1"/>
  <c r="I416" i="1"/>
  <c r="I346" i="1"/>
  <c r="I165" i="1"/>
  <c r="I224" i="4"/>
  <c r="I410" i="1"/>
  <c r="K340" i="1"/>
  <c r="K381" i="4"/>
  <c r="I322" i="4"/>
  <c r="K105" i="1"/>
  <c r="I350" i="1"/>
  <c r="I436" i="1"/>
  <c r="I415" i="4"/>
  <c r="I167" i="1"/>
  <c r="K396" i="1"/>
  <c r="I432" i="1"/>
  <c r="I218" i="4"/>
  <c r="I382" i="4"/>
  <c r="I166" i="1"/>
  <c r="K182" i="1"/>
  <c r="I256" i="1"/>
  <c r="I345" i="4"/>
  <c r="I144" i="1"/>
  <c r="K187" i="4"/>
  <c r="K72" i="4"/>
  <c r="K409" i="4"/>
  <c r="I344" i="4"/>
  <c r="K195" i="1"/>
  <c r="I61" i="4"/>
  <c r="K2" i="1"/>
  <c r="K445" i="1"/>
  <c r="I204" i="4"/>
  <c r="I291" i="4"/>
  <c r="I102" i="4"/>
  <c r="I243" i="4"/>
  <c r="K111" i="4"/>
  <c r="I342" i="4"/>
  <c r="I517" i="4"/>
  <c r="K41" i="1"/>
  <c r="K155" i="1"/>
  <c r="I142" i="1"/>
  <c r="K246" i="1"/>
  <c r="I115" i="1"/>
  <c r="I70" i="4"/>
  <c r="I260" i="1"/>
  <c r="I482" i="4"/>
  <c r="I391" i="4"/>
  <c r="I450" i="4"/>
  <c r="I253" i="1"/>
  <c r="K252" i="1"/>
  <c r="I101" i="1"/>
  <c r="K425" i="4"/>
  <c r="I292" i="4"/>
  <c r="I266" i="4"/>
  <c r="K242" i="1"/>
  <c r="I237" i="1"/>
  <c r="I62" i="4"/>
  <c r="I540" i="4"/>
  <c r="I516" i="4"/>
  <c r="I455" i="1"/>
  <c r="I28" i="1"/>
  <c r="I81" i="4"/>
  <c r="I353" i="4"/>
  <c r="I482" i="1"/>
  <c r="I124" i="1"/>
  <c r="I26" i="4"/>
  <c r="K481" i="4"/>
  <c r="K98" i="4"/>
  <c r="K249" i="1"/>
  <c r="I217" i="1"/>
  <c r="I154" i="1"/>
  <c r="K322" i="1"/>
  <c r="K180" i="4"/>
  <c r="I467" i="1"/>
  <c r="I186" i="1"/>
  <c r="K473" i="1"/>
  <c r="K383" i="1"/>
  <c r="I473" i="4"/>
  <c r="K232" i="1"/>
  <c r="I304" i="1"/>
  <c r="I484" i="4"/>
  <c r="I315" i="4"/>
  <c r="I235" i="4"/>
  <c r="I267" i="1"/>
  <c r="I13" i="1"/>
  <c r="K96" i="1"/>
  <c r="I225" i="1"/>
  <c r="K530" i="4"/>
  <c r="I38" i="1"/>
  <c r="K451" i="1"/>
  <c r="I63" i="4"/>
  <c r="I97" i="1"/>
  <c r="I458" i="1"/>
  <c r="I69" i="1"/>
  <c r="I144" i="4"/>
  <c r="I433" i="4"/>
  <c r="I116" i="1"/>
  <c r="K261" i="1"/>
  <c r="I115" i="4"/>
  <c r="K468" i="4"/>
  <c r="I334" i="1"/>
  <c r="I310" i="4"/>
  <c r="K251" i="4"/>
  <c r="I169" i="4"/>
  <c r="I298" i="4"/>
  <c r="I333" i="1"/>
  <c r="K329" i="1"/>
  <c r="I472" i="1"/>
  <c r="K47" i="1"/>
  <c r="I330" i="1"/>
  <c r="I35" i="1"/>
  <c r="I288" i="4"/>
  <c r="I199" i="1"/>
  <c r="I119" i="4"/>
  <c r="I434" i="1"/>
  <c r="I20" i="4"/>
  <c r="I4" i="1"/>
  <c r="I395" i="4"/>
  <c r="K159" i="1"/>
  <c r="K198" i="4"/>
  <c r="K152" i="4"/>
  <c r="I429" i="4"/>
  <c r="I422" i="4"/>
  <c r="K281" i="1"/>
  <c r="I476" i="1"/>
  <c r="K77" i="1"/>
  <c r="K420" i="1"/>
  <c r="I37" i="1"/>
  <c r="K128" i="4"/>
  <c r="K528" i="4"/>
  <c r="K478" i="1"/>
  <c r="I297" i="4"/>
  <c r="K45" i="1"/>
  <c r="I161" i="1"/>
  <c r="K63" i="1"/>
  <c r="I308" i="1"/>
  <c r="K368" i="1"/>
  <c r="I325" i="4"/>
  <c r="I457" i="1"/>
  <c r="I188" i="4"/>
  <c r="I129" i="4"/>
  <c r="I198" i="4"/>
  <c r="I5" i="4"/>
  <c r="I236" i="4"/>
  <c r="I460" i="4"/>
  <c r="K116" i="1"/>
  <c r="K359" i="4"/>
  <c r="I365" i="4"/>
  <c r="I320" i="1"/>
  <c r="K407" i="1"/>
  <c r="I334" i="4"/>
  <c r="I111" i="4"/>
  <c r="K183" i="1"/>
  <c r="I327" i="1"/>
  <c r="K241" i="1"/>
  <c r="I414" i="4"/>
  <c r="I407" i="1"/>
  <c r="K372" i="4"/>
  <c r="K259" i="1"/>
  <c r="I231" i="1"/>
  <c r="I268" i="1"/>
  <c r="K176" i="1"/>
  <c r="I317" i="4"/>
  <c r="I174" i="1"/>
  <c r="I201" i="1"/>
  <c r="K101" i="1"/>
  <c r="I398" i="1"/>
  <c r="K266" i="1"/>
  <c r="I18" i="1"/>
  <c r="K38" i="1"/>
  <c r="K156" i="1"/>
  <c r="K49" i="1"/>
  <c r="I43" i="4"/>
  <c r="K42" i="1"/>
  <c r="I116" i="4"/>
  <c r="I239" i="4"/>
  <c r="I123" i="4"/>
  <c r="I272" i="4"/>
  <c r="I469" i="1"/>
  <c r="K36" i="1"/>
  <c r="K40" i="1"/>
  <c r="K328" i="1"/>
  <c r="I335" i="1"/>
  <c r="K202" i="1"/>
  <c r="K227" i="1"/>
  <c r="K129" i="1"/>
  <c r="I137" i="4"/>
  <c r="K422" i="1"/>
  <c r="K435" i="1"/>
  <c r="I181" i="1"/>
  <c r="I100" i="4"/>
  <c r="I475" i="4"/>
  <c r="K359" i="1"/>
  <c r="I52" i="4"/>
  <c r="I240" i="4"/>
  <c r="K539" i="4"/>
  <c r="I274" i="4"/>
  <c r="I249" i="4"/>
  <c r="I275" i="4"/>
  <c r="K442" i="1"/>
  <c r="I399" i="4"/>
  <c r="K18" i="1"/>
  <c r="I443" i="1"/>
  <c r="I85" i="1"/>
  <c r="K28" i="1"/>
  <c r="K26" i="1"/>
  <c r="K454" i="1"/>
  <c r="I44" i="4"/>
  <c r="I73" i="4"/>
  <c r="I395" i="1"/>
  <c r="I302" i="4"/>
  <c r="K429" i="1"/>
  <c r="K444" i="1"/>
  <c r="K284" i="4"/>
  <c r="I323" i="1"/>
  <c r="I541" i="4"/>
  <c r="K470" i="1"/>
  <c r="K418" i="4"/>
  <c r="I269" i="1"/>
  <c r="K35" i="1"/>
  <c r="I401" i="1"/>
  <c r="K305" i="1"/>
  <c r="I361" i="1"/>
  <c r="K193" i="1"/>
  <c r="K21" i="1"/>
  <c r="I366" i="1"/>
  <c r="K240" i="1"/>
  <c r="I385" i="1"/>
  <c r="I456" i="1"/>
  <c r="K447" i="1"/>
  <c r="I467" i="4"/>
  <c r="I509" i="4"/>
  <c r="I299" i="4"/>
  <c r="I46" i="4"/>
  <c r="K12" i="1"/>
  <c r="K71" i="1"/>
  <c r="I222" i="1"/>
  <c r="I288" i="1"/>
  <c r="I179" i="4"/>
  <c r="I486" i="4"/>
  <c r="I181" i="4"/>
  <c r="K67" i="1"/>
  <c r="K151" i="1"/>
  <c r="I394" i="1"/>
  <c r="K140" i="1"/>
  <c r="K356" i="1"/>
  <c r="K24" i="4"/>
  <c r="I38" i="4"/>
  <c r="K358" i="4"/>
  <c r="I368" i="4"/>
  <c r="K141" i="4"/>
  <c r="I66" i="1"/>
  <c r="I53" i="4"/>
  <c r="I239" i="1"/>
  <c r="I413" i="4"/>
  <c r="I48" i="1"/>
  <c r="K237" i="1"/>
  <c r="K207" i="1"/>
  <c r="K244" i="1"/>
  <c r="I285" i="1"/>
  <c r="I465" i="4"/>
  <c r="K428" i="1"/>
  <c r="I242" i="1"/>
  <c r="I210" i="4"/>
  <c r="I340" i="1"/>
  <c r="I197" i="4"/>
  <c r="I153" i="1"/>
  <c r="K464" i="1"/>
  <c r="K257" i="1"/>
  <c r="I417" i="1"/>
  <c r="I431" i="1"/>
  <c r="K108" i="1"/>
  <c r="I373" i="1"/>
  <c r="I520" i="4"/>
  <c r="I379" i="4"/>
  <c r="I125" i="1"/>
  <c r="I254" i="1"/>
  <c r="K318" i="1"/>
  <c r="I245" i="4"/>
  <c r="I63" i="1"/>
  <c r="I301" i="1"/>
  <c r="I364" i="1"/>
  <c r="I218" i="1"/>
  <c r="I293" i="1"/>
  <c r="I189" i="1"/>
  <c r="K178" i="1"/>
  <c r="I428" i="1"/>
  <c r="K300" i="4"/>
  <c r="I23" i="4"/>
  <c r="K17" i="1"/>
  <c r="K369" i="1"/>
  <c r="I223" i="1"/>
  <c r="I439" i="4"/>
  <c r="K353" i="1"/>
  <c r="I231" i="4"/>
  <c r="I118" i="4"/>
  <c r="I363" i="4"/>
  <c r="K264" i="1"/>
  <c r="K470" i="4"/>
  <c r="K319" i="4"/>
  <c r="I233" i="1"/>
  <c r="I259" i="1"/>
  <c r="I255" i="1"/>
  <c r="I374" i="1"/>
  <c r="I362" i="1"/>
  <c r="I107" i="4"/>
  <c r="I59" i="1"/>
  <c r="I514" i="4"/>
  <c r="I125" i="4"/>
  <c r="I29" i="4"/>
  <c r="K154" i="1"/>
  <c r="K263" i="1"/>
  <c r="I361" i="4"/>
  <c r="I418" i="4"/>
  <c r="K297" i="4"/>
  <c r="K130" i="1"/>
  <c r="K377" i="4"/>
  <c r="I434" i="4"/>
  <c r="I208" i="1"/>
  <c r="K258" i="1"/>
  <c r="K409" i="1"/>
  <c r="I199" i="4"/>
  <c r="K317" i="1"/>
  <c r="I57" i="1"/>
  <c r="I44" i="1"/>
  <c r="I110" i="1"/>
  <c r="I257" i="4"/>
  <c r="I457" i="4"/>
  <c r="I354" i="4"/>
  <c r="K411" i="4"/>
  <c r="I55" i="4"/>
  <c r="I210" i="1"/>
  <c r="K308" i="1"/>
  <c r="K288" i="1"/>
  <c r="I192" i="4"/>
  <c r="K304" i="1"/>
  <c r="I444" i="1"/>
  <c r="K59" i="1"/>
  <c r="I175" i="1"/>
  <c r="I95" i="4"/>
  <c r="K506" i="4"/>
  <c r="I255" i="4"/>
  <c r="I309" i="1"/>
  <c r="K44" i="1"/>
  <c r="K460" i="1"/>
  <c r="I15" i="4"/>
  <c r="I162" i="1"/>
  <c r="I8" i="4"/>
  <c r="I375" i="4"/>
  <c r="I347" i="1"/>
  <c r="I279" i="1"/>
  <c r="I189" i="4"/>
  <c r="K212" i="1"/>
  <c r="I39" i="4"/>
  <c r="I56" i="4"/>
  <c r="K361" i="1"/>
  <c r="K333" i="4"/>
  <c r="I403" i="4"/>
  <c r="K172" i="1"/>
  <c r="I71" i="1"/>
  <c r="I187" i="4"/>
  <c r="K323" i="1"/>
  <c r="I406" i="4"/>
  <c r="I367" i="1"/>
  <c r="I464" i="4"/>
  <c r="I436" i="4"/>
  <c r="I34" i="4"/>
  <c r="K106" i="1"/>
  <c r="I293" i="4"/>
  <c r="K189" i="4"/>
  <c r="K7" i="1"/>
  <c r="I241" i="1"/>
  <c r="I388" i="4"/>
  <c r="I91" i="4"/>
  <c r="K390" i="1"/>
  <c r="I40" i="1"/>
  <c r="K76" i="1"/>
  <c r="K111" i="1"/>
  <c r="I355" i="4"/>
  <c r="I478" i="4"/>
  <c r="I400" i="1"/>
  <c r="I337" i="1"/>
  <c r="K531" i="4"/>
  <c r="I13" i="4"/>
  <c r="I168" i="1"/>
  <c r="I284" i="4"/>
  <c r="I290" i="4"/>
  <c r="I14" i="1"/>
  <c r="I336" i="1"/>
  <c r="I393" i="1"/>
  <c r="I313" i="4"/>
  <c r="K103" i="1"/>
  <c r="K139" i="4"/>
  <c r="K73" i="4"/>
  <c r="I387" i="4"/>
  <c r="I148" i="4"/>
  <c r="I62" i="1"/>
  <c r="I87" i="4"/>
  <c r="I84" i="4"/>
  <c r="K260" i="4"/>
  <c r="K208" i="4"/>
  <c r="K350" i="1"/>
  <c r="K277" i="1"/>
  <c r="I409" i="4"/>
  <c r="K166" i="1"/>
  <c r="K13" i="1"/>
  <c r="K367" i="4"/>
  <c r="K169" i="4"/>
  <c r="I523" i="4"/>
  <c r="I128" i="4"/>
  <c r="I229" i="4"/>
  <c r="I430" i="4"/>
  <c r="K397" i="1"/>
  <c r="K147" i="4"/>
  <c r="I308" i="4"/>
  <c r="K447" i="4"/>
  <c r="I343" i="4"/>
  <c r="I454" i="4"/>
  <c r="K159" i="4"/>
  <c r="I282" i="4"/>
  <c r="I421" i="1"/>
  <c r="K498" i="4"/>
  <c r="I390" i="1"/>
  <c r="I426" i="1"/>
  <c r="I462" i="1"/>
  <c r="I512" i="4"/>
  <c r="I461" i="4"/>
  <c r="I437" i="4"/>
  <c r="K11" i="1"/>
  <c r="I284" i="1"/>
  <c r="I18" i="4"/>
  <c r="K16" i="4"/>
  <c r="I341" i="4"/>
  <c r="I43" i="1"/>
  <c r="I437" i="1"/>
  <c r="I470" i="1"/>
  <c r="I328" i="1"/>
  <c r="I21" i="4"/>
  <c r="K198" i="1"/>
  <c r="K364" i="1"/>
  <c r="K417" i="1"/>
  <c r="K483" i="1"/>
  <c r="I329" i="4"/>
  <c r="I397" i="4"/>
  <c r="K120" i="1"/>
  <c r="K474" i="1"/>
  <c r="I378" i="1"/>
  <c r="K54" i="4"/>
  <c r="I460" i="1"/>
  <c r="I9" i="4"/>
  <c r="I294" i="4"/>
  <c r="K482" i="1"/>
  <c r="I494" i="4"/>
  <c r="K82" i="1"/>
  <c r="I355" i="1"/>
  <c r="I282" i="1"/>
  <c r="K324" i="1"/>
  <c r="I527" i="4"/>
  <c r="K486" i="1"/>
  <c r="K479" i="1"/>
  <c r="K505" i="4"/>
  <c r="I237" i="4"/>
  <c r="I60" i="4"/>
  <c r="I356" i="1"/>
  <c r="I408" i="4"/>
  <c r="I211" i="1"/>
  <c r="I16" i="1"/>
  <c r="I271" i="4"/>
  <c r="I127" i="1"/>
  <c r="K388" i="1"/>
  <c r="K421" i="1"/>
  <c r="K134" i="1"/>
  <c r="I272" i="1"/>
  <c r="K143" i="4"/>
  <c r="I95" i="1"/>
  <c r="I22" i="4"/>
  <c r="I55" i="1"/>
  <c r="I278" i="1"/>
  <c r="I427" i="1"/>
  <c r="K148" i="1"/>
  <c r="I151" i="1"/>
  <c r="K87" i="1"/>
  <c r="I447" i="1"/>
  <c r="K15" i="4"/>
  <c r="K322" i="4"/>
  <c r="I425" i="4"/>
  <c r="K462" i="1"/>
  <c r="I283" i="4"/>
  <c r="I277" i="1"/>
  <c r="I405" i="1"/>
  <c r="K509" i="4"/>
  <c r="K378" i="4"/>
  <c r="I104" i="1"/>
  <c r="K385" i="1"/>
  <c r="I51" i="1"/>
  <c r="I531" i="4"/>
  <c r="I392" i="1"/>
  <c r="K356" i="4"/>
  <c r="K186" i="4"/>
  <c r="K334" i="1"/>
  <c r="I96" i="1"/>
  <c r="I160" i="1"/>
  <c r="I229" i="1"/>
  <c r="K372" i="1"/>
  <c r="K446" i="4"/>
  <c r="I387" i="1"/>
  <c r="K160" i="4"/>
  <c r="I232" i="1"/>
  <c r="I338" i="1"/>
  <c r="K185" i="4"/>
  <c r="K457" i="4"/>
  <c r="K118" i="1"/>
  <c r="K463" i="4"/>
  <c r="I11" i="1"/>
  <c r="K280" i="1"/>
  <c r="I248" i="4"/>
  <c r="I158" i="4"/>
  <c r="K295" i="1"/>
  <c r="K228" i="1"/>
  <c r="I291" i="1"/>
  <c r="I504" i="4"/>
  <c r="I220" i="4"/>
  <c r="I369" i="1"/>
  <c r="K249" i="4"/>
  <c r="I24" i="1"/>
  <c r="I216" i="1"/>
  <c r="K224" i="1"/>
  <c r="I41" i="4"/>
  <c r="I538" i="4"/>
  <c r="I346" i="4"/>
  <c r="K22" i="1"/>
  <c r="I470" i="4"/>
  <c r="I113" i="4"/>
  <c r="I383" i="4"/>
  <c r="I459" i="1"/>
  <c r="K454" i="4"/>
  <c r="K423" i="1"/>
  <c r="K15" i="1"/>
  <c r="I481" i="4"/>
  <c r="I371" i="4"/>
  <c r="I324" i="4"/>
  <c r="I474" i="4"/>
  <c r="I202" i="4"/>
  <c r="K190" i="1"/>
  <c r="I352" i="4"/>
  <c r="I220" i="1"/>
  <c r="I339" i="4"/>
  <c r="I271" i="1"/>
  <c r="K437" i="1"/>
  <c r="I403" i="1"/>
  <c r="I294" i="1"/>
  <c r="K489" i="4"/>
  <c r="I122" i="4"/>
  <c r="I19" i="4"/>
  <c r="I67" i="4"/>
  <c r="K453" i="1"/>
  <c r="I113" i="1"/>
  <c r="I214" i="4"/>
  <c r="I280" i="4"/>
  <c r="I178" i="1"/>
  <c r="I420" i="4"/>
  <c r="I313" i="1"/>
  <c r="I110" i="4"/>
  <c r="I483" i="1"/>
  <c r="K228" i="4"/>
  <c r="I349" i="4"/>
  <c r="I91" i="1"/>
  <c r="K27" i="1"/>
  <c r="I94" i="4"/>
  <c r="I339" i="1"/>
  <c r="I401" i="4"/>
  <c r="I105" i="1"/>
  <c r="I440" i="1"/>
  <c r="I207" i="1"/>
  <c r="K354" i="1"/>
  <c r="I256" i="4"/>
  <c r="I447" i="4"/>
  <c r="K357" i="4"/>
  <c r="K113" i="1"/>
  <c r="I198" i="1"/>
  <c r="I456" i="4"/>
  <c r="I200" i="4"/>
  <c r="I17" i="4"/>
  <c r="K448" i="1"/>
  <c r="I128" i="1"/>
  <c r="K404" i="1"/>
  <c r="K144" i="4"/>
  <c r="K497" i="4"/>
  <c r="K92" i="4"/>
  <c r="K139" i="1"/>
  <c r="I203" i="1"/>
  <c r="K366" i="1"/>
  <c r="I521" i="4"/>
  <c r="K408" i="1"/>
  <c r="K12" i="4"/>
  <c r="K436" i="4"/>
  <c r="I468" i="1"/>
  <c r="K399" i="1"/>
  <c r="K206" i="1"/>
  <c r="K236" i="1"/>
  <c r="I208" i="4"/>
  <c r="K62" i="4"/>
  <c r="I196" i="1"/>
  <c r="K231" i="1"/>
  <c r="K147" i="1"/>
  <c r="I427" i="4"/>
  <c r="I52" i="1"/>
  <c r="I54" i="1"/>
  <c r="K526" i="4"/>
  <c r="K414" i="1"/>
  <c r="K98" i="1"/>
  <c r="K469" i="1"/>
  <c r="I332" i="1"/>
  <c r="I3" i="4"/>
  <c r="K340" i="4"/>
  <c r="K200" i="4"/>
  <c r="K256" i="1"/>
  <c r="I211" i="4"/>
  <c r="K66" i="1"/>
  <c r="I163" i="1"/>
  <c r="I384" i="1"/>
  <c r="K337" i="1"/>
  <c r="K302" i="1"/>
  <c r="K78" i="1"/>
  <c r="K455" i="1"/>
  <c r="I522" i="4"/>
  <c r="K136" i="1"/>
  <c r="I145" i="1"/>
  <c r="K58" i="1"/>
  <c r="I477" i="1"/>
  <c r="K312" i="1"/>
  <c r="K44" i="4"/>
  <c r="I326" i="4"/>
  <c r="I248" i="1"/>
  <c r="K481" i="1"/>
  <c r="I508" i="4"/>
  <c r="K342" i="1"/>
  <c r="I222" i="4"/>
  <c r="K85" i="1"/>
  <c r="K294" i="1"/>
  <c r="K284" i="1"/>
  <c r="K132" i="1"/>
  <c r="I413" i="1"/>
  <c r="I42" i="1"/>
  <c r="I64" i="4"/>
  <c r="K131" i="4"/>
  <c r="I321" i="4"/>
  <c r="K114" i="1"/>
  <c r="I90" i="4"/>
  <c r="K194" i="1"/>
  <c r="I373" i="4"/>
  <c r="I477" i="4"/>
  <c r="I147" i="1"/>
  <c r="I466" i="4"/>
  <c r="K230" i="1"/>
  <c r="I316" i="4"/>
  <c r="K365" i="1"/>
  <c r="K433" i="4"/>
  <c r="K235" i="4"/>
  <c r="I286" i="1"/>
  <c r="K201" i="1"/>
  <c r="I445" i="1"/>
  <c r="I98" i="4"/>
  <c r="K357" i="1"/>
  <c r="I385" i="4"/>
  <c r="I424" i="4"/>
  <c r="I362" i="4"/>
  <c r="K271" i="1"/>
  <c r="I496" i="4"/>
  <c r="I391" i="1"/>
  <c r="I99" i="4"/>
  <c r="K413" i="1"/>
  <c r="I415" i="1"/>
  <c r="I435" i="4"/>
  <c r="I25" i="4"/>
  <c r="K349" i="1"/>
  <c r="K339" i="1"/>
  <c r="I472" i="4"/>
  <c r="I277" i="4"/>
  <c r="I250" i="4"/>
  <c r="I262" i="4"/>
  <c r="I489" i="4"/>
  <c r="I204" i="1"/>
  <c r="I243" i="1"/>
  <c r="K403" i="1"/>
  <c r="I389" i="4"/>
  <c r="I212" i="1"/>
  <c r="K264" i="4"/>
  <c r="I246" i="4"/>
  <c r="I319" i="4"/>
  <c r="I23" i="1"/>
  <c r="I68" i="1"/>
  <c r="K432" i="1"/>
  <c r="K320" i="1"/>
  <c r="I303" i="4"/>
  <c r="I439" i="1"/>
  <c r="I429" i="1"/>
  <c r="I154" i="4"/>
  <c r="I201" i="4"/>
  <c r="K47" i="4"/>
  <c r="I150" i="4"/>
  <c r="I73" i="1"/>
  <c r="I285" i="4"/>
  <c r="I50" i="1"/>
  <c r="I61" i="1"/>
  <c r="I31" i="4"/>
  <c r="I475" i="1"/>
  <c r="K415" i="1"/>
  <c r="K173" i="4"/>
  <c r="K191" i="4"/>
  <c r="K330" i="1"/>
  <c r="I530" i="4"/>
  <c r="I411" i="4"/>
  <c r="I465" i="1"/>
  <c r="I309" i="4"/>
  <c r="I81" i="1"/>
  <c r="K420" i="4"/>
  <c r="K170" i="4"/>
  <c r="I155" i="4"/>
  <c r="K131" i="1"/>
  <c r="K229" i="1"/>
  <c r="I77" i="1"/>
  <c r="K314" i="4"/>
  <c r="K204" i="4"/>
  <c r="I304" i="4"/>
  <c r="I307" i="4"/>
  <c r="I72" i="4"/>
  <c r="I542" i="4"/>
  <c r="I93" i="1"/>
  <c r="I227" i="1"/>
  <c r="K27" i="4"/>
  <c r="I382" i="1"/>
  <c r="K158" i="1"/>
  <c r="K112" i="4"/>
  <c r="K60" i="4"/>
  <c r="I173" i="1"/>
  <c r="K397" i="4"/>
  <c r="K113" i="4"/>
  <c r="K209" i="1"/>
  <c r="K449" i="1"/>
  <c r="I133" i="1"/>
  <c r="I4" i="4"/>
  <c r="I392" i="4"/>
  <c r="I92" i="4"/>
  <c r="I184" i="4"/>
  <c r="I75" i="4"/>
  <c r="I39" i="1"/>
  <c r="I279" i="4"/>
  <c r="I389" i="1"/>
  <c r="I276" i="4"/>
  <c r="I8" i="1"/>
  <c r="I328" i="4"/>
  <c r="I241" i="4"/>
  <c r="I461" i="1"/>
  <c r="K471" i="1"/>
  <c r="I543" i="4"/>
  <c r="I177" i="4"/>
  <c r="K150" i="1"/>
  <c r="I353" i="1"/>
  <c r="I479" i="1"/>
  <c r="I86" i="4"/>
  <c r="I300" i="1"/>
  <c r="I498" i="4"/>
  <c r="I117" i="4"/>
  <c r="K173" i="1"/>
  <c r="K351" i="1"/>
  <c r="I292" i="1"/>
  <c r="I228" i="4"/>
  <c r="I126" i="4"/>
  <c r="I483" i="4"/>
  <c r="K406" i="1"/>
  <c r="I404" i="4"/>
  <c r="K335" i="4"/>
  <c r="K126" i="1"/>
  <c r="K355" i="1"/>
  <c r="I134" i="4"/>
  <c r="I529" i="4"/>
  <c r="I103" i="4"/>
  <c r="I370" i="1"/>
  <c r="K226" i="1"/>
  <c r="I513" i="4"/>
  <c r="K141" i="1"/>
  <c r="I363" i="1"/>
  <c r="I315" i="1"/>
  <c r="I45" i="4"/>
  <c r="I58" i="1"/>
  <c r="I265" i="4"/>
  <c r="I469" i="4"/>
  <c r="I492" i="4"/>
  <c r="I348" i="1"/>
  <c r="K25" i="1"/>
  <c r="I408" i="1"/>
  <c r="K100" i="1"/>
  <c r="K107" i="1"/>
  <c r="I471" i="4"/>
  <c r="K438" i="1"/>
  <c r="I280" i="1"/>
  <c r="I157" i="4"/>
  <c r="I264" i="4"/>
  <c r="K79" i="4"/>
  <c r="I105" i="4"/>
  <c r="K23" i="1"/>
  <c r="I485" i="4"/>
  <c r="I72" i="1"/>
  <c r="I443" i="4"/>
  <c r="K398" i="1"/>
  <c r="I351" i="1"/>
  <c r="I109" i="1"/>
  <c r="K185" i="1"/>
  <c r="K181" i="1"/>
  <c r="K424" i="1"/>
  <c r="K48" i="1"/>
  <c r="K212" i="4"/>
  <c r="I51" i="4"/>
  <c r="I47" i="4"/>
  <c r="I305" i="4"/>
  <c r="I410" i="4"/>
  <c r="I82" i="4"/>
  <c r="I150" i="1"/>
  <c r="K371" i="1"/>
  <c r="I252" i="1"/>
  <c r="I444" i="4"/>
  <c r="I67" i="1"/>
  <c r="I97" i="4"/>
  <c r="I3" i="1"/>
  <c r="K163" i="1"/>
  <c r="I180" i="4"/>
  <c r="K53" i="1"/>
  <c r="I156" i="1"/>
  <c r="I519" i="4"/>
  <c r="K125" i="1"/>
  <c r="I412" i="1"/>
  <c r="K456" i="1"/>
  <c r="I471" i="1"/>
  <c r="I320" i="4"/>
  <c r="K320" i="4"/>
  <c r="K168" i="4"/>
  <c r="K333" i="1"/>
  <c r="I96" i="4"/>
  <c r="I386" i="4"/>
  <c r="I221" i="1"/>
  <c r="K343" i="1"/>
  <c r="K315" i="1"/>
  <c r="K240" i="4"/>
  <c r="K218" i="4"/>
  <c r="K418" i="1"/>
  <c r="I209" i="1"/>
  <c r="I88" i="1"/>
  <c r="I30" i="1"/>
  <c r="K163" i="4"/>
  <c r="K338" i="4"/>
  <c r="I60" i="1"/>
  <c r="I139" i="4"/>
  <c r="K24" i="1"/>
  <c r="K392" i="1"/>
  <c r="I114" i="4"/>
  <c r="K230" i="4"/>
  <c r="K50" i="1"/>
  <c r="K74" i="1"/>
  <c r="I479" i="4"/>
  <c r="K490" i="4"/>
  <c r="K430" i="4"/>
  <c r="I319" i="1"/>
  <c r="K157" i="4"/>
  <c r="K293" i="4"/>
  <c r="K495" i="4"/>
  <c r="I283" i="1"/>
  <c r="K19" i="1"/>
  <c r="K137" i="1"/>
  <c r="I195" i="1"/>
  <c r="I261" i="4"/>
  <c r="I245" i="1"/>
  <c r="I374" i="4"/>
  <c r="I329" i="1"/>
  <c r="K182" i="4"/>
  <c r="I121" i="4"/>
  <c r="I497" i="4"/>
  <c r="I296" i="4"/>
  <c r="I21" i="1"/>
  <c r="K61" i="1"/>
  <c r="K362" i="1"/>
  <c r="I473" i="1"/>
  <c r="I305" i="1"/>
  <c r="I182" i="1"/>
  <c r="K319" i="1"/>
  <c r="I286" i="4"/>
  <c r="I177" i="1"/>
  <c r="K2" i="4"/>
  <c r="I183" i="1"/>
  <c r="I190" i="1"/>
  <c r="K453" i="4"/>
  <c r="I331" i="4"/>
  <c r="I377" i="1"/>
  <c r="K265" i="1"/>
  <c r="K363" i="1"/>
  <c r="I205" i="4"/>
  <c r="I79" i="1"/>
  <c r="I359" i="4"/>
  <c r="I499" i="4"/>
  <c r="I495" i="4"/>
  <c r="I336" i="4"/>
  <c r="I463" i="1"/>
  <c r="I274" i="1"/>
  <c r="K503" i="4"/>
  <c r="I295" i="1"/>
  <c r="I170" i="1"/>
  <c r="K468" i="1"/>
  <c r="I310" i="1"/>
  <c r="K146" i="1"/>
  <c r="K466" i="1"/>
  <c r="I152" i="4"/>
  <c r="I106" i="1"/>
  <c r="I68" i="4"/>
  <c r="I500" i="4"/>
  <c r="I515" i="4"/>
  <c r="I438" i="1"/>
  <c r="I117" i="1"/>
  <c r="I380" i="4"/>
  <c r="K213" i="1"/>
  <c r="K283" i="1"/>
  <c r="I202" i="1"/>
  <c r="K99" i="1"/>
  <c r="I425" i="1"/>
  <c r="I168" i="4"/>
  <c r="I325" i="1"/>
  <c r="K62" i="1"/>
  <c r="K207" i="4"/>
  <c r="K97" i="4"/>
  <c r="K382" i="1"/>
  <c r="I164" i="1"/>
  <c r="I196" i="4"/>
  <c r="K122" i="1"/>
  <c r="I281" i="1"/>
  <c r="K70" i="1"/>
  <c r="K484" i="4"/>
  <c r="K205" i="4"/>
  <c r="I370" i="4"/>
  <c r="I233" i="4"/>
  <c r="I160" i="4"/>
  <c r="I386" i="1"/>
  <c r="K202" i="4"/>
  <c r="K348" i="4"/>
  <c r="I164" i="4"/>
  <c r="I152" i="1"/>
  <c r="K436" i="1"/>
  <c r="K412" i="1"/>
  <c r="K441" i="1"/>
  <c r="K30" i="4"/>
  <c r="K32" i="1"/>
  <c r="I193" i="4"/>
  <c r="I159" i="1"/>
  <c r="K120" i="4"/>
  <c r="K522" i="4"/>
  <c r="K472" i="1"/>
  <c r="I2" i="4"/>
  <c r="K172" i="4"/>
  <c r="K306" i="4"/>
  <c r="I149" i="1"/>
  <c r="I536" i="4"/>
  <c r="I99" i="1"/>
  <c r="K254" i="1"/>
  <c r="K117" i="1"/>
  <c r="I226" i="4"/>
  <c r="I357" i="4"/>
  <c r="K476" i="1"/>
  <c r="I230" i="4"/>
  <c r="K170" i="1"/>
  <c r="K222" i="1"/>
  <c r="K266" i="4"/>
  <c r="K29" i="4"/>
  <c r="I332" i="4"/>
  <c r="I348" i="4"/>
  <c r="I466" i="1"/>
  <c r="I16" i="4"/>
  <c r="I299" i="1"/>
  <c r="I258" i="4"/>
  <c r="K306" i="1"/>
  <c r="I414" i="1"/>
  <c r="K316" i="1"/>
  <c r="K278" i="4"/>
  <c r="I108" i="4"/>
  <c r="I83" i="4"/>
  <c r="I54" i="4"/>
  <c r="I455" i="4"/>
  <c r="K189" i="1"/>
  <c r="I122" i="1"/>
  <c r="K297" i="1"/>
  <c r="K278" i="1"/>
  <c r="I267" i="4"/>
  <c r="I404" i="1"/>
  <c r="I120" i="1"/>
  <c r="I183" i="4"/>
  <c r="I74" i="1"/>
  <c r="I384" i="4"/>
  <c r="I416" i="4"/>
  <c r="K476" i="4"/>
  <c r="K8" i="4"/>
  <c r="I327" i="4"/>
  <c r="K377" i="1"/>
  <c r="I405" i="4"/>
  <c r="K30" i="1"/>
  <c r="I7" i="1"/>
  <c r="I102" i="1"/>
  <c r="K296" i="1"/>
  <c r="I78" i="4"/>
  <c r="I146" i="4"/>
  <c r="I22" i="1"/>
  <c r="I307" i="1"/>
  <c r="K216" i="4"/>
  <c r="K119" i="1"/>
  <c r="I526" i="4"/>
  <c r="I87" i="1"/>
  <c r="K279" i="1"/>
  <c r="I532" i="4"/>
  <c r="I289" i="4"/>
  <c r="I130" i="4"/>
  <c r="K268" i="1"/>
  <c r="I17" i="1"/>
  <c r="K300" i="1"/>
  <c r="I32" i="4"/>
  <c r="I111" i="1"/>
  <c r="K290" i="4"/>
  <c r="I311" i="4"/>
  <c r="I440" i="4"/>
  <c r="I135" i="4"/>
  <c r="I411" i="1"/>
  <c r="K205" i="1"/>
  <c r="K293" i="1"/>
  <c r="K109" i="1"/>
  <c r="I89" i="4"/>
  <c r="I2" i="1"/>
  <c r="K466" i="4"/>
  <c r="K130" i="4"/>
  <c r="K217" i="1"/>
  <c r="I66" i="4"/>
  <c r="K485" i="1"/>
  <c r="K430" i="1"/>
  <c r="K380" i="1"/>
  <c r="I213" i="4"/>
  <c r="K104" i="4"/>
  <c r="I364" i="4"/>
  <c r="I156" i="4"/>
  <c r="K135" i="1"/>
  <c r="I118" i="1"/>
  <c r="I435" i="1"/>
  <c r="K475" i="4"/>
  <c r="K93" i="4"/>
  <c r="I525" i="4"/>
  <c r="I326" i="1"/>
  <c r="K358" i="1"/>
  <c r="I234" i="4"/>
  <c r="I153" i="4"/>
  <c r="K167" i="4"/>
  <c r="I452" i="1"/>
  <c r="I266" i="1"/>
  <c r="K391" i="1"/>
  <c r="K39" i="1"/>
  <c r="K256" i="4"/>
  <c r="K169" i="1"/>
  <c r="I406" i="1"/>
  <c r="K219" i="4"/>
  <c r="K211" i="4"/>
  <c r="I76" i="4"/>
  <c r="I182" i="4"/>
  <c r="I171" i="4"/>
  <c r="I6" i="1"/>
  <c r="I223" i="4"/>
  <c r="I481" i="1"/>
  <c r="I57" i="4"/>
  <c r="I80" i="4"/>
  <c r="I221" i="4"/>
  <c r="K218" i="1"/>
  <c r="I195" i="4"/>
  <c r="K527" i="4"/>
  <c r="I485" i="1"/>
  <c r="I312" i="4"/>
  <c r="I49" i="4"/>
  <c r="K152" i="1"/>
  <c r="I112" i="1"/>
  <c r="K405" i="1"/>
  <c r="I136" i="1"/>
  <c r="K199" i="1"/>
  <c r="K276" i="1"/>
  <c r="I396" i="4"/>
  <c r="K439" i="1"/>
  <c r="K347" i="1"/>
  <c r="K100" i="4"/>
  <c r="K493" i="4"/>
  <c r="K474" i="4"/>
  <c r="K83" i="1"/>
  <c r="I157" i="1"/>
  <c r="I312" i="1"/>
  <c r="K162" i="1"/>
  <c r="K225" i="1"/>
  <c r="I314" i="1"/>
  <c r="K64" i="1"/>
  <c r="I491" i="4"/>
  <c r="I36" i="4"/>
  <c r="K231" i="4"/>
  <c r="K364" i="4"/>
  <c r="K74" i="4"/>
  <c r="K34" i="1"/>
  <c r="I143" i="4"/>
  <c r="I377" i="4"/>
  <c r="I442" i="1"/>
  <c r="I186" i="4"/>
  <c r="I14" i="4"/>
  <c r="K260" i="1"/>
  <c r="K380" i="4"/>
  <c r="K239" i="4"/>
  <c r="K102" i="4"/>
  <c r="K534" i="4"/>
  <c r="I46" i="1"/>
  <c r="I270" i="1"/>
  <c r="K84" i="1"/>
  <c r="I446" i="4"/>
  <c r="I421" i="4"/>
  <c r="K191" i="1"/>
  <c r="K253" i="1"/>
  <c r="I121" i="1"/>
  <c r="K55" i="1"/>
  <c r="I462" i="4"/>
  <c r="K395" i="4"/>
  <c r="K423" i="4"/>
  <c r="K123" i="1"/>
  <c r="I474" i="1"/>
  <c r="I108" i="1"/>
  <c r="I219" i="4"/>
  <c r="I337" i="4"/>
  <c r="I311" i="1"/>
  <c r="K234" i="1"/>
  <c r="I90" i="1"/>
  <c r="I12" i="4"/>
  <c r="K258" i="4"/>
  <c r="K121" i="4"/>
  <c r="K35" i="4"/>
  <c r="I388" i="1"/>
  <c r="I428" i="4"/>
  <c r="I476" i="4"/>
  <c r="K376" i="1"/>
  <c r="I103" i="1"/>
  <c r="K56" i="1"/>
  <c r="I287" i="1"/>
  <c r="I185" i="1"/>
  <c r="I230" i="1"/>
  <c r="K513" i="4"/>
  <c r="K236" i="4"/>
  <c r="K183" i="4"/>
  <c r="K292" i="1"/>
  <c r="I6" i="4"/>
  <c r="K20" i="1"/>
  <c r="K43" i="1"/>
  <c r="K104" i="1"/>
  <c r="K355" i="4"/>
  <c r="K87" i="4"/>
  <c r="K114" i="4"/>
  <c r="K413" i="4"/>
  <c r="K214" i="4"/>
  <c r="K379" i="4"/>
  <c r="K28" i="4"/>
  <c r="K149" i="1"/>
  <c r="K311" i="1"/>
  <c r="K338" i="1"/>
  <c r="K5" i="1"/>
  <c r="I133" i="4"/>
  <c r="I449" i="4"/>
  <c r="K129" i="4"/>
  <c r="K78" i="4"/>
  <c r="K460" i="4"/>
  <c r="K261" i="4"/>
  <c r="K50" i="4"/>
  <c r="I127" i="4"/>
  <c r="I426" i="4"/>
  <c r="I124" i="4"/>
  <c r="K387" i="1"/>
  <c r="K401" i="1"/>
  <c r="K271" i="4"/>
  <c r="K486" i="4"/>
  <c r="K124" i="4"/>
  <c r="K233" i="4"/>
  <c r="K140" i="4"/>
  <c r="K535" i="4"/>
  <c r="K65" i="4"/>
  <c r="K259" i="4"/>
  <c r="I321" i="1"/>
  <c r="I338" i="4"/>
  <c r="K59" i="4"/>
  <c r="K107" i="4"/>
  <c r="K389" i="4"/>
  <c r="I126" i="1"/>
  <c r="I422" i="1"/>
  <c r="I383" i="1"/>
  <c r="K267" i="1"/>
  <c r="K4" i="4"/>
  <c r="K494" i="4"/>
  <c r="K354" i="4"/>
  <c r="I524" i="4"/>
  <c r="K214" i="1"/>
  <c r="K223" i="1"/>
  <c r="I276" i="1"/>
  <c r="I30" i="4"/>
  <c r="K160" i="1"/>
  <c r="K168" i="1"/>
  <c r="I480" i="4"/>
  <c r="I172" i="4"/>
  <c r="K80" i="4"/>
  <c r="K242" i="4"/>
  <c r="K19" i="4"/>
  <c r="I258" i="1"/>
  <c r="I238" i="1"/>
  <c r="I468" i="4"/>
  <c r="I171" i="1"/>
  <c r="K179" i="1"/>
  <c r="I227" i="4"/>
  <c r="I98" i="1"/>
  <c r="I187" i="1"/>
  <c r="K9" i="1"/>
  <c r="K201" i="4"/>
  <c r="K161" i="4"/>
  <c r="K136" i="4"/>
  <c r="K90" i="1"/>
  <c r="I65" i="4"/>
  <c r="I449" i="1"/>
  <c r="I278" i="4"/>
  <c r="I109" i="4"/>
  <c r="K150" i="4"/>
  <c r="K38" i="4"/>
  <c r="K374" i="4"/>
  <c r="K184" i="4"/>
  <c r="K88" i="4"/>
  <c r="K41" i="4"/>
  <c r="K21" i="4"/>
  <c r="K310" i="1"/>
  <c r="I216" i="4"/>
  <c r="I314" i="4"/>
  <c r="K303" i="1"/>
  <c r="I453" i="1"/>
  <c r="I165" i="4"/>
  <c r="K32" i="4"/>
  <c r="K115" i="4"/>
  <c r="K435" i="4"/>
  <c r="K343" i="4"/>
  <c r="K363" i="4"/>
  <c r="I92" i="1"/>
  <c r="I7" i="4"/>
  <c r="K142" i="1"/>
  <c r="K51" i="1"/>
  <c r="K461" i="1"/>
  <c r="K178" i="4"/>
  <c r="K245" i="4"/>
  <c r="K440" i="4"/>
  <c r="K103" i="4"/>
  <c r="K349" i="4"/>
  <c r="K437" i="4"/>
  <c r="K419" i="4"/>
  <c r="K145" i="4"/>
  <c r="K167" i="1"/>
  <c r="K382" i="4"/>
  <c r="K18" i="4"/>
  <c r="K427" i="4"/>
  <c r="K305" i="4"/>
  <c r="I147" i="4"/>
  <c r="K424" i="4"/>
  <c r="K188" i="4"/>
  <c r="K181" i="4"/>
  <c r="K64" i="4"/>
  <c r="I345" i="1"/>
  <c r="I263" i="1"/>
  <c r="K431" i="1"/>
  <c r="I486" i="1"/>
  <c r="I273" i="4"/>
  <c r="I254" i="4"/>
  <c r="I502" i="4"/>
  <c r="I507" i="4"/>
  <c r="K65" i="1"/>
  <c r="K344" i="4"/>
  <c r="K83" i="4"/>
  <c r="K365" i="4"/>
  <c r="I452" i="4"/>
  <c r="I351" i="4"/>
  <c r="K69" i="1"/>
  <c r="I269" i="4"/>
  <c r="I48" i="4"/>
  <c r="K177" i="1"/>
  <c r="K374" i="1"/>
  <c r="K142" i="4"/>
  <c r="K223" i="4"/>
  <c r="K482" i="4"/>
  <c r="K272" i="1"/>
  <c r="K215" i="1"/>
  <c r="I45" i="1"/>
  <c r="K92" i="1"/>
  <c r="I418" i="1"/>
  <c r="K251" i="1"/>
  <c r="I224" i="1"/>
  <c r="K344" i="1"/>
  <c r="I431" i="4"/>
  <c r="K145" i="1"/>
  <c r="K473" i="4"/>
  <c r="K123" i="4"/>
  <c r="K36" i="4"/>
  <c r="I275" i="1"/>
  <c r="I432" i="4"/>
  <c r="K211" i="1"/>
  <c r="K314" i="1"/>
  <c r="I141" i="1"/>
  <c r="I59" i="4"/>
  <c r="I505" i="4"/>
  <c r="I132" i="4"/>
  <c r="K247" i="1"/>
  <c r="K523" i="4"/>
  <c r="K91" i="4"/>
  <c r="K262" i="4"/>
  <c r="I11" i="4"/>
  <c r="I380" i="1"/>
  <c r="I138" i="1"/>
  <c r="I378" i="4"/>
  <c r="I226" i="1"/>
  <c r="K164" i="1"/>
  <c r="I464" i="1"/>
  <c r="K97" i="1"/>
  <c r="K348" i="1"/>
  <c r="K483" i="4"/>
  <c r="K384" i="4"/>
  <c r="K102" i="1"/>
  <c r="I438" i="4"/>
  <c r="I273" i="1"/>
  <c r="K291" i="1"/>
  <c r="K203" i="1"/>
  <c r="K402" i="1"/>
  <c r="K369" i="4"/>
  <c r="K164" i="4"/>
  <c r="K248" i="4"/>
  <c r="K155" i="4"/>
  <c r="K342" i="4"/>
  <c r="K313" i="4"/>
  <c r="K398" i="4"/>
  <c r="I170" i="4"/>
  <c r="I343" i="1"/>
  <c r="K3" i="1"/>
  <c r="K186" i="1"/>
  <c r="I215" i="4"/>
  <c r="K477" i="1"/>
  <c r="K51" i="4"/>
  <c r="K225" i="4"/>
  <c r="K307" i="4"/>
  <c r="K151" i="4"/>
  <c r="K45" i="4"/>
  <c r="I262" i="1"/>
  <c r="K463" i="1"/>
  <c r="I141" i="4"/>
  <c r="I78" i="1"/>
  <c r="K400" i="4"/>
  <c r="K291" i="4"/>
  <c r="K421" i="4"/>
  <c r="K467" i="4"/>
  <c r="K488" i="4"/>
  <c r="K84" i="4"/>
  <c r="K459" i="4"/>
  <c r="K132" i="4"/>
  <c r="K406" i="4"/>
  <c r="I442" i="4"/>
  <c r="K222" i="4"/>
  <c r="K287" i="4"/>
  <c r="K109" i="4"/>
  <c r="K76" i="4"/>
  <c r="I185" i="4"/>
  <c r="I194" i="4"/>
  <c r="I163" i="4"/>
  <c r="I77" i="4"/>
  <c r="I423" i="1"/>
  <c r="K80" i="1"/>
  <c r="I20" i="1"/>
  <c r="I140" i="4"/>
  <c r="I264" i="1"/>
  <c r="I296" i="1"/>
  <c r="I142" i="4"/>
  <c r="K332" i="1"/>
  <c r="K157" i="1"/>
  <c r="K286" i="1"/>
  <c r="I193" i="1"/>
  <c r="I65" i="1"/>
  <c r="I300" i="4"/>
  <c r="I407" i="4"/>
  <c r="I70" i="1"/>
  <c r="K243" i="1"/>
  <c r="I451" i="1"/>
  <c r="I136" i="4"/>
  <c r="K175" i="1"/>
  <c r="K128" i="1"/>
  <c r="K5" i="4"/>
  <c r="K149" i="4"/>
  <c r="K119" i="4"/>
  <c r="K326" i="4"/>
  <c r="I159" i="4"/>
  <c r="I114" i="1"/>
  <c r="K31" i="1"/>
  <c r="I247" i="1"/>
  <c r="K426" i="1"/>
  <c r="I270" i="4"/>
  <c r="I33" i="4"/>
  <c r="K197" i="1"/>
  <c r="I27" i="4"/>
  <c r="K500" i="4"/>
  <c r="K302" i="4"/>
  <c r="K217" i="4"/>
  <c r="I371" i="1"/>
  <c r="I430" i="1"/>
  <c r="I184" i="1"/>
  <c r="I251" i="4"/>
  <c r="K270" i="1"/>
  <c r="K124" i="1"/>
  <c r="I236" i="1"/>
  <c r="K126" i="4"/>
  <c r="K432" i="4"/>
  <c r="K116" i="4"/>
  <c r="I225" i="4"/>
  <c r="K326" i="1"/>
  <c r="I535" i="4"/>
  <c r="I246" i="1"/>
  <c r="I357" i="1"/>
  <c r="I257" i="1"/>
  <c r="I506" i="4"/>
  <c r="K138" i="1"/>
  <c r="K269" i="1"/>
  <c r="I64" i="1"/>
  <c r="K195" i="4"/>
  <c r="K3" i="4"/>
  <c r="K263" i="4"/>
  <c r="I533" i="4"/>
  <c r="I333" i="4"/>
  <c r="I10" i="1"/>
  <c r="I197" i="1"/>
  <c r="I49" i="1"/>
  <c r="I441" i="1"/>
  <c r="I50" i="4"/>
  <c r="K443" i="1"/>
  <c r="K233" i="1"/>
  <c r="K455" i="4"/>
  <c r="K464" i="4"/>
  <c r="I454" i="1"/>
  <c r="I487" i="4"/>
  <c r="I335" i="4"/>
  <c r="I493" i="4"/>
  <c r="I162" i="4"/>
  <c r="I234" i="1"/>
  <c r="I244" i="4"/>
  <c r="I399" i="1"/>
  <c r="I412" i="4"/>
  <c r="I368" i="1"/>
  <c r="K375" i="4"/>
  <c r="K286" i="4"/>
  <c r="K187" i="1"/>
  <c r="K373" i="1"/>
  <c r="I137" i="1"/>
  <c r="I174" i="4"/>
  <c r="I207" i="4"/>
  <c r="I123" i="1"/>
  <c r="K31" i="4"/>
  <c r="K49" i="4"/>
  <c r="K451" i="4"/>
  <c r="K394" i="4"/>
  <c r="K75" i="4"/>
  <c r="K339" i="4"/>
  <c r="K491" i="4"/>
  <c r="I172" i="1"/>
  <c r="I112" i="4"/>
  <c r="K144" i="1"/>
  <c r="K52" i="1"/>
  <c r="I145" i="4"/>
  <c r="K373" i="4"/>
  <c r="K66" i="4"/>
  <c r="K7" i="4"/>
  <c r="K392" i="4"/>
  <c r="K301" i="4"/>
  <c r="K25" i="4"/>
  <c r="I441" i="4"/>
  <c r="I37" i="4"/>
  <c r="I420" i="1"/>
  <c r="I219" i="1"/>
  <c r="K501" i="4"/>
  <c r="K137" i="4"/>
  <c r="K196" i="4"/>
  <c r="K275" i="4"/>
  <c r="K351" i="4"/>
  <c r="K56" i="4"/>
  <c r="K543" i="4"/>
  <c r="K542" i="4"/>
  <c r="K499" i="4"/>
  <c r="K433" i="1"/>
  <c r="K270" i="4"/>
  <c r="K203" i="4"/>
  <c r="K370" i="4"/>
  <c r="K532" i="4"/>
  <c r="K250" i="1"/>
  <c r="K452" i="1"/>
  <c r="I238" i="4"/>
  <c r="I301" i="4"/>
  <c r="K208" i="1"/>
  <c r="I268" i="4"/>
  <c r="I58" i="4"/>
  <c r="I29" i="1"/>
  <c r="K324" i="4"/>
  <c r="K465" i="4"/>
  <c r="K79" i="1"/>
  <c r="K298" i="1"/>
  <c r="I360" i="1"/>
  <c r="K459" i="1"/>
  <c r="I317" i="1"/>
  <c r="K301" i="1"/>
  <c r="K10" i="1"/>
  <c r="K375" i="1"/>
  <c r="K153" i="1"/>
  <c r="K220" i="4"/>
  <c r="K443" i="4"/>
  <c r="K46" i="4"/>
  <c r="I176" i="1"/>
  <c r="I75" i="1"/>
  <c r="K290" i="1"/>
  <c r="I372" i="4"/>
  <c r="I295" i="4"/>
  <c r="K285" i="1"/>
  <c r="K347" i="4"/>
  <c r="K403" i="4"/>
  <c r="K393" i="4"/>
  <c r="K536" i="4"/>
  <c r="K229" i="4"/>
  <c r="K215" i="4"/>
  <c r="K471" i="4"/>
  <c r="I82" i="1"/>
  <c r="I169" i="1"/>
  <c r="I289" i="1"/>
  <c r="I250" i="1"/>
  <c r="K115" i="1"/>
  <c r="K445" i="4"/>
  <c r="K390" i="4"/>
  <c r="K213" i="4"/>
  <c r="K146" i="4"/>
  <c r="K442" i="4"/>
  <c r="K292" i="4"/>
  <c r="I367" i="4"/>
  <c r="I448" i="1"/>
  <c r="K75" i="1"/>
  <c r="K416" i="1"/>
  <c r="K361" i="4"/>
  <c r="K520" i="4"/>
  <c r="K477" i="4"/>
  <c r="K176" i="4"/>
  <c r="K412" i="4"/>
  <c r="K55" i="4"/>
  <c r="K127" i="4"/>
  <c r="K294" i="4"/>
  <c r="I423" i="4"/>
  <c r="I265" i="1"/>
  <c r="K353" i="4"/>
  <c r="K105" i="4"/>
  <c r="K226" i="4"/>
  <c r="K414" i="4"/>
  <c r="I34" i="1"/>
  <c r="I358" i="4"/>
  <c r="K33" i="1"/>
  <c r="I130" i="1"/>
  <c r="I303" i="1"/>
  <c r="I235" i="1"/>
  <c r="I330" i="4"/>
  <c r="I200" i="1"/>
  <c r="K315" i="4"/>
  <c r="K308" i="4"/>
  <c r="I463" i="4"/>
  <c r="K93" i="1"/>
  <c r="I89" i="1"/>
  <c r="I166" i="4"/>
  <c r="K440" i="1"/>
  <c r="I501" i="4"/>
  <c r="I259" i="4"/>
  <c r="I409" i="1"/>
  <c r="I12" i="1"/>
  <c r="K311" i="4"/>
  <c r="K206" i="4"/>
  <c r="K391" i="4"/>
  <c r="I488" i="4"/>
  <c r="K235" i="1"/>
  <c r="K395" i="1"/>
  <c r="I510" i="4"/>
  <c r="I42" i="4"/>
  <c r="K245" i="1"/>
  <c r="K52" i="4"/>
  <c r="K429" i="4"/>
  <c r="K316" i="4"/>
  <c r="K478" i="4"/>
  <c r="K404" i="4"/>
  <c r="K268" i="4"/>
  <c r="K153" i="4"/>
  <c r="K370" i="1"/>
  <c r="I86" i="1"/>
  <c r="I433" i="1"/>
  <c r="I206" i="1"/>
  <c r="K180" i="1"/>
  <c r="K40" i="4"/>
  <c r="K77" i="4"/>
  <c r="K399" i="4"/>
  <c r="K193" i="4"/>
  <c r="K540" i="4"/>
  <c r="I318" i="1"/>
  <c r="I36" i="1"/>
  <c r="I478" i="1"/>
  <c r="K121" i="1"/>
  <c r="K394" i="1"/>
  <c r="K197" i="4"/>
  <c r="K269" i="4"/>
  <c r="K352" i="4"/>
  <c r="K537" i="4"/>
  <c r="K276" i="4"/>
  <c r="K162" i="4"/>
  <c r="K247" i="4"/>
  <c r="K43" i="4"/>
  <c r="I155" i="1"/>
  <c r="I205" i="1"/>
  <c r="K209" i="4"/>
  <c r="K325" i="4"/>
  <c r="K401" i="4"/>
  <c r="K487" i="4"/>
  <c r="I191" i="1"/>
  <c r="I376" i="1"/>
  <c r="I534" i="4"/>
  <c r="K299" i="1"/>
  <c r="K400" i="1"/>
  <c r="K508" i="4"/>
  <c r="K253" i="4"/>
  <c r="K352" i="1"/>
  <c r="I212" i="4"/>
  <c r="I381" i="1"/>
  <c r="K255" i="1"/>
  <c r="I390" i="4"/>
  <c r="I453" i="4"/>
  <c r="K94" i="1"/>
  <c r="K381" i="1"/>
  <c r="I261" i="1"/>
  <c r="K496" i="4"/>
  <c r="K177" i="4"/>
  <c r="K82" i="4"/>
  <c r="K81" i="1"/>
  <c r="I354" i="1"/>
  <c r="I451" i="4"/>
  <c r="I178" i="4"/>
  <c r="K446" i="1"/>
  <c r="I140" i="1"/>
  <c r="K325" i="1"/>
  <c r="I158" i="1"/>
  <c r="I480" i="1"/>
  <c r="K469" i="4"/>
  <c r="K336" i="4"/>
  <c r="K289" i="4"/>
  <c r="I376" i="4"/>
  <c r="K239" i="1"/>
  <c r="I5" i="1"/>
  <c r="I445" i="4"/>
  <c r="I342" i="1"/>
  <c r="K448" i="4"/>
  <c r="K317" i="4"/>
  <c r="K376" i="4"/>
  <c r="K283" i="4"/>
  <c r="K285" i="4"/>
  <c r="K265" i="4"/>
  <c r="K232" i="4"/>
  <c r="K434" i="4"/>
  <c r="I27" i="1"/>
  <c r="I190" i="4"/>
  <c r="I244" i="1"/>
  <c r="I459" i="4"/>
  <c r="I402" i="4"/>
  <c r="K518" i="4"/>
  <c r="K529" i="4"/>
  <c r="K81" i="4"/>
  <c r="K323" i="4"/>
  <c r="K515" i="4"/>
  <c r="I349" i="1"/>
  <c r="I379" i="1"/>
  <c r="K4" i="1"/>
  <c r="I324" i="1"/>
  <c r="K341" i="1"/>
  <c r="K525" i="4"/>
  <c r="K368" i="4"/>
  <c r="K171" i="4"/>
  <c r="K310" i="4"/>
  <c r="K517" i="4"/>
  <c r="K90" i="4"/>
  <c r="K383" i="4"/>
  <c r="K165" i="4"/>
  <c r="I69" i="4"/>
  <c r="I419" i="4"/>
  <c r="K273" i="4"/>
  <c r="K282" i="4"/>
  <c r="K415" i="4"/>
  <c r="K22" i="4"/>
  <c r="K171" i="1"/>
  <c r="I263" i="4"/>
  <c r="I394" i="4"/>
  <c r="K133" i="1"/>
  <c r="K184" i="1"/>
  <c r="K346" i="4"/>
  <c r="K267" i="4"/>
  <c r="K431" i="4"/>
  <c r="K71" i="4"/>
  <c r="K16" i="1"/>
  <c r="K238" i="1"/>
  <c r="I83" i="1"/>
  <c r="I85" i="4"/>
  <c r="I323" i="4"/>
  <c r="K57" i="1"/>
  <c r="K188" i="1"/>
  <c r="K360" i="1"/>
  <c r="K386" i="1"/>
  <c r="K384" i="1"/>
  <c r="I341" i="1"/>
  <c r="I448" i="4"/>
  <c r="K250" i="4"/>
  <c r="K106" i="4"/>
  <c r="K519" i="4"/>
  <c r="I424" i="1"/>
  <c r="K68" i="1"/>
  <c r="I100" i="1"/>
  <c r="I287" i="4"/>
  <c r="I393" i="4"/>
  <c r="I365" i="1"/>
  <c r="I217" i="4"/>
  <c r="I88" i="4"/>
  <c r="I53" i="1"/>
  <c r="K204" i="1"/>
  <c r="I203" i="4"/>
  <c r="K379" i="1"/>
  <c r="I450" i="1"/>
  <c r="K334" i="4"/>
  <c r="K246" i="4"/>
  <c r="K274" i="4"/>
  <c r="I331" i="1"/>
  <c r="I381" i="4"/>
  <c r="K465" i="1"/>
  <c r="I143" i="1"/>
  <c r="I35" i="4"/>
  <c r="I302" i="1"/>
  <c r="I76" i="1"/>
  <c r="K410" i="1"/>
  <c r="K6" i="4"/>
  <c r="K10" i="4"/>
  <c r="K288" i="4"/>
  <c r="K96" i="4"/>
  <c r="K502" i="4"/>
  <c r="K95" i="4"/>
  <c r="K61" i="4"/>
  <c r="K48" i="4"/>
  <c r="K26" i="4"/>
  <c r="K458" i="1"/>
  <c r="I188" i="1"/>
  <c r="I26" i="1"/>
  <c r="I104" i="4"/>
  <c r="I417" i="4"/>
  <c r="I352" i="1"/>
  <c r="I484" i="1"/>
  <c r="K309" i="4"/>
  <c r="K9" i="4"/>
  <c r="K416" i="4"/>
  <c r="K13" i="4"/>
  <c r="K362" i="4"/>
  <c r="K441" i="4"/>
  <c r="K224" i="4"/>
  <c r="K422" i="4"/>
  <c r="K341" i="4"/>
  <c r="I350" i="4"/>
  <c r="K143" i="1"/>
  <c r="K307" i="1"/>
  <c r="I149" i="4"/>
  <c r="I253" i="4"/>
  <c r="I129" i="1"/>
  <c r="K174" i="1"/>
  <c r="K179" i="4"/>
  <c r="K321" i="4"/>
  <c r="K428" i="4"/>
  <c r="K199" i="4"/>
  <c r="K327" i="4"/>
  <c r="K304" i="4"/>
  <c r="K118" i="4"/>
  <c r="K387" i="4"/>
  <c r="K279" i="4"/>
  <c r="K70" i="4"/>
  <c r="K408" i="4"/>
  <c r="K101" i="4"/>
  <c r="K280" i="4"/>
  <c r="K34" i="4"/>
  <c r="K327" i="1"/>
  <c r="I372" i="1"/>
  <c r="K192" i="4"/>
  <c r="K504" i="4"/>
  <c r="K57" i="4"/>
  <c r="K402" i="4"/>
  <c r="K407" i="4"/>
  <c r="K125" i="4"/>
  <c r="K272" i="4"/>
  <c r="K450" i="4"/>
  <c r="K371" i="4"/>
  <c r="K238" i="4"/>
  <c r="K533" i="4"/>
  <c r="K194" i="4"/>
  <c r="K99" i="4"/>
  <c r="K89" i="4"/>
  <c r="K461" i="4"/>
  <c r="K85" i="4"/>
  <c r="K541" i="4"/>
  <c r="K53" i="4"/>
  <c r="K456" i="4"/>
  <c r="K331" i="4"/>
  <c r="K485" i="4"/>
  <c r="K158" i="4"/>
  <c r="K190" i="4"/>
  <c r="K516" i="4"/>
  <c r="I360" i="4"/>
  <c r="I537" i="4"/>
  <c r="I340" i="4"/>
  <c r="I446" i="1"/>
  <c r="I151" i="4"/>
  <c r="K467" i="1"/>
  <c r="I503" i="4"/>
  <c r="K14" i="1"/>
  <c r="K227" i="4"/>
  <c r="K138" i="4"/>
  <c r="K511" i="4"/>
  <c r="K192" i="1"/>
  <c r="I344" i="1"/>
  <c r="I167" i="4"/>
  <c r="I358" i="1"/>
  <c r="I120" i="4"/>
  <c r="K112" i="1"/>
  <c r="K73" i="1"/>
  <c r="K450" i="1"/>
  <c r="I71" i="4"/>
  <c r="K196" i="1"/>
  <c r="I518" i="4"/>
  <c r="I24" i="4"/>
  <c r="K127" i="1"/>
  <c r="K521" i="4"/>
  <c r="K298" i="4"/>
  <c r="K148" i="4"/>
  <c r="I33" i="1"/>
  <c r="I161" i="4"/>
  <c r="I32" i="1"/>
  <c r="I528" i="4"/>
  <c r="K345" i="1"/>
  <c r="I458" i="4"/>
  <c r="I228" i="1"/>
  <c r="I322" i="1"/>
  <c r="I290" i="1"/>
  <c r="I106" i="4"/>
  <c r="I15" i="1"/>
  <c r="K60" i="1"/>
  <c r="K257" i="4"/>
  <c r="K350" i="4"/>
  <c r="K255" i="4"/>
  <c r="K480" i="4"/>
  <c r="I247" i="4"/>
  <c r="K289" i="1"/>
  <c r="I25" i="1"/>
  <c r="K411" i="1"/>
  <c r="I539" i="4"/>
  <c r="K275" i="1"/>
  <c r="K425" i="1"/>
  <c r="K313" i="1"/>
  <c r="I146" i="1"/>
  <c r="I366" i="4"/>
  <c r="K8" i="1"/>
  <c r="I511" i="4"/>
  <c r="K110" i="4"/>
  <c r="K386" i="4"/>
  <c r="K449" i="4"/>
  <c r="K244" i="4"/>
  <c r="I173" i="4"/>
  <c r="I298" i="1"/>
  <c r="K480" i="1"/>
  <c r="I94" i="1"/>
  <c r="K200" i="1"/>
  <c r="K335" i="1"/>
  <c r="K457" i="1"/>
  <c r="K328" i="4"/>
  <c r="K417" i="4"/>
  <c r="K337" i="4"/>
  <c r="K174" i="4"/>
  <c r="K360" i="4"/>
  <c r="K108" i="4"/>
  <c r="K69" i="4"/>
  <c r="K385" i="4"/>
  <c r="K37" i="4"/>
  <c r="I419" i="1"/>
  <c r="K378" i="1"/>
  <c r="K274" i="1"/>
  <c r="I306" i="4"/>
  <c r="K389" i="1"/>
  <c r="I134" i="1"/>
  <c r="I80" i="1"/>
  <c r="K91" i="1"/>
  <c r="K234" i="4"/>
  <c r="K312" i="4"/>
  <c r="K277" i="4"/>
  <c r="K472" i="4"/>
  <c r="K117" i="4"/>
  <c r="K295" i="4"/>
  <c r="K479" i="4"/>
  <c r="K388" i="4"/>
  <c r="I281" i="4"/>
  <c r="K336" i="1"/>
  <c r="I215" i="1"/>
  <c r="K321" i="1"/>
  <c r="K282" i="1"/>
  <c r="K484" i="1"/>
  <c r="K6" i="1"/>
  <c r="I41" i="1"/>
  <c r="K510" i="4"/>
  <c r="K58" i="4"/>
  <c r="K514" i="4"/>
  <c r="K405" i="4"/>
  <c r="K94" i="4"/>
  <c r="K67" i="4"/>
  <c r="K33" i="4"/>
  <c r="K20" i="4"/>
  <c r="K462" i="4"/>
  <c r="K439" i="4"/>
  <c r="K345" i="4"/>
  <c r="K63" i="4"/>
  <c r="K426" i="4"/>
  <c r="K221" i="1"/>
  <c r="K89" i="1"/>
  <c r="K219" i="1"/>
  <c r="K538" i="4"/>
  <c r="K438" i="4"/>
  <c r="K135" i="4"/>
  <c r="K452" i="4"/>
  <c r="K122" i="4"/>
  <c r="K332" i="4"/>
  <c r="K507" i="4"/>
  <c r="K17" i="4"/>
  <c r="K86" i="1"/>
  <c r="K154" i="4"/>
  <c r="K458" i="4"/>
  <c r="K330" i="4"/>
  <c r="K175" i="4"/>
  <c r="K366" i="4"/>
  <c r="K68" i="4"/>
  <c r="K14" i="4"/>
  <c r="K241" i="4"/>
  <c r="K273" i="1"/>
  <c r="K72" i="1"/>
  <c r="K434" i="1"/>
  <c r="I93" i="4"/>
  <c r="I56" i="1"/>
  <c r="I132" i="1"/>
  <c r="I402" i="1"/>
  <c r="K309" i="1"/>
  <c r="K11" i="4"/>
  <c r="K252" i="4"/>
  <c r="K296" i="4"/>
  <c r="K243" i="4"/>
  <c r="K492" i="4"/>
  <c r="K210" i="4"/>
  <c r="K303" i="4"/>
  <c r="K166" i="4"/>
  <c r="K221" i="4"/>
  <c r="K23" i="4"/>
  <c r="K444" i="4"/>
  <c r="K237" i="4"/>
  <c r="K524" i="4"/>
  <c r="I260" i="4"/>
  <c r="K475" i="1"/>
  <c r="I31" i="1"/>
  <c r="K39" i="4"/>
  <c r="K410" i="4"/>
  <c r="K318" i="4"/>
  <c r="K329" i="4"/>
  <c r="K299" i="4"/>
  <c r="K134" i="4"/>
  <c r="K42" i="4"/>
  <c r="K281" i="4"/>
  <c r="K396" i="4"/>
  <c r="K254" i="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<sst xmlns="http://schemas.openxmlformats.org/spreadsheetml/2006/main" count="14438" uniqueCount="4565">
  <si>
    <t>PRIMER NOMBRE</t>
  </si>
  <si>
    <t>SEGUNDO NOMBRE</t>
  </si>
  <si>
    <t>PRIMER APELLIDO</t>
  </si>
  <si>
    <t>SEGUNDO APELLIDO</t>
  </si>
  <si>
    <t>FECHA DE NACIMIENTO</t>
  </si>
  <si>
    <t xml:space="preserve">PROFESION </t>
  </si>
  <si>
    <t>Sofía</t>
  </si>
  <si>
    <t>Camila</t>
  </si>
  <si>
    <t>Valentina</t>
  </si>
  <si>
    <t>Daniela</t>
  </si>
  <si>
    <t>Mariana</t>
  </si>
  <si>
    <t>Gabriela</t>
  </si>
  <si>
    <t>Ximena</t>
  </si>
  <si>
    <t>Andrea</t>
  </si>
  <si>
    <t>Natalia</t>
  </si>
  <si>
    <t>Lucía</t>
  </si>
  <si>
    <t>María</t>
  </si>
  <si>
    <t>Fernanda</t>
  </si>
  <si>
    <t>Alejandra</t>
  </si>
  <si>
    <t>Paula</t>
  </si>
  <si>
    <t>Ana</t>
  </si>
  <si>
    <t>Catalina</t>
  </si>
  <si>
    <t>Jazmín</t>
  </si>
  <si>
    <t>Vanessa</t>
  </si>
  <si>
    <t>Laura</t>
  </si>
  <si>
    <t>Isabel</t>
  </si>
  <si>
    <t>Adriana</t>
  </si>
  <si>
    <t>Amanda</t>
  </si>
  <si>
    <t>Constanza</t>
  </si>
  <si>
    <t>Carolina</t>
  </si>
  <si>
    <t>Claudia</t>
  </si>
  <si>
    <t>Paola</t>
  </si>
  <si>
    <t>Elena</t>
  </si>
  <si>
    <t>Melissa</t>
  </si>
  <si>
    <t>Alba</t>
  </si>
  <si>
    <t>Angela</t>
  </si>
  <si>
    <t>Alexandra</t>
  </si>
  <si>
    <t>Diana</t>
  </si>
  <si>
    <t>Helena</t>
  </si>
  <si>
    <t xml:space="preserve">Rincón </t>
  </si>
  <si>
    <t>Espitia</t>
  </si>
  <si>
    <t>Adelina</t>
  </si>
  <si>
    <t>Buitrago</t>
  </si>
  <si>
    <t>Herrera</t>
  </si>
  <si>
    <t>Matiz</t>
  </si>
  <si>
    <t>Rocío</t>
  </si>
  <si>
    <t>Rueda</t>
  </si>
  <si>
    <t>Gómez</t>
  </si>
  <si>
    <t>Pérez</t>
  </si>
  <si>
    <t>Urdaneta</t>
  </si>
  <si>
    <t>Maria</t>
  </si>
  <si>
    <t>Pineda</t>
  </si>
  <si>
    <t>Ibeth</t>
  </si>
  <si>
    <t>Franco</t>
  </si>
  <si>
    <t>Martinez</t>
  </si>
  <si>
    <t>Rodriguez</t>
  </si>
  <si>
    <t>Rojas</t>
  </si>
  <si>
    <t>Castro</t>
  </si>
  <si>
    <t>Ospina</t>
  </si>
  <si>
    <t>Quiñones</t>
  </si>
  <si>
    <t>Orozco</t>
  </si>
  <si>
    <t>Ruiz</t>
  </si>
  <si>
    <t>Xiomara</t>
  </si>
  <si>
    <t>Benavidez</t>
  </si>
  <si>
    <t>Angie</t>
  </si>
  <si>
    <t>Betty</t>
  </si>
  <si>
    <t>Velez</t>
  </si>
  <si>
    <t>Carmen</t>
  </si>
  <si>
    <t>Sierra</t>
  </si>
  <si>
    <t>Fajardo</t>
  </si>
  <si>
    <t>Caroline</t>
  </si>
  <si>
    <t>Muñoz</t>
  </si>
  <si>
    <t>Quiroga</t>
  </si>
  <si>
    <t>Delgado</t>
  </si>
  <si>
    <t>Carvajal</t>
  </si>
  <si>
    <t>Cuellar</t>
  </si>
  <si>
    <t>Cecilia</t>
  </si>
  <si>
    <t>Molano</t>
  </si>
  <si>
    <t>Liliana</t>
  </si>
  <si>
    <t>Zuluaga</t>
  </si>
  <si>
    <t>Caycedo</t>
  </si>
  <si>
    <t>Zárate</t>
  </si>
  <si>
    <t>Clemencia</t>
  </si>
  <si>
    <t>jurado</t>
  </si>
  <si>
    <t>Prada</t>
  </si>
  <si>
    <t>Castilla</t>
  </si>
  <si>
    <t>Sosa</t>
  </si>
  <si>
    <t>Bolaños</t>
  </si>
  <si>
    <t>Pinzon</t>
  </si>
  <si>
    <t>Gomez</t>
  </si>
  <si>
    <t>Edith</t>
  </si>
  <si>
    <t>Nubia</t>
  </si>
  <si>
    <t>Felix</t>
  </si>
  <si>
    <t>Edna</t>
  </si>
  <si>
    <t>Gonzalez</t>
  </si>
  <si>
    <t>valero</t>
  </si>
  <si>
    <t>Eliana</t>
  </si>
  <si>
    <t>Evans</t>
  </si>
  <si>
    <t>Elizabeth</t>
  </si>
  <si>
    <t>Avila</t>
  </si>
  <si>
    <t>Jaramillo</t>
  </si>
  <si>
    <t>Erika</t>
  </si>
  <si>
    <t>Esperanza</t>
  </si>
  <si>
    <t>Oviedo</t>
  </si>
  <si>
    <t>Varela</t>
  </si>
  <si>
    <t>Ginna</t>
  </si>
  <si>
    <t>Plazas</t>
  </si>
  <si>
    <t>Perez</t>
  </si>
  <si>
    <t>Gloria</t>
  </si>
  <si>
    <t>Ingrid</t>
  </si>
  <si>
    <t>Contreras</t>
  </si>
  <si>
    <t>Ira</t>
  </si>
  <si>
    <t>Jacqueline</t>
  </si>
  <si>
    <t>Toledo</t>
  </si>
  <si>
    <t>Janeth</t>
  </si>
  <si>
    <t>Sanabria</t>
  </si>
  <si>
    <t>Jeanethe</t>
  </si>
  <si>
    <t>Diaz</t>
  </si>
  <si>
    <t>Jennifer</t>
  </si>
  <si>
    <t>Barragan</t>
  </si>
  <si>
    <t>Jenny</t>
  </si>
  <si>
    <t>Segura</t>
  </si>
  <si>
    <t>Johanna</t>
  </si>
  <si>
    <t>Astrid</t>
  </si>
  <si>
    <t>Orjuela</t>
  </si>
  <si>
    <t>Julieth</t>
  </si>
  <si>
    <t>Caballero</t>
  </si>
  <si>
    <t>Torres</t>
  </si>
  <si>
    <t>Katerin</t>
  </si>
  <si>
    <t>Kelly</t>
  </si>
  <si>
    <t>Leidy</t>
  </si>
  <si>
    <t>Dayana</t>
  </si>
  <si>
    <t>Rubio</t>
  </si>
  <si>
    <t>Liseth</t>
  </si>
  <si>
    <t>Lorena</t>
  </si>
  <si>
    <t>Bautista</t>
  </si>
  <si>
    <t>Baron</t>
  </si>
  <si>
    <t>Lucy</t>
  </si>
  <si>
    <t>Quintero</t>
  </si>
  <si>
    <t>Ludivia</t>
  </si>
  <si>
    <t>Luisa</t>
  </si>
  <si>
    <t>Galeano</t>
  </si>
  <si>
    <t>Aracely</t>
  </si>
  <si>
    <t>Luz</t>
  </si>
  <si>
    <t>Marin</t>
  </si>
  <si>
    <t>Acosta</t>
  </si>
  <si>
    <t>Marcela</t>
  </si>
  <si>
    <t>Mera</t>
  </si>
  <si>
    <t>blanco</t>
  </si>
  <si>
    <t>Alicia</t>
  </si>
  <si>
    <t>Paredes</t>
  </si>
  <si>
    <t>Viacnery</t>
  </si>
  <si>
    <t>Jurado</t>
  </si>
  <si>
    <t>Vargas</t>
  </si>
  <si>
    <t>Prado</t>
  </si>
  <si>
    <t>Murillo</t>
  </si>
  <si>
    <t>Bohorquez</t>
  </si>
  <si>
    <t>Ramirez</t>
  </si>
  <si>
    <t>Bernate</t>
  </si>
  <si>
    <t>Teresa</t>
  </si>
  <si>
    <t>Carriazo</t>
  </si>
  <si>
    <t>Rengifo</t>
  </si>
  <si>
    <t>Mariela</t>
  </si>
  <si>
    <t>Marien</t>
  </si>
  <si>
    <t>Ramos</t>
  </si>
  <si>
    <t>Martha</t>
  </si>
  <si>
    <t>Sarmiento</t>
  </si>
  <si>
    <t>Rocio</t>
  </si>
  <si>
    <t>Beltran</t>
  </si>
  <si>
    <t>Rodríguez</t>
  </si>
  <si>
    <t>Cortes</t>
  </si>
  <si>
    <t>Ortegon</t>
  </si>
  <si>
    <t>Mauren</t>
  </si>
  <si>
    <t>Alfaro</t>
  </si>
  <si>
    <t>Milena</t>
  </si>
  <si>
    <t>Santanilla</t>
  </si>
  <si>
    <t>Monica</t>
  </si>
  <si>
    <t>Castillo</t>
  </si>
  <si>
    <t>Mónica</t>
  </si>
  <si>
    <t>Gisell</t>
  </si>
  <si>
    <t>Murcia</t>
  </si>
  <si>
    <t>Parra</t>
  </si>
  <si>
    <t>Villalba</t>
  </si>
  <si>
    <t>Forero</t>
  </si>
  <si>
    <t>Nathalia</t>
  </si>
  <si>
    <t>Yovana</t>
  </si>
  <si>
    <t>Corredor</t>
  </si>
  <si>
    <t>Nelda</t>
  </si>
  <si>
    <t>Toro</t>
  </si>
  <si>
    <t>Nelsy</t>
  </si>
  <si>
    <t>Nicol</t>
  </si>
  <si>
    <t>Gutiérrez</t>
  </si>
  <si>
    <t>Nohora</t>
  </si>
  <si>
    <t>Stella</t>
  </si>
  <si>
    <t>silva</t>
  </si>
  <si>
    <t>Patricia</t>
  </si>
  <si>
    <t>Montoya</t>
  </si>
  <si>
    <t>Camacho</t>
  </si>
  <si>
    <t>Sandra</t>
  </si>
  <si>
    <t>Lopez</t>
  </si>
  <si>
    <t>Sonia</t>
  </si>
  <si>
    <t>Cespedes</t>
  </si>
  <si>
    <t>Sthela</t>
  </si>
  <si>
    <t>Redondo</t>
  </si>
  <si>
    <t>Tatiana</t>
  </si>
  <si>
    <t>Vianis</t>
  </si>
  <si>
    <t>Zamora</t>
  </si>
  <si>
    <t>Villate</t>
  </si>
  <si>
    <t>Yeniffer</t>
  </si>
  <si>
    <t>Viviana</t>
  </si>
  <si>
    <t>Gamez</t>
  </si>
  <si>
    <t>Yesenia</t>
  </si>
  <si>
    <t>González</t>
  </si>
  <si>
    <t>Yolanda</t>
  </si>
  <si>
    <t>López</t>
  </si>
  <si>
    <t>Yormary</t>
  </si>
  <si>
    <t>Soto</t>
  </si>
  <si>
    <t>Yulieth</t>
  </si>
  <si>
    <t>Cristina</t>
  </si>
  <si>
    <t>Rondón</t>
  </si>
  <si>
    <t>Castañeda</t>
  </si>
  <si>
    <t>Silva</t>
  </si>
  <si>
    <t>Pérez   </t>
  </si>
  <si>
    <t>Torres  </t>
  </si>
  <si>
    <t>Rojas    </t>
  </si>
  <si>
    <t>Vargas </t>
  </si>
  <si>
    <t>Castro  </t>
  </si>
  <si>
    <t>Ortiz     </t>
  </si>
  <si>
    <t>Álvarez         </t>
  </si>
  <si>
    <t>Ruiz      </t>
  </si>
  <si>
    <t>Suárez </t>
  </si>
  <si>
    <t>Romero              </t>
  </si>
  <si>
    <t>Valencia             </t>
  </si>
  <si>
    <t>Quintero            </t>
  </si>
  <si>
    <t>Restrepo            </t>
  </si>
  <si>
    <t>Giraldo</t>
  </si>
  <si>
    <t>Mejía   </t>
  </si>
  <si>
    <t>Arias</t>
  </si>
  <si>
    <t>Osorio </t>
  </si>
  <si>
    <t>Salazar </t>
  </si>
  <si>
    <t>Flórez  </t>
  </si>
  <si>
    <t>Medina</t>
  </si>
  <si>
    <t>Rivera  </t>
  </si>
  <si>
    <t>Cortes </t>
  </si>
  <si>
    <t>Correa </t>
  </si>
  <si>
    <t>Marín   </t>
  </si>
  <si>
    <t>Rincón </t>
  </si>
  <si>
    <t>Zapata </t>
  </si>
  <si>
    <t>Escobar</t>
  </si>
  <si>
    <t>Velásquez</t>
  </si>
  <si>
    <t>Cubillos</t>
  </si>
  <si>
    <t>Aldana</t>
  </si>
  <si>
    <t>Valderrama</t>
  </si>
  <si>
    <t>Cordoba</t>
  </si>
  <si>
    <t>Garzón</t>
  </si>
  <si>
    <t>Mosquera</t>
  </si>
  <si>
    <t>Isaza</t>
  </si>
  <si>
    <t>Zuñiga</t>
  </si>
  <si>
    <t>Velandia</t>
  </si>
  <si>
    <t>Gil</t>
  </si>
  <si>
    <t>Callejas</t>
  </si>
  <si>
    <t>Coronado</t>
  </si>
  <si>
    <t>Hoyos</t>
  </si>
  <si>
    <t>Neira</t>
  </si>
  <si>
    <t>Jimenez</t>
  </si>
  <si>
    <t>Osorio</t>
  </si>
  <si>
    <t>Bernal</t>
  </si>
  <si>
    <t>Garcia</t>
  </si>
  <si>
    <t>Carabali</t>
  </si>
  <si>
    <t>Vasquez</t>
  </si>
  <si>
    <t>Cortés</t>
  </si>
  <si>
    <t>Urazan</t>
  </si>
  <si>
    <t>Paez</t>
  </si>
  <si>
    <t>Hernandez</t>
  </si>
  <si>
    <t>Nariño</t>
  </si>
  <si>
    <t>Carreño</t>
  </si>
  <si>
    <t>Garzon</t>
  </si>
  <si>
    <t>Molina</t>
  </si>
  <si>
    <t>Cruz</t>
  </si>
  <si>
    <t>Niño</t>
  </si>
  <si>
    <t>Rico</t>
  </si>
  <si>
    <t>Alarcón</t>
  </si>
  <si>
    <t>Becerra</t>
  </si>
  <si>
    <t>avila</t>
  </si>
  <si>
    <t>Millan</t>
  </si>
  <si>
    <t>Rivera</t>
  </si>
  <si>
    <t>Correa</t>
  </si>
  <si>
    <t>Ronderos</t>
  </si>
  <si>
    <t>Lesmes</t>
  </si>
  <si>
    <t>Garavito</t>
  </si>
  <si>
    <t>Borja</t>
  </si>
  <si>
    <t>Cely</t>
  </si>
  <si>
    <t>Melo</t>
  </si>
  <si>
    <t>Sanchez</t>
  </si>
  <si>
    <t>Cabrera</t>
  </si>
  <si>
    <t>Aguilar</t>
  </si>
  <si>
    <t>Pinto</t>
  </si>
  <si>
    <t>Trujillo</t>
  </si>
  <si>
    <t>Jaimes</t>
  </si>
  <si>
    <t>Ines</t>
  </si>
  <si>
    <t>Miriam</t>
  </si>
  <si>
    <t>Jessica</t>
  </si>
  <si>
    <t>Stefanny</t>
  </si>
  <si>
    <t>Lizeth</t>
  </si>
  <si>
    <t>Lucia</t>
  </si>
  <si>
    <t>Lessly</t>
  </si>
  <si>
    <t>Sofia</t>
  </si>
  <si>
    <t>Omaira</t>
  </si>
  <si>
    <t>Katherine</t>
  </si>
  <si>
    <t>Marina</t>
  </si>
  <si>
    <t>Jacinta</t>
  </si>
  <si>
    <t>Socorro</t>
  </si>
  <si>
    <t>Narda</t>
  </si>
  <si>
    <t>Johana</t>
  </si>
  <si>
    <t>Cobos</t>
  </si>
  <si>
    <t>Arango</t>
  </si>
  <si>
    <t>Latorre</t>
  </si>
  <si>
    <t>Katherin</t>
  </si>
  <si>
    <t>Maritza</t>
  </si>
  <si>
    <t>Geraldine</t>
  </si>
  <si>
    <t>Ester</t>
  </si>
  <si>
    <t>Aixa</t>
  </si>
  <si>
    <t>Dayanna</t>
  </si>
  <si>
    <t>Yurley</t>
  </si>
  <si>
    <t>Sara</t>
  </si>
  <si>
    <t xml:space="preserve">Maria </t>
  </si>
  <si>
    <t>Jeimy</t>
  </si>
  <si>
    <t>Yury</t>
  </si>
  <si>
    <t xml:space="preserve">Karol </t>
  </si>
  <si>
    <t>Leydi</t>
  </si>
  <si>
    <t>Andres</t>
  </si>
  <si>
    <t>Monroy</t>
  </si>
  <si>
    <t>Daniel</t>
  </si>
  <si>
    <t>Alejandro</t>
  </si>
  <si>
    <t>Merizalde</t>
  </si>
  <si>
    <t>Sebastian</t>
  </si>
  <si>
    <t>Smith</t>
  </si>
  <si>
    <t>Sánchez</t>
  </si>
  <si>
    <t>Alix</t>
  </si>
  <si>
    <t>Fernando</t>
  </si>
  <si>
    <t>Porras</t>
  </si>
  <si>
    <t>Juan</t>
  </si>
  <si>
    <t>Carlos</t>
  </si>
  <si>
    <t>Óscar</t>
  </si>
  <si>
    <t>Mejia</t>
  </si>
  <si>
    <t>Alvaro</t>
  </si>
  <si>
    <t>Romero</t>
  </si>
  <si>
    <t>Álvaro</t>
  </si>
  <si>
    <t>Zapata</t>
  </si>
  <si>
    <t>Camilo</t>
  </si>
  <si>
    <t>Garces</t>
  </si>
  <si>
    <t>Jaime</t>
  </si>
  <si>
    <t>salamanca</t>
  </si>
  <si>
    <t>Santiago</t>
  </si>
  <si>
    <t>Darío</t>
  </si>
  <si>
    <t>Cardenas</t>
  </si>
  <si>
    <t>Gustavo</t>
  </si>
  <si>
    <t>villamil</t>
  </si>
  <si>
    <t>Calderon</t>
  </si>
  <si>
    <t>Sergio</t>
  </si>
  <si>
    <t>Mauricio</t>
  </si>
  <si>
    <t>Chaparro</t>
  </si>
  <si>
    <t>Henry</t>
  </si>
  <si>
    <t>Patiño</t>
  </si>
  <si>
    <t>Ángel</t>
  </si>
  <si>
    <t>Esteban</t>
  </si>
  <si>
    <t>Montaña</t>
  </si>
  <si>
    <t>Malagón</t>
  </si>
  <si>
    <t>Fonseca</t>
  </si>
  <si>
    <t>Pablo</t>
  </si>
  <si>
    <t>torres</t>
  </si>
  <si>
    <t>Julio</t>
  </si>
  <si>
    <t>Máximo</t>
  </si>
  <si>
    <t>Quinto</t>
  </si>
  <si>
    <t>Marco</t>
  </si>
  <si>
    <t>Tulio</t>
  </si>
  <si>
    <t>Cicerón</t>
  </si>
  <si>
    <t>Lucio</t>
  </si>
  <si>
    <t>Robledo</t>
  </si>
  <si>
    <t>Jairo</t>
  </si>
  <si>
    <t>Alirio</t>
  </si>
  <si>
    <t>rodriguez</t>
  </si>
  <si>
    <t>Andrés</t>
  </si>
  <si>
    <t>Martínez</t>
  </si>
  <si>
    <t>Coronel</t>
  </si>
  <si>
    <t>Alan</t>
  </si>
  <si>
    <t>Delgadillo</t>
  </si>
  <si>
    <t>David</t>
  </si>
  <si>
    <t>Ronaldo</t>
  </si>
  <si>
    <t>Novoa</t>
  </si>
  <si>
    <t>Suarez</t>
  </si>
  <si>
    <t>Cesar</t>
  </si>
  <si>
    <t>castro</t>
  </si>
  <si>
    <t>Valero</t>
  </si>
  <si>
    <t>Diego</t>
  </si>
  <si>
    <t>Ossa</t>
  </si>
  <si>
    <t>Aaron</t>
  </si>
  <si>
    <t>José</t>
  </si>
  <si>
    <t>Valverde</t>
  </si>
  <si>
    <t>Pedro</t>
  </si>
  <si>
    <t>arturo</t>
  </si>
  <si>
    <t>Oscar</t>
  </si>
  <si>
    <t>Alberto</t>
  </si>
  <si>
    <t>Zorro</t>
  </si>
  <si>
    <t>Zambrano</t>
  </si>
  <si>
    <t>obregon</t>
  </si>
  <si>
    <t>Quijano</t>
  </si>
  <si>
    <t>Cubides</t>
  </si>
  <si>
    <t>abondano</t>
  </si>
  <si>
    <t>Jhon</t>
  </si>
  <si>
    <t>Guerrero</t>
  </si>
  <si>
    <t>Abella</t>
  </si>
  <si>
    <t>fajardo</t>
  </si>
  <si>
    <t>Eduardo</t>
  </si>
  <si>
    <t>León</t>
  </si>
  <si>
    <t>Pabón</t>
  </si>
  <si>
    <t>Byron</t>
  </si>
  <si>
    <t>uruena</t>
  </si>
  <si>
    <t>German</t>
  </si>
  <si>
    <t>cuaran</t>
  </si>
  <si>
    <t>Vallejo</t>
  </si>
  <si>
    <t>Nicolas</t>
  </si>
  <si>
    <t>santacruz</t>
  </si>
  <si>
    <t>Jiménez</t>
  </si>
  <si>
    <t>Jesús</t>
  </si>
  <si>
    <t>César</t>
  </si>
  <si>
    <t>Augusto</t>
  </si>
  <si>
    <t>londoño</t>
  </si>
  <si>
    <t>molina</t>
  </si>
  <si>
    <t>Gabriel</t>
  </si>
  <si>
    <t>Fernández</t>
  </si>
  <si>
    <t>Luis</t>
  </si>
  <si>
    <t>Antonio</t>
  </si>
  <si>
    <t>Arevalo</t>
  </si>
  <si>
    <t>Orlando</t>
  </si>
  <si>
    <t>Quecano</t>
  </si>
  <si>
    <t>Tarazona</t>
  </si>
  <si>
    <t>Gamboa</t>
  </si>
  <si>
    <t>Aguirre</t>
  </si>
  <si>
    <t>Leonardo</t>
  </si>
  <si>
    <t>Osma</t>
  </si>
  <si>
    <t>Pinilla</t>
  </si>
  <si>
    <t xml:space="preserve">Carlos </t>
  </si>
  <si>
    <t>Huertas</t>
  </si>
  <si>
    <t>Salgado</t>
  </si>
  <si>
    <t>Leyva</t>
  </si>
  <si>
    <t>Felipe</t>
  </si>
  <si>
    <t>Rincon</t>
  </si>
  <si>
    <t>Ivan</t>
  </si>
  <si>
    <t>Sossa</t>
  </si>
  <si>
    <t>Enrique</t>
  </si>
  <si>
    <t>Puentes</t>
  </si>
  <si>
    <t>Riaño</t>
  </si>
  <si>
    <t xml:space="preserve">Cesar </t>
  </si>
  <si>
    <t>Higuera</t>
  </si>
  <si>
    <t>Crispoca</t>
  </si>
  <si>
    <t>Alvarez</t>
  </si>
  <si>
    <t>Araque</t>
  </si>
  <si>
    <t>Bravo</t>
  </si>
  <si>
    <t>Poveda</t>
  </si>
  <si>
    <t>Serrato</t>
  </si>
  <si>
    <t>Roldan</t>
  </si>
  <si>
    <t>Barajas</t>
  </si>
  <si>
    <t>Reinoso</t>
  </si>
  <si>
    <t>Galan</t>
  </si>
  <si>
    <t>Hurtado</t>
  </si>
  <si>
    <t>Acuña</t>
  </si>
  <si>
    <t>Bustamante</t>
  </si>
  <si>
    <t>Reina</t>
  </si>
  <si>
    <t>Heredia</t>
  </si>
  <si>
    <t>Ocampo</t>
  </si>
  <si>
    <t>Fernandez</t>
  </si>
  <si>
    <t>Espejo</t>
  </si>
  <si>
    <t>Urrea</t>
  </si>
  <si>
    <t>Villa</t>
  </si>
  <si>
    <t>Caicedo</t>
  </si>
  <si>
    <t>Prieto</t>
  </si>
  <si>
    <t>Bedoya</t>
  </si>
  <si>
    <t>Yepes</t>
  </si>
  <si>
    <t>Guillermo</t>
  </si>
  <si>
    <t>Johan</t>
  </si>
  <si>
    <t>Manuel</t>
  </si>
  <si>
    <t>Antonia</t>
  </si>
  <si>
    <t>Jose</t>
  </si>
  <si>
    <t>Crisrtian</t>
  </si>
  <si>
    <t>Sneider</t>
  </si>
  <si>
    <t>Ricardo</t>
  </si>
  <si>
    <t>Danilo</t>
  </si>
  <si>
    <t>Julian</t>
  </si>
  <si>
    <t>Dario</t>
  </si>
  <si>
    <t>Fabian</t>
  </si>
  <si>
    <t>Stiven</t>
  </si>
  <si>
    <t>Jesus</t>
  </si>
  <si>
    <t>Roberto</t>
  </si>
  <si>
    <t>Emilio</t>
  </si>
  <si>
    <t>EDAD</t>
  </si>
  <si>
    <t>Angarita</t>
  </si>
  <si>
    <t>Campo</t>
  </si>
  <si>
    <t>Alfonso</t>
  </si>
  <si>
    <t>Gaona</t>
  </si>
  <si>
    <t>Gutierrez</t>
  </si>
  <si>
    <t>Varón</t>
  </si>
  <si>
    <t>Quevedo</t>
  </si>
  <si>
    <t>Ernesto</t>
  </si>
  <si>
    <t>Durán</t>
  </si>
  <si>
    <t>Edwin</t>
  </si>
  <si>
    <t>Vergara</t>
  </si>
  <si>
    <t>Victor</t>
  </si>
  <si>
    <t>Alexander</t>
  </si>
  <si>
    <t>Leal</t>
  </si>
  <si>
    <t>Sabogal</t>
  </si>
  <si>
    <t>Javier</t>
  </si>
  <si>
    <t>Quiroz</t>
  </si>
  <si>
    <t>Fabio</t>
  </si>
  <si>
    <t>Mendoza</t>
  </si>
  <si>
    <t>Botero</t>
  </si>
  <si>
    <t>Cardona</t>
  </si>
  <si>
    <t>Navas</t>
  </si>
  <si>
    <t>Julián</t>
  </si>
  <si>
    <t>Pulido</t>
  </si>
  <si>
    <t>Fabián</t>
  </si>
  <si>
    <t>Oskr</t>
  </si>
  <si>
    <t>Bonilla</t>
  </si>
  <si>
    <t>Jackson</t>
  </si>
  <si>
    <t>Feliciano</t>
  </si>
  <si>
    <t>Fredy</t>
  </si>
  <si>
    <t>Peña</t>
  </si>
  <si>
    <t>Loaiza</t>
  </si>
  <si>
    <t>Bastidas</t>
  </si>
  <si>
    <t>Licenciado en Ciencias de la Educación</t>
  </si>
  <si>
    <t>Ingeniero Electrónico</t>
  </si>
  <si>
    <t>Auxiliar en Recursos Humanos</t>
  </si>
  <si>
    <t>Odontólogo</t>
  </si>
  <si>
    <t>Arquitecto</t>
  </si>
  <si>
    <t>Trabajador Social</t>
  </si>
  <si>
    <t>Administrador Público</t>
  </si>
  <si>
    <t>Enfermero</t>
  </si>
  <si>
    <t>Ingeniero Químico</t>
  </si>
  <si>
    <t>Contador Público</t>
  </si>
  <si>
    <t>Ingeniero de Petróleo</t>
  </si>
  <si>
    <t>Químico</t>
  </si>
  <si>
    <t xml:space="preserve">Economista </t>
  </si>
  <si>
    <t>Fonoaudiólogo</t>
  </si>
  <si>
    <t>Auxiliar Administrativo</t>
  </si>
  <si>
    <t>Nutricionista</t>
  </si>
  <si>
    <t>Fisioterapista</t>
  </si>
  <si>
    <t>Ingeniero</t>
  </si>
  <si>
    <t>Agente de Viajes</t>
  </si>
  <si>
    <t xml:space="preserve">Guía de Turismo </t>
  </si>
  <si>
    <t>Técnico Electricista</t>
  </si>
  <si>
    <t>Administración de Empresas</t>
  </si>
  <si>
    <t xml:space="preserve">Geógrafo </t>
  </si>
  <si>
    <t>Auxiliar de Servicios Financieros</t>
  </si>
  <si>
    <t>Director Escénico</t>
  </si>
  <si>
    <t>Ingeniero Naval</t>
  </si>
  <si>
    <t>Fotógrafo</t>
  </si>
  <si>
    <t>Ingeniero de Transportes</t>
  </si>
  <si>
    <t>Administrador de Empresas Agropecuarias</t>
  </si>
  <si>
    <t>Microbiólogo</t>
  </si>
  <si>
    <t>Auxiliar en Comercio Exterior</t>
  </si>
  <si>
    <t xml:space="preserve">Trabajador social </t>
  </si>
  <si>
    <t xml:space="preserve">Optómetra </t>
  </si>
  <si>
    <t>Químico Farmacéutico</t>
  </si>
  <si>
    <t>Biólogo</t>
  </si>
  <si>
    <t>Bacteriólogo</t>
  </si>
  <si>
    <t>Auxiliar Contable y Financiero</t>
  </si>
  <si>
    <t>Médico cirujano</t>
  </si>
  <si>
    <t>Técnico Constructor</t>
  </si>
  <si>
    <t>Veterinario</t>
  </si>
  <si>
    <t>Auxiliar de enfermería</t>
  </si>
  <si>
    <t>Agronómo</t>
  </si>
  <si>
    <t xml:space="preserve">Ingeniero Químico. </t>
  </si>
  <si>
    <t>Dermatólogo</t>
  </si>
  <si>
    <t>Licenciado en ciencias de la Educación</t>
  </si>
  <si>
    <t>Ingeniero Industrial</t>
  </si>
  <si>
    <t>Optómetra</t>
  </si>
  <si>
    <t xml:space="preserve">Trabajador Social  </t>
  </si>
  <si>
    <t>Ingeniero Pesquero</t>
  </si>
  <si>
    <t>Médico Veterinario</t>
  </si>
  <si>
    <t>Administrador en Negocios Internacionales</t>
  </si>
  <si>
    <t>Novelista</t>
  </si>
  <si>
    <t>Ingeniero Civil</t>
  </si>
  <si>
    <t>Topógrafo</t>
  </si>
  <si>
    <t xml:space="preserve">Financiero en Comercio Exterior </t>
  </si>
  <si>
    <t>Actor</t>
  </si>
  <si>
    <t xml:space="preserve">Técnico en regencia de farmacia. </t>
  </si>
  <si>
    <t xml:space="preserve">Terapista ocupacional. </t>
  </si>
  <si>
    <t>Nutricionista dietista</t>
  </si>
  <si>
    <t>Periodista</t>
  </si>
  <si>
    <t>Técnico en electricidad</t>
  </si>
  <si>
    <t>Agronómo forestal</t>
  </si>
  <si>
    <t>Paramédico</t>
  </si>
  <si>
    <t xml:space="preserve">Ingeniero Mecánico </t>
  </si>
  <si>
    <t>Psicólogo</t>
  </si>
  <si>
    <t>Médico Cirujano</t>
  </si>
  <si>
    <t xml:space="preserve">Químico farmacéutico. </t>
  </si>
  <si>
    <t>Técnico Quirúrgico</t>
  </si>
  <si>
    <t>Contador</t>
  </si>
  <si>
    <t>Actor de doblaje</t>
  </si>
  <si>
    <t>Administrador Público.</t>
  </si>
  <si>
    <t xml:space="preserve">Administrador </t>
  </si>
  <si>
    <t>Artista escénico</t>
  </si>
  <si>
    <t>Anestesiólogo</t>
  </si>
  <si>
    <t xml:space="preserve">Economista. </t>
  </si>
  <si>
    <t xml:space="preserve">Ecólogo. </t>
  </si>
  <si>
    <t xml:space="preserve">Diseñador Industrial. </t>
  </si>
  <si>
    <t>Chef</t>
  </si>
  <si>
    <t>Ingeniero de Petróleos</t>
  </si>
  <si>
    <t>Ingeniero de Transporte y Vías</t>
  </si>
  <si>
    <t>Fisioterapeuta</t>
  </si>
  <si>
    <t>Diseñador Gráfico</t>
  </si>
  <si>
    <t xml:space="preserve">Enfermero. </t>
  </si>
  <si>
    <t>Bibliotecario</t>
  </si>
  <si>
    <t xml:space="preserve">Geógrafo. </t>
  </si>
  <si>
    <t xml:space="preserve">Administrador de empresas </t>
  </si>
  <si>
    <t>Abogado</t>
  </si>
  <si>
    <t>Juliana</t>
  </si>
  <si>
    <t>Wendy</t>
  </si>
  <si>
    <t>Sareth</t>
  </si>
  <si>
    <t>Jhoanna</t>
  </si>
  <si>
    <t>Victoria</t>
  </si>
  <si>
    <t>Aurora</t>
  </si>
  <si>
    <t>Susana</t>
  </si>
  <si>
    <t>Amparo</t>
  </si>
  <si>
    <t>Emilia</t>
  </si>
  <si>
    <t>Olga</t>
  </si>
  <si>
    <t>Martina</t>
  </si>
  <si>
    <t>Yaneth</t>
  </si>
  <si>
    <t>Dolores</t>
  </si>
  <si>
    <t>Isabella</t>
  </si>
  <si>
    <t>Pilar</t>
  </si>
  <si>
    <t>Raquel</t>
  </si>
  <si>
    <t>Josefa</t>
  </si>
  <si>
    <t>Concepcion</t>
  </si>
  <si>
    <t>Manuela</t>
  </si>
  <si>
    <t>Rosa</t>
  </si>
  <si>
    <t>Monserrat</t>
  </si>
  <si>
    <t>Nuria</t>
  </si>
  <si>
    <t>Encarnacion</t>
  </si>
  <si>
    <t>Beatriz</t>
  </si>
  <si>
    <t xml:space="preserve">Ruben </t>
  </si>
  <si>
    <t xml:space="preserve">Henesto </t>
  </si>
  <si>
    <t xml:space="preserve">Perez </t>
  </si>
  <si>
    <t xml:space="preserve">Jairo </t>
  </si>
  <si>
    <t xml:space="preserve">Antonio </t>
  </si>
  <si>
    <t xml:space="preserve">Rojas </t>
  </si>
  <si>
    <t xml:space="preserve">Juan </t>
  </si>
  <si>
    <t>Ordoñez</t>
  </si>
  <si>
    <t xml:space="preserve">Emiliano </t>
  </si>
  <si>
    <t>Arturo</t>
  </si>
  <si>
    <t>Pinzón</t>
  </si>
  <si>
    <t xml:space="preserve">Luis </t>
  </si>
  <si>
    <t>Dussan</t>
  </si>
  <si>
    <t>Mendez</t>
  </si>
  <si>
    <t>Francisco</t>
  </si>
  <si>
    <t>Rafael</t>
  </si>
  <si>
    <t>Angel</t>
  </si>
  <si>
    <t xml:space="preserve">Pedro </t>
  </si>
  <si>
    <t>Adrian</t>
  </si>
  <si>
    <t>Raul</t>
  </si>
  <si>
    <t>Vicente</t>
  </si>
  <si>
    <t>Joaquin</t>
  </si>
  <si>
    <t>Mario</t>
  </si>
  <si>
    <t>Ignacio</t>
  </si>
  <si>
    <t>Salvador</t>
  </si>
  <si>
    <t>Agustin</t>
  </si>
  <si>
    <t>Ismael</t>
  </si>
  <si>
    <t>Cristian</t>
  </si>
  <si>
    <t>Hector</t>
  </si>
  <si>
    <t>Alfredo</t>
  </si>
  <si>
    <t>Acosta </t>
  </si>
  <si>
    <t>Guzman </t>
  </si>
  <si>
    <t>Londoño </t>
  </si>
  <si>
    <t>Molina </t>
  </si>
  <si>
    <t>Velasquez </t>
  </si>
  <si>
    <t>Rincon </t>
  </si>
  <si>
    <t>Rios </t>
  </si>
  <si>
    <t>Sierra </t>
  </si>
  <si>
    <t>Cruz </t>
  </si>
  <si>
    <t>Ospina </t>
  </si>
  <si>
    <t>Garzon </t>
  </si>
  <si>
    <t>Reyes </t>
  </si>
  <si>
    <t>Orozco </t>
  </si>
  <si>
    <t>Agudelo </t>
  </si>
  <si>
    <t>Mora </t>
  </si>
  <si>
    <t>Beltran </t>
  </si>
  <si>
    <t>Contreras </t>
  </si>
  <si>
    <t>Leon </t>
  </si>
  <si>
    <t>Escobar </t>
  </si>
  <si>
    <t>Caicedo </t>
  </si>
  <si>
    <t>Castañeda </t>
  </si>
  <si>
    <t>Fernandez </t>
  </si>
  <si>
    <t>Hurtado </t>
  </si>
  <si>
    <t>Delgado </t>
  </si>
  <si>
    <t>Silva </t>
  </si>
  <si>
    <t>Lozano </t>
  </si>
  <si>
    <t>Henao </t>
  </si>
  <si>
    <t>Bedoya </t>
  </si>
  <si>
    <t>Calderon </t>
  </si>
  <si>
    <t>Murillo </t>
  </si>
  <si>
    <t>Castaño</t>
  </si>
  <si>
    <t>Vega </t>
  </si>
  <si>
    <t>Mendez </t>
  </si>
  <si>
    <t>Avila </t>
  </si>
  <si>
    <t>Patiño </t>
  </si>
  <si>
    <t>Cordoba </t>
  </si>
  <si>
    <t>Velez </t>
  </si>
  <si>
    <t>Pineda </t>
  </si>
  <si>
    <t>Arango </t>
  </si>
  <si>
    <t>Bernal </t>
  </si>
  <si>
    <t>Franco </t>
  </si>
  <si>
    <t>Carvajal </t>
  </si>
  <si>
    <t>Padilla</t>
  </si>
  <si>
    <t>Betancur</t>
  </si>
  <si>
    <t>Diaz </t>
  </si>
  <si>
    <t>Garcia </t>
  </si>
  <si>
    <t>Vergara </t>
  </si>
  <si>
    <t>Vasquez </t>
  </si>
  <si>
    <t>Mercado </t>
  </si>
  <si>
    <t>Suarez </t>
  </si>
  <si>
    <t>Herrera </t>
  </si>
  <si>
    <t>Aguilar </t>
  </si>
  <si>
    <t>Barrera</t>
  </si>
  <si>
    <t>Páez </t>
  </si>
  <si>
    <t>Solano </t>
  </si>
  <si>
    <t>Ochoa </t>
  </si>
  <si>
    <t>Espinosa</t>
  </si>
  <si>
    <t>Nuñez </t>
  </si>
  <si>
    <t>Gonzales </t>
  </si>
  <si>
    <t>Fonseca </t>
  </si>
  <si>
    <t>Perez </t>
  </si>
  <si>
    <t>Meza </t>
  </si>
  <si>
    <t>Pinzón </t>
  </si>
  <si>
    <t>Meneses </t>
  </si>
  <si>
    <t>Ramirez </t>
  </si>
  <si>
    <t>Romero </t>
  </si>
  <si>
    <t>Bohorquez </t>
  </si>
  <si>
    <t>Campo </t>
  </si>
  <si>
    <t>Polo</t>
  </si>
  <si>
    <t>Becerra </t>
  </si>
  <si>
    <t>Ortega </t>
  </si>
  <si>
    <t>Caro </t>
  </si>
  <si>
    <t>Florez </t>
  </si>
  <si>
    <t>Salcedo </t>
  </si>
  <si>
    <t>Pacheco </t>
  </si>
  <si>
    <t>Zambrano </t>
  </si>
  <si>
    <t>Arenas </t>
  </si>
  <si>
    <t>Rojas </t>
  </si>
  <si>
    <t>Gutierrez </t>
  </si>
  <si>
    <t>Lopez </t>
  </si>
  <si>
    <t>Cardona </t>
  </si>
  <si>
    <t>Figueroa</t>
  </si>
  <si>
    <t>Serna </t>
  </si>
  <si>
    <t>Guevara </t>
  </si>
  <si>
    <t>Soto </t>
  </si>
  <si>
    <t>Bolaños </t>
  </si>
  <si>
    <t>Perdomo </t>
  </si>
  <si>
    <t>Arias </t>
  </si>
  <si>
    <t>Castellanos </t>
  </si>
  <si>
    <t>Ortiz </t>
  </si>
  <si>
    <t>Alzate </t>
  </si>
  <si>
    <t>Montoya </t>
  </si>
  <si>
    <t>Restrepo </t>
  </si>
  <si>
    <t>Muñoz </t>
  </si>
  <si>
    <t>Sandoval</t>
  </si>
  <si>
    <t>Estrada </t>
  </si>
  <si>
    <t>Melo </t>
  </si>
  <si>
    <t>Toro </t>
  </si>
  <si>
    <t>Medina </t>
  </si>
  <si>
    <t>Angulo</t>
  </si>
  <si>
    <t>Daza </t>
  </si>
  <si>
    <t>Mosquera </t>
  </si>
  <si>
    <t>Morales </t>
  </si>
  <si>
    <t>Cabrera </t>
  </si>
  <si>
    <t>Rueda </t>
  </si>
  <si>
    <t>Bermúdez </t>
  </si>
  <si>
    <t>Cifuentes </t>
  </si>
  <si>
    <t>Gallego </t>
  </si>
  <si>
    <t>Arevalo </t>
  </si>
  <si>
    <t>Valencia</t>
  </si>
  <si>
    <t>Amaya</t>
  </si>
  <si>
    <t>Guerra </t>
  </si>
  <si>
    <t>Forero </t>
  </si>
  <si>
    <t>Peña </t>
  </si>
  <si>
    <t>Torres </t>
  </si>
  <si>
    <t>Cano </t>
  </si>
  <si>
    <t>Aguirre </t>
  </si>
  <si>
    <t>Duran </t>
  </si>
  <si>
    <t>Ordoñez </t>
  </si>
  <si>
    <t>Carmona </t>
  </si>
  <si>
    <t>Gil </t>
  </si>
  <si>
    <t>Gomez </t>
  </si>
  <si>
    <t>Blanco </t>
  </si>
  <si>
    <t>Ramos </t>
  </si>
  <si>
    <t>Sarmiento </t>
  </si>
  <si>
    <t>Hoyos </t>
  </si>
  <si>
    <t>Arboleda </t>
  </si>
  <si>
    <t>Ayala </t>
  </si>
  <si>
    <t>Mendoza </t>
  </si>
  <si>
    <t>Benavides </t>
  </si>
  <si>
    <t>Carrillo </t>
  </si>
  <si>
    <t>Mesa </t>
  </si>
  <si>
    <t>Castro </t>
  </si>
  <si>
    <t>Marin </t>
  </si>
  <si>
    <t>Miranda </t>
  </si>
  <si>
    <t>Narváez </t>
  </si>
  <si>
    <t>Vanegas</t>
  </si>
  <si>
    <t>Ariza</t>
  </si>
  <si>
    <t>Luna </t>
  </si>
  <si>
    <t>Ardila </t>
  </si>
  <si>
    <t>Gonzalez </t>
  </si>
  <si>
    <t>Rodriguez </t>
  </si>
  <si>
    <t>Sepulveda</t>
  </si>
  <si>
    <t>Galindo </t>
  </si>
  <si>
    <t>Quintero </t>
  </si>
  <si>
    <t>Palacios </t>
  </si>
  <si>
    <t>Camargo </t>
  </si>
  <si>
    <t>Castillo </t>
  </si>
  <si>
    <t>Castaño </t>
  </si>
  <si>
    <t>Velasquez</t>
  </si>
  <si>
    <t>Duarte </t>
  </si>
  <si>
    <t>Montes </t>
  </si>
  <si>
    <t>Monsalve </t>
  </si>
  <si>
    <t>Rivera </t>
  </si>
  <si>
    <t>Jaramillo </t>
  </si>
  <si>
    <t>Moreno </t>
  </si>
  <si>
    <t>Mejia </t>
  </si>
  <si>
    <t>Martinez </t>
  </si>
  <si>
    <t>Barrios </t>
  </si>
  <si>
    <t>Palacio</t>
  </si>
  <si>
    <t>Camacho </t>
  </si>
  <si>
    <t>Arrieta </t>
  </si>
  <si>
    <t>Cardenas </t>
  </si>
  <si>
    <t>Loaiza </t>
  </si>
  <si>
    <t>Rosero</t>
  </si>
  <si>
    <t>Henao</t>
  </si>
  <si>
    <t>Jimenez </t>
  </si>
  <si>
    <t>Sanchez </t>
  </si>
  <si>
    <t>Tovar </t>
  </si>
  <si>
    <t>Parra </t>
  </si>
  <si>
    <t>Duque </t>
  </si>
  <si>
    <t>Galvis</t>
  </si>
  <si>
    <t>Fuentes </t>
  </si>
  <si>
    <t>Velasco </t>
  </si>
  <si>
    <t>Acevedo</t>
  </si>
  <si>
    <t>Zuñiga </t>
  </si>
  <si>
    <t>Navarro </t>
  </si>
  <si>
    <t>Uribe </t>
  </si>
  <si>
    <t>Marquez </t>
  </si>
  <si>
    <t>Guerrero </t>
  </si>
  <si>
    <t>Niño </t>
  </si>
  <si>
    <t>Benitez</t>
  </si>
  <si>
    <t>Hernandez </t>
  </si>
  <si>
    <t>John</t>
  </si>
  <si>
    <t>Jhoan</t>
  </si>
  <si>
    <t>Rodrigo</t>
  </si>
  <si>
    <t>Nicolás</t>
  </si>
  <si>
    <t>William</t>
  </si>
  <si>
    <t>Sigifredo</t>
  </si>
  <si>
    <t>Harold</t>
  </si>
  <si>
    <t>Edgar</t>
  </si>
  <si>
    <t>Joaquín</t>
  </si>
  <si>
    <t>Jacinto</t>
  </si>
  <si>
    <t>Erwin</t>
  </si>
  <si>
    <t>Emiro</t>
  </si>
  <si>
    <t>Jeysson</t>
  </si>
  <si>
    <t>Omar</t>
  </si>
  <si>
    <t>Jane</t>
  </si>
  <si>
    <t>Uriel</t>
  </si>
  <si>
    <t>Heiberto</t>
  </si>
  <si>
    <t>Christian</t>
  </si>
  <si>
    <t>Édgar</t>
  </si>
  <si>
    <t>Didier</t>
  </si>
  <si>
    <t>Jorge</t>
  </si>
  <si>
    <t>Erik</t>
  </si>
  <si>
    <t>Igor</t>
  </si>
  <si>
    <t>Alex</t>
  </si>
  <si>
    <t>Brayan</t>
  </si>
  <si>
    <t>Raúl</t>
  </si>
  <si>
    <t>Jeisson</t>
  </si>
  <si>
    <t>Miguel</t>
  </si>
  <si>
    <t>Freddy</t>
  </si>
  <si>
    <t>Emailio</t>
  </si>
  <si>
    <t>Lucas</t>
  </si>
  <si>
    <t xml:space="preserve">José </t>
  </si>
  <si>
    <t>Ramón</t>
  </si>
  <si>
    <t>Hugo</t>
  </si>
  <si>
    <t>Joseph</t>
  </si>
  <si>
    <t xml:space="preserve">Gregorio </t>
  </si>
  <si>
    <t>Alonso</t>
  </si>
  <si>
    <t>Aldemar</t>
  </si>
  <si>
    <t>Bernardo</t>
  </si>
  <si>
    <t>Paul</t>
  </si>
  <si>
    <t>Esther</t>
  </si>
  <si>
    <t>Ignacia</t>
  </si>
  <si>
    <t>Celeste</t>
  </si>
  <si>
    <t>Paz</t>
  </si>
  <si>
    <t>Margarita</t>
  </si>
  <si>
    <t>María </t>
  </si>
  <si>
    <t>Sara </t>
  </si>
  <si>
    <t>Emily </t>
  </si>
  <si>
    <t>Paola </t>
  </si>
  <si>
    <t>Renata </t>
  </si>
  <si>
    <t>Emma </t>
  </si>
  <si>
    <t>Agustina </t>
  </si>
  <si>
    <t>Dulce </t>
  </si>
  <si>
    <t>Josefa </t>
  </si>
  <si>
    <t>Mía</t>
  </si>
  <si>
    <t>Ana </t>
  </si>
  <si>
    <t>Isabella </t>
  </si>
  <si>
    <t>Mía </t>
  </si>
  <si>
    <t>Victoria </t>
  </si>
  <si>
    <t>Danna </t>
  </si>
  <si>
    <t>Sarah </t>
  </si>
  <si>
    <t>Sarah</t>
  </si>
  <si>
    <t>Paula </t>
  </si>
  <si>
    <t>Zoe</t>
  </si>
  <si>
    <t>Luisa </t>
  </si>
  <si>
    <t>Sofía </t>
  </si>
  <si>
    <t>Emilia </t>
  </si>
  <si>
    <t>Emma</t>
  </si>
  <si>
    <t>Auxiliar de cocina</t>
  </si>
  <si>
    <t xml:space="preserve">Auxiliar de vuelo </t>
  </si>
  <si>
    <t>Dary</t>
  </si>
  <si>
    <t>Blanca</t>
  </si>
  <si>
    <t>Francy</t>
  </si>
  <si>
    <t>Dora</t>
  </si>
  <si>
    <t>Jineth</t>
  </si>
  <si>
    <t>Myriam</t>
  </si>
  <si>
    <t>Ivonne</t>
  </si>
  <si>
    <t>Gina</t>
  </si>
  <si>
    <t>Dulce</t>
  </si>
  <si>
    <t>Paulina</t>
  </si>
  <si>
    <t>Estefania</t>
  </si>
  <si>
    <t>Gisella</t>
  </si>
  <si>
    <t>Oriana</t>
  </si>
  <si>
    <t>Josefina</t>
  </si>
  <si>
    <t>Oliva</t>
  </si>
  <si>
    <t>Jazmin</t>
  </si>
  <si>
    <t>Lina</t>
  </si>
  <si>
    <t>Belen</t>
  </si>
  <si>
    <t>Nadia</t>
  </si>
  <si>
    <t>Mia</t>
  </si>
  <si>
    <t>Juana</t>
  </si>
  <si>
    <t>Piedad</t>
  </si>
  <si>
    <t>del carmen</t>
  </si>
  <si>
    <t>Carol</t>
  </si>
  <si>
    <t>Margot</t>
  </si>
  <si>
    <t>Soraya</t>
  </si>
  <si>
    <t>Karen</t>
  </si>
  <si>
    <t>Nelcy</t>
  </si>
  <si>
    <t>Lucrecia</t>
  </si>
  <si>
    <t>Barbara</t>
  </si>
  <si>
    <t>Liseht</t>
  </si>
  <si>
    <t>Roxana</t>
  </si>
  <si>
    <t>Mercedes</t>
  </si>
  <si>
    <t>Frida</t>
  </si>
  <si>
    <t>Aleida</t>
  </si>
  <si>
    <t>Clara</t>
  </si>
  <si>
    <t>Elisa</t>
  </si>
  <si>
    <t>del Pilar</t>
  </si>
  <si>
    <t>Virginia</t>
  </si>
  <si>
    <t>Danna</t>
  </si>
  <si>
    <t>Michele</t>
  </si>
  <si>
    <t>Mabel</t>
  </si>
  <si>
    <t>Charloe</t>
  </si>
  <si>
    <t>Pia</t>
  </si>
  <si>
    <t>Valeria</t>
  </si>
  <si>
    <t>Vivian</t>
  </si>
  <si>
    <t>Selena</t>
  </si>
  <si>
    <t>Marlen</t>
  </si>
  <si>
    <t>Luna</t>
  </si>
  <si>
    <t>Ruth</t>
  </si>
  <si>
    <t>Alexa</t>
  </si>
  <si>
    <t>Jaqueline</t>
  </si>
  <si>
    <t>Amelia</t>
  </si>
  <si>
    <t>Gema</t>
  </si>
  <si>
    <t>Olivia</t>
  </si>
  <si>
    <t>Lily</t>
  </si>
  <si>
    <t>Vanesa</t>
  </si>
  <si>
    <t>Nina</t>
  </si>
  <si>
    <t>Magda</t>
  </si>
  <si>
    <t>Emila</t>
  </si>
  <si>
    <t>Emily</t>
  </si>
  <si>
    <t>Renata</t>
  </si>
  <si>
    <t>Abril</t>
  </si>
  <si>
    <t>Stefany</t>
  </si>
  <si>
    <t>Valeri</t>
  </si>
  <si>
    <t>Giselle</t>
  </si>
  <si>
    <t>Regina</t>
  </si>
  <si>
    <t>Abigail</t>
  </si>
  <si>
    <t>Luciana</t>
  </si>
  <si>
    <t>Noemi</t>
  </si>
  <si>
    <t>Agustina</t>
  </si>
  <si>
    <t>Tamara</t>
  </si>
  <si>
    <t>Romina</t>
  </si>
  <si>
    <t>Guadalupe</t>
  </si>
  <si>
    <t>Violeta</t>
  </si>
  <si>
    <t>Perla</t>
  </si>
  <si>
    <t>Elizabeht</t>
  </si>
  <si>
    <t>Paoula</t>
  </si>
  <si>
    <t>Tiffany</t>
  </si>
  <si>
    <t>Scarlet</t>
  </si>
  <si>
    <t>Venecia</t>
  </si>
  <si>
    <t>Nohemy</t>
  </si>
  <si>
    <t>Samanta</t>
  </si>
  <si>
    <t>Julia</t>
  </si>
  <si>
    <t>Yadira</t>
  </si>
  <si>
    <t>Julieta</t>
  </si>
  <si>
    <t>Linda</t>
  </si>
  <si>
    <t>Gladys</t>
  </si>
  <si>
    <t>Salome</t>
  </si>
  <si>
    <t>Jimena</t>
  </si>
  <si>
    <t>Irene</t>
  </si>
  <si>
    <t>Adelaida</t>
  </si>
  <si>
    <t>Scarlett</t>
  </si>
  <si>
    <t>Mary</t>
  </si>
  <si>
    <t>Eleonor</t>
  </si>
  <si>
    <t>Kamila</t>
  </si>
  <si>
    <t>Veronica</t>
  </si>
  <si>
    <t>Giset</t>
  </si>
  <si>
    <t>Antonella</t>
  </si>
  <si>
    <t>Casandra</t>
  </si>
  <si>
    <t>Eva</t>
  </si>
  <si>
    <t>Bibiana</t>
  </si>
  <si>
    <t>Deisy</t>
  </si>
  <si>
    <t>Joanna</t>
  </si>
  <si>
    <t>Cindy</t>
  </si>
  <si>
    <t>Mara</t>
  </si>
  <si>
    <t>Carlotta</t>
  </si>
  <si>
    <t>Magnolia</t>
  </si>
  <si>
    <t>Soledad</t>
  </si>
  <si>
    <t>Yanet</t>
  </si>
  <si>
    <t>Maricella</t>
  </si>
  <si>
    <t>Celia</t>
  </si>
  <si>
    <t>Giseth</t>
  </si>
  <si>
    <t>Elsa</t>
  </si>
  <si>
    <t>Lucresia</t>
  </si>
  <si>
    <t>Marisol</t>
  </si>
  <si>
    <t>Jesica</t>
  </si>
  <si>
    <t>Jinet</t>
  </si>
  <si>
    <t>Samantha</t>
  </si>
  <si>
    <t>Nicole</t>
  </si>
  <si>
    <t>Stefannya</t>
  </si>
  <si>
    <t>Leticia</t>
  </si>
  <si>
    <t>Francisca</t>
  </si>
  <si>
    <t>Melanie</t>
  </si>
  <si>
    <t>Sther</t>
  </si>
  <si>
    <t>Ashley</t>
  </si>
  <si>
    <t>Jhonana</t>
  </si>
  <si>
    <t>Magdalena</t>
  </si>
  <si>
    <t>Estrella</t>
  </si>
  <si>
    <t>Juanita</t>
  </si>
  <si>
    <t>Briana</t>
  </si>
  <si>
    <t>de Jesus</t>
  </si>
  <si>
    <t>Carla</t>
  </si>
  <si>
    <t>Allison</t>
  </si>
  <si>
    <t>Yuliet</t>
  </si>
  <si>
    <t>Paulin</t>
  </si>
  <si>
    <t>Valerie</t>
  </si>
  <si>
    <t>Liliam</t>
  </si>
  <si>
    <t>Florencia</t>
  </si>
  <si>
    <t>Estella</t>
  </si>
  <si>
    <t>Naomí</t>
  </si>
  <si>
    <t>Ariana</t>
  </si>
  <si>
    <t>Morena</t>
  </si>
  <si>
    <t>Natalie</t>
  </si>
  <si>
    <t>luz</t>
  </si>
  <si>
    <t>Janet</t>
  </si>
  <si>
    <t>Lola</t>
  </si>
  <si>
    <t>Dominga</t>
  </si>
  <si>
    <t>Angely</t>
  </si>
  <si>
    <t>Micaela</t>
  </si>
  <si>
    <t>Isidora</t>
  </si>
  <si>
    <t>Rebeca</t>
  </si>
  <si>
    <t>Rubiela</t>
  </si>
  <si>
    <t>Michelle</t>
  </si>
  <si>
    <t>Delfina</t>
  </si>
  <si>
    <t>Aitana</t>
  </si>
  <si>
    <t>Stephanie</t>
  </si>
  <si>
    <t>Fátima</t>
  </si>
  <si>
    <t>Paloma</t>
  </si>
  <si>
    <t>Candela</t>
  </si>
  <si>
    <t>Gissell</t>
  </si>
  <si>
    <t>Bárbara</t>
  </si>
  <si>
    <t>Bianca</t>
  </si>
  <si>
    <t>Miranda</t>
  </si>
  <si>
    <t>Yineth</t>
  </si>
  <si>
    <t>Sabrina</t>
  </si>
  <si>
    <t>Ofelia</t>
  </si>
  <si>
    <t>Marta</t>
  </si>
  <si>
    <t>Génesis</t>
  </si>
  <si>
    <t>Wilson</t>
  </si>
  <si>
    <t>Zael</t>
  </si>
  <si>
    <t>Jeremias</t>
  </si>
  <si>
    <t>Marcos</t>
  </si>
  <si>
    <t>Fausto</t>
  </si>
  <si>
    <t>Elkin</t>
  </si>
  <si>
    <t>Eder</t>
  </si>
  <si>
    <t>Martin</t>
  </si>
  <si>
    <t>Giovanny</t>
  </si>
  <si>
    <t>Gildardo</t>
  </si>
  <si>
    <t xml:space="preserve">Samuel </t>
  </si>
  <si>
    <t xml:space="preserve">Stiven </t>
  </si>
  <si>
    <t>Emmil</t>
  </si>
  <si>
    <t>Lian</t>
  </si>
  <si>
    <t>Darwin</t>
  </si>
  <si>
    <t>Octavio</t>
  </si>
  <si>
    <t>Damian</t>
  </si>
  <si>
    <t>Brian</t>
  </si>
  <si>
    <t>Matias</t>
  </si>
  <si>
    <t>Tomas</t>
  </si>
  <si>
    <t>Ramon</t>
  </si>
  <si>
    <t>Hernan</t>
  </si>
  <si>
    <t>Ruben</t>
  </si>
  <si>
    <t>Emiliano</t>
  </si>
  <si>
    <t>MIguel</t>
  </si>
  <si>
    <t>Joan</t>
  </si>
  <si>
    <t>Ian</t>
  </si>
  <si>
    <t>Alexaner</t>
  </si>
  <si>
    <t>Elias</t>
  </si>
  <si>
    <t>Leon</t>
  </si>
  <si>
    <t>Ethan</t>
  </si>
  <si>
    <t>Mateo</t>
  </si>
  <si>
    <t>Gregorio</t>
  </si>
  <si>
    <t>Chris</t>
  </si>
  <si>
    <t>Elian</t>
  </si>
  <si>
    <t>Noah</t>
  </si>
  <si>
    <t>Dante</t>
  </si>
  <si>
    <t>Emanuel</t>
  </si>
  <si>
    <t>Dilan</t>
  </si>
  <si>
    <t>Simon</t>
  </si>
  <si>
    <t>Federico</t>
  </si>
  <si>
    <t>Estiven</t>
  </si>
  <si>
    <t>Maximiliano</t>
  </si>
  <si>
    <t>Azael</t>
  </si>
  <si>
    <t>Samuel</t>
  </si>
  <si>
    <t>Efrain</t>
  </si>
  <si>
    <t>Neil</t>
  </si>
  <si>
    <t>Samir</t>
  </si>
  <si>
    <t>Saul</t>
  </si>
  <si>
    <t>Larry</t>
  </si>
  <si>
    <t>Gonzalo</t>
  </si>
  <si>
    <t>Laureano</t>
  </si>
  <si>
    <t>Valentino</t>
  </si>
  <si>
    <t>Armando</t>
  </si>
  <si>
    <t>Dagoberto</t>
  </si>
  <si>
    <t>Humberto</t>
  </si>
  <si>
    <t>Jeison</t>
  </si>
  <si>
    <t>Jean</t>
  </si>
  <si>
    <t>Joae</t>
  </si>
  <si>
    <t>Del Carmen</t>
  </si>
  <si>
    <t>Rey</t>
  </si>
  <si>
    <t>Giuseppe</t>
  </si>
  <si>
    <t>Jacobo</t>
  </si>
  <si>
    <t>Yesid</t>
  </si>
  <si>
    <t>De Jose</t>
  </si>
  <si>
    <t>stiven</t>
  </si>
  <si>
    <t>Lorenzo</t>
  </si>
  <si>
    <t>Nestor</t>
  </si>
  <si>
    <t>Pascual</t>
  </si>
  <si>
    <t>De Jesus</t>
  </si>
  <si>
    <t>Aurelio</t>
  </si>
  <si>
    <t>Bacterióloga</t>
  </si>
  <si>
    <t>Instructor de baile</t>
  </si>
  <si>
    <t>Recepcionista</t>
  </si>
  <si>
    <t>Artista escénica</t>
  </si>
  <si>
    <t>Auxiliar de vuelo</t>
  </si>
  <si>
    <t>Administradora de Empresas</t>
  </si>
  <si>
    <t>Agronóma</t>
  </si>
  <si>
    <t>Economista de impuestos</t>
  </si>
  <si>
    <t>agricola</t>
  </si>
  <si>
    <t>Técnica en electricidad</t>
  </si>
  <si>
    <t>Bióloga</t>
  </si>
  <si>
    <t>Mesera</t>
  </si>
  <si>
    <t>Tenista</t>
  </si>
  <si>
    <t>Técnica Quirúrgica</t>
  </si>
  <si>
    <t>Odontóloga</t>
  </si>
  <si>
    <t>Dentista</t>
  </si>
  <si>
    <t>Arquitecta</t>
  </si>
  <si>
    <t>Paramédica</t>
  </si>
  <si>
    <t>Química farmacéutica.</t>
  </si>
  <si>
    <t>Psicóloga</t>
  </si>
  <si>
    <t>Veterinaria</t>
  </si>
  <si>
    <t>Agente call center</t>
  </si>
  <si>
    <t>Topógrafa</t>
  </si>
  <si>
    <t>Ingeniera</t>
  </si>
  <si>
    <t>Directora Escénico</t>
  </si>
  <si>
    <t>Trabajadora Social</t>
  </si>
  <si>
    <t>Fotógrafa</t>
  </si>
  <si>
    <t>Ingeniera electronica</t>
  </si>
  <si>
    <t>Ingeniera Civil</t>
  </si>
  <si>
    <t>Enfermer</t>
  </si>
  <si>
    <t>Administradora</t>
  </si>
  <si>
    <t>Actriz de doblaje</t>
  </si>
  <si>
    <t>Ingeniera Química</t>
  </si>
  <si>
    <t>Profesorsa</t>
  </si>
  <si>
    <t>Administradora de empresas</t>
  </si>
  <si>
    <t>Ingeniera industrial</t>
  </si>
  <si>
    <t>Contadora Pública</t>
  </si>
  <si>
    <t>Trabajadora social</t>
  </si>
  <si>
    <t>Administradora en Negocios Internacionales</t>
  </si>
  <si>
    <t>Cocinera</t>
  </si>
  <si>
    <t>Ingeniera Naval</t>
  </si>
  <si>
    <t>Dermatóloga</t>
  </si>
  <si>
    <t>Química Farmacéutica</t>
  </si>
  <si>
    <t>Asesora de inversiones</t>
  </si>
  <si>
    <t>Pediatra</t>
  </si>
  <si>
    <t>Ingeniera de Transporte y Vías</t>
  </si>
  <si>
    <t>Contadora Público</t>
  </si>
  <si>
    <t>Técnica en regencia de farmacia.</t>
  </si>
  <si>
    <t>Masajista</t>
  </si>
  <si>
    <t>Administradora Público.</t>
  </si>
  <si>
    <t>Actriz</t>
  </si>
  <si>
    <t>Ingeniera Electrónica</t>
  </si>
  <si>
    <t>Diseñadora Industrial.</t>
  </si>
  <si>
    <t>Terapeuta físico</t>
  </si>
  <si>
    <t>Diseñadora Gráfico</t>
  </si>
  <si>
    <t>Ingeniera Mecánica</t>
  </si>
  <si>
    <t>Economista.</t>
  </si>
  <si>
    <t>Auxiliar Contable y Financiera</t>
  </si>
  <si>
    <t>Guía de Turismo</t>
  </si>
  <si>
    <t>Diseñadora</t>
  </si>
  <si>
    <t>Jefe de recursos humanos</t>
  </si>
  <si>
    <t>Ingeniera Industrial</t>
  </si>
  <si>
    <t>Auxiliar de seguros</t>
  </si>
  <si>
    <t>Licenciada en Ciencias de la Educación</t>
  </si>
  <si>
    <t>Abogada</t>
  </si>
  <si>
    <t>Financiera en Comercio Exterior</t>
  </si>
  <si>
    <t>Técnica Electricista</t>
  </si>
  <si>
    <t>Bibliotecaria</t>
  </si>
  <si>
    <t>Directora ejecutiva</t>
  </si>
  <si>
    <t>Asistente Legal</t>
  </si>
  <si>
    <t>Electricista</t>
  </si>
  <si>
    <t>Consultorio dental</t>
  </si>
  <si>
    <t>Anestesióloga</t>
  </si>
  <si>
    <t>Enfermera</t>
  </si>
  <si>
    <t>Química</t>
  </si>
  <si>
    <t>Asistente social</t>
  </si>
  <si>
    <t>Geógrafa</t>
  </si>
  <si>
    <t>Agricultora</t>
  </si>
  <si>
    <t>Ingeniera de Petróleo</t>
  </si>
  <si>
    <t>Licenciada en ciencias de la Educación</t>
  </si>
  <si>
    <t>Auxiliar de servicios generales</t>
  </si>
  <si>
    <t>Terapista ocupacional.</t>
  </si>
  <si>
    <t>Ingeniera Química.</t>
  </si>
  <si>
    <t>Subgerente comercial</t>
  </si>
  <si>
    <t>Terapeuta ocupacional.</t>
  </si>
  <si>
    <t>Administradora de Empresas Agropecuarias</t>
  </si>
  <si>
    <t>Financiera Comercial</t>
  </si>
  <si>
    <t>Técnica Constructora</t>
  </si>
  <si>
    <t>Policia</t>
  </si>
  <si>
    <t>Economista</t>
  </si>
  <si>
    <t>Ingeniera de Transportes</t>
  </si>
  <si>
    <t>Agronóma forestal</t>
  </si>
  <si>
    <t>Cardióloga</t>
  </si>
  <si>
    <t>Visitadora social</t>
  </si>
  <si>
    <t>Ingeniera Electrónico</t>
  </si>
  <si>
    <t>Fonoaudióloga</t>
  </si>
  <si>
    <t>Auxiliar farmacéutico</t>
  </si>
  <si>
    <t>Auxiliar Administrativa</t>
  </si>
  <si>
    <t>Docente</t>
  </si>
  <si>
    <t>Asistente de cocina</t>
  </si>
  <si>
    <t>Enfermera auxiliar</t>
  </si>
  <si>
    <t>Odontologa</t>
  </si>
  <si>
    <t>Microbióloga</t>
  </si>
  <si>
    <t>Consultora legal</t>
  </si>
  <si>
    <t>Analista legal</t>
  </si>
  <si>
    <t>Instructora de baile</t>
  </si>
  <si>
    <t>Agricola</t>
  </si>
  <si>
    <t>Médica familiar</t>
  </si>
  <si>
    <t>Oftalmóloga</t>
  </si>
  <si>
    <t>Asesora de ventas</t>
  </si>
  <si>
    <t>Carpintera</t>
  </si>
  <si>
    <t>Bombera</t>
  </si>
  <si>
    <t>Contratista</t>
  </si>
  <si>
    <t>Entrenadora de natación</t>
  </si>
  <si>
    <t>Especialista en medicina ocupacional</t>
  </si>
  <si>
    <t>Abogada Jurídico</t>
  </si>
  <si>
    <t>Auxiliar de grabación</t>
  </si>
  <si>
    <t>Guardia de seguridad</t>
  </si>
  <si>
    <t xml:space="preserve">Coordinadora en educación especial </t>
  </si>
  <si>
    <t>Programadora</t>
  </si>
  <si>
    <t>Técnica electricista</t>
  </si>
  <si>
    <t xml:space="preserve">Auxiliar de laboratorio clínico </t>
  </si>
  <si>
    <t>Cirujana Estética</t>
  </si>
  <si>
    <t>Asesora de imagen</t>
  </si>
  <si>
    <t>Profesora de ballet</t>
  </si>
  <si>
    <t>Diagramadora</t>
  </si>
  <si>
    <t>Funcionaria de salud publica</t>
  </si>
  <si>
    <t>Socorrista</t>
  </si>
  <si>
    <t xml:space="preserve">Ginecóloga </t>
  </si>
  <si>
    <t>Dietista</t>
  </si>
  <si>
    <t>Diseñadora de interiores</t>
  </si>
  <si>
    <t>Diseñadora textil</t>
  </si>
  <si>
    <t>Escultora</t>
  </si>
  <si>
    <t>Fontanera</t>
  </si>
  <si>
    <t>Barwoman</t>
  </si>
  <si>
    <t>Capitana Aérea</t>
  </si>
  <si>
    <t>Diseñadora de moda</t>
  </si>
  <si>
    <t>Guionista</t>
  </si>
  <si>
    <t>Auxiliar de servicios a bordo</t>
  </si>
  <si>
    <t>Coreógrafa</t>
  </si>
  <si>
    <t>Farmacóloga</t>
  </si>
  <si>
    <t>Camarera</t>
  </si>
  <si>
    <t>Inspectora</t>
  </si>
  <si>
    <t>Oncóloga</t>
  </si>
  <si>
    <t>Salvavidas</t>
  </si>
  <si>
    <t>Traductora</t>
  </si>
  <si>
    <t>Minera</t>
  </si>
  <si>
    <t>Cosmetóloga</t>
  </si>
  <si>
    <t>Cantante</t>
  </si>
  <si>
    <t>Columnista</t>
  </si>
  <si>
    <t>Manicurista</t>
  </si>
  <si>
    <t>Neuróloga</t>
  </si>
  <si>
    <t>Tatuadora</t>
  </si>
  <si>
    <t>Quiropráctica</t>
  </si>
  <si>
    <t>Instrumentista</t>
  </si>
  <si>
    <t>Supervisora</t>
  </si>
  <si>
    <t>Pastelera</t>
  </si>
  <si>
    <t>Terapeuta ocupacional</t>
  </si>
  <si>
    <t>Instructora</t>
  </si>
  <si>
    <t>Abogada Civil</t>
  </si>
  <si>
    <t>Perforadora</t>
  </si>
  <si>
    <t>Entrenadora de box</t>
  </si>
  <si>
    <t>Electromecánica</t>
  </si>
  <si>
    <t>Publicista</t>
  </si>
  <si>
    <t>Entrenadora de basquetbol</t>
  </si>
  <si>
    <t>Cultivadora</t>
  </si>
  <si>
    <t>Editora</t>
  </si>
  <si>
    <t>Mecánica</t>
  </si>
  <si>
    <t>Plomera</t>
  </si>
  <si>
    <t xml:space="preserve">Modelo de protocolo </t>
  </si>
  <si>
    <t>Entrenadora físico</t>
  </si>
  <si>
    <t>Directora de cine y televisión</t>
  </si>
  <si>
    <t>Ornamentadora</t>
  </si>
  <si>
    <t>Entrenadora de futbol</t>
  </si>
  <si>
    <t>Operaria</t>
  </si>
  <si>
    <t xml:space="preserve">Anestesióloga </t>
  </si>
  <si>
    <t>Escritora</t>
  </si>
  <si>
    <t>Acondicionadora física</t>
  </si>
  <si>
    <t>Abogada Penalista</t>
  </si>
  <si>
    <t>Juez</t>
  </si>
  <si>
    <t>Escaladora</t>
  </si>
  <si>
    <t>Guía turística</t>
  </si>
  <si>
    <t>Auxiliar higiene oral</t>
  </si>
  <si>
    <t>Analista</t>
  </si>
  <si>
    <t>Estilista</t>
  </si>
  <si>
    <t>Diseñadora gráfica</t>
  </si>
  <si>
    <t>Ingeniera de sistemas</t>
  </si>
  <si>
    <t>Promotora de ventas</t>
  </si>
  <si>
    <t>Barman</t>
  </si>
  <si>
    <t>Perforador</t>
  </si>
  <si>
    <t>Asesor de imagen</t>
  </si>
  <si>
    <t>Mesero</t>
  </si>
  <si>
    <t>Técnico electricista</t>
  </si>
  <si>
    <t>Entrenador de natación</t>
  </si>
  <si>
    <t>Instructor</t>
  </si>
  <si>
    <t>Escultor</t>
  </si>
  <si>
    <t xml:space="preserve">Anestesiólogo </t>
  </si>
  <si>
    <t>Diseñador de moda</t>
  </si>
  <si>
    <t>Quiropráctico</t>
  </si>
  <si>
    <t>Músico</t>
  </si>
  <si>
    <t>Entrenador de box</t>
  </si>
  <si>
    <t>Funcionario salud publica</t>
  </si>
  <si>
    <t>Oftalmólogo</t>
  </si>
  <si>
    <t>Plomero</t>
  </si>
  <si>
    <t>Abogado Civil</t>
  </si>
  <si>
    <t>Entrenador físico</t>
  </si>
  <si>
    <t>Carpintero</t>
  </si>
  <si>
    <t>Programador</t>
  </si>
  <si>
    <t>Asesor de ventas</t>
  </si>
  <si>
    <t>Coreógrafo</t>
  </si>
  <si>
    <t>Traductor</t>
  </si>
  <si>
    <t>Diseñador textil</t>
  </si>
  <si>
    <t>Ornamentador</t>
  </si>
  <si>
    <t xml:space="preserve">Piloto </t>
  </si>
  <si>
    <t xml:space="preserve">Coordinador en educación especial </t>
  </si>
  <si>
    <t>Bombero</t>
  </si>
  <si>
    <t>Mecánico</t>
  </si>
  <si>
    <t>Farmacólogo</t>
  </si>
  <si>
    <t>Escalador</t>
  </si>
  <si>
    <t>Profesor de ballet</t>
  </si>
  <si>
    <t>Diagramador</t>
  </si>
  <si>
    <t>Camarero</t>
  </si>
  <si>
    <t>Supervisor</t>
  </si>
  <si>
    <t>Guía turístico</t>
  </si>
  <si>
    <t xml:space="preserve">Ginecólogo </t>
  </si>
  <si>
    <t>Cirujano Estético</t>
  </si>
  <si>
    <t>Tatuador</t>
  </si>
  <si>
    <t>Pastelero</t>
  </si>
  <si>
    <t>Editor</t>
  </si>
  <si>
    <t>Fontanero</t>
  </si>
  <si>
    <t>Oncólogo</t>
  </si>
  <si>
    <t>Diseñador de interiores</t>
  </si>
  <si>
    <t>Promotor de ventas</t>
  </si>
  <si>
    <t>Conserje</t>
  </si>
  <si>
    <t>Médico familiar</t>
  </si>
  <si>
    <t>Entrenador de futbol</t>
  </si>
  <si>
    <t>Director de cine y televisión</t>
  </si>
  <si>
    <t>Electromecánico</t>
  </si>
  <si>
    <t>Abogado Penalista</t>
  </si>
  <si>
    <t>Ingeniero de sistemas</t>
  </si>
  <si>
    <t>Diseñador gráfico</t>
  </si>
  <si>
    <t>Cultivador</t>
  </si>
  <si>
    <t>Cosmetólogo</t>
  </si>
  <si>
    <t>Escritor</t>
  </si>
  <si>
    <t>Operario</t>
  </si>
  <si>
    <t>Abogado Jurídico</t>
  </si>
  <si>
    <t>Minero</t>
  </si>
  <si>
    <t>Entrenador de basquetbol</t>
  </si>
  <si>
    <t>Neurólogo</t>
  </si>
  <si>
    <t>Inspector</t>
  </si>
  <si>
    <t>Acondicionador físico</t>
  </si>
  <si>
    <t>Joyero</t>
  </si>
  <si>
    <t>Felicia</t>
  </si>
  <si>
    <t>Josefína</t>
  </si>
  <si>
    <t>Estafanía</t>
  </si>
  <si>
    <t>Cilia</t>
  </si>
  <si>
    <t>Alessandra</t>
  </si>
  <si>
    <t>Belén</t>
  </si>
  <si>
    <t>Marián</t>
  </si>
  <si>
    <t>Filomena</t>
  </si>
  <si>
    <t>Flavia</t>
  </si>
  <si>
    <t>Tereza</t>
  </si>
  <si>
    <t>Davileth</t>
  </si>
  <si>
    <t>Ángela</t>
  </si>
  <si>
    <t>Otilia</t>
  </si>
  <si>
    <t xml:space="preserve">Sandra </t>
  </si>
  <si>
    <t>Adrián</t>
  </si>
  <si>
    <t>Aloso</t>
  </si>
  <si>
    <t>Fabricio</t>
  </si>
  <si>
    <t>Bruno</t>
  </si>
  <si>
    <t>Marcelo</t>
  </si>
  <si>
    <t>Dylan</t>
  </si>
  <si>
    <t>Abel</t>
  </si>
  <si>
    <t>ID</t>
  </si>
  <si>
    <t>M0001</t>
  </si>
  <si>
    <t>M0002</t>
  </si>
  <si>
    <t>M0003</t>
  </si>
  <si>
    <t>M0004</t>
  </si>
  <si>
    <t>M0005</t>
  </si>
  <si>
    <t>M0006</t>
  </si>
  <si>
    <t>M0007</t>
  </si>
  <si>
    <t>M0008</t>
  </si>
  <si>
    <t>M0009</t>
  </si>
  <si>
    <t>M0010</t>
  </si>
  <si>
    <t>M0011</t>
  </si>
  <si>
    <t>M0012</t>
  </si>
  <si>
    <t>M0013</t>
  </si>
  <si>
    <t>M0014</t>
  </si>
  <si>
    <t>M0015</t>
  </si>
  <si>
    <t>M0016</t>
  </si>
  <si>
    <t>M0017</t>
  </si>
  <si>
    <t>M0018</t>
  </si>
  <si>
    <t>M0019</t>
  </si>
  <si>
    <t>M0020</t>
  </si>
  <si>
    <t>M0021</t>
  </si>
  <si>
    <t>M0022</t>
  </si>
  <si>
    <t>M0023</t>
  </si>
  <si>
    <t>M0024</t>
  </si>
  <si>
    <t>M0025</t>
  </si>
  <si>
    <t>M0026</t>
  </si>
  <si>
    <t>M0027</t>
  </si>
  <si>
    <t>M0028</t>
  </si>
  <si>
    <t>M0029</t>
  </si>
  <si>
    <t>M0030</t>
  </si>
  <si>
    <t>M0031</t>
  </si>
  <si>
    <t>M0032</t>
  </si>
  <si>
    <t>M0033</t>
  </si>
  <si>
    <t>M0034</t>
  </si>
  <si>
    <t>M0035</t>
  </si>
  <si>
    <t>M0036</t>
  </si>
  <si>
    <t>M0037</t>
  </si>
  <si>
    <t>M0038</t>
  </si>
  <si>
    <t>M0039</t>
  </si>
  <si>
    <t>M0040</t>
  </si>
  <si>
    <t>M0041</t>
  </si>
  <si>
    <t>M0042</t>
  </si>
  <si>
    <t>M0043</t>
  </si>
  <si>
    <t>M0044</t>
  </si>
  <si>
    <t>M0045</t>
  </si>
  <si>
    <t>M0046</t>
  </si>
  <si>
    <t>M0047</t>
  </si>
  <si>
    <t>M0048</t>
  </si>
  <si>
    <t>M0049</t>
  </si>
  <si>
    <t>M0050</t>
  </si>
  <si>
    <t>M0051</t>
  </si>
  <si>
    <t>M0052</t>
  </si>
  <si>
    <t>M0053</t>
  </si>
  <si>
    <t>M0054</t>
  </si>
  <si>
    <t>M0055</t>
  </si>
  <si>
    <t>M0056</t>
  </si>
  <si>
    <t>M0057</t>
  </si>
  <si>
    <t>M0058</t>
  </si>
  <si>
    <t>M0059</t>
  </si>
  <si>
    <t>M0060</t>
  </si>
  <si>
    <t>M0061</t>
  </si>
  <si>
    <t>M0062</t>
  </si>
  <si>
    <t>M0063</t>
  </si>
  <si>
    <t>M0064</t>
  </si>
  <si>
    <t>M0065</t>
  </si>
  <si>
    <t>M0066</t>
  </si>
  <si>
    <t>M0067</t>
  </si>
  <si>
    <t>M0068</t>
  </si>
  <si>
    <t>M0069</t>
  </si>
  <si>
    <t>M0070</t>
  </si>
  <si>
    <t>M0071</t>
  </si>
  <si>
    <t>M0072</t>
  </si>
  <si>
    <t>M0073</t>
  </si>
  <si>
    <t>M0074</t>
  </si>
  <si>
    <t>M0075</t>
  </si>
  <si>
    <t>M0076</t>
  </si>
  <si>
    <t>M0077</t>
  </si>
  <si>
    <t>M0078</t>
  </si>
  <si>
    <t>M0079</t>
  </si>
  <si>
    <t>M0080</t>
  </si>
  <si>
    <t>M0081</t>
  </si>
  <si>
    <t>M0082</t>
  </si>
  <si>
    <t>M0083</t>
  </si>
  <si>
    <t>M0084</t>
  </si>
  <si>
    <t>M0085</t>
  </si>
  <si>
    <t>M0086</t>
  </si>
  <si>
    <t>M0087</t>
  </si>
  <si>
    <t>M0088</t>
  </si>
  <si>
    <t>M0089</t>
  </si>
  <si>
    <t>M0090</t>
  </si>
  <si>
    <t>M0091</t>
  </si>
  <si>
    <t>M0092</t>
  </si>
  <si>
    <t>M0093</t>
  </si>
  <si>
    <t>M0094</t>
  </si>
  <si>
    <t>M0095</t>
  </si>
  <si>
    <t>M0096</t>
  </si>
  <si>
    <t>M0097</t>
  </si>
  <si>
    <t>M0098</t>
  </si>
  <si>
    <t>M0099</t>
  </si>
  <si>
    <t>M0100</t>
  </si>
  <si>
    <t>M0101</t>
  </si>
  <si>
    <t>M0102</t>
  </si>
  <si>
    <t>M0103</t>
  </si>
  <si>
    <t>M0104</t>
  </si>
  <si>
    <t>M0105</t>
  </si>
  <si>
    <t>M0106</t>
  </si>
  <si>
    <t>M0107</t>
  </si>
  <si>
    <t>M0108</t>
  </si>
  <si>
    <t>M0109</t>
  </si>
  <si>
    <t>M0110</t>
  </si>
  <si>
    <t>M0111</t>
  </si>
  <si>
    <t>M0112</t>
  </si>
  <si>
    <t>M0113</t>
  </si>
  <si>
    <t>M0114</t>
  </si>
  <si>
    <t>M0115</t>
  </si>
  <si>
    <t>M0116</t>
  </si>
  <si>
    <t>M0117</t>
  </si>
  <si>
    <t>M0118</t>
  </si>
  <si>
    <t>M0119</t>
  </si>
  <si>
    <t>M0120</t>
  </si>
  <si>
    <t>M0121</t>
  </si>
  <si>
    <t>M0122</t>
  </si>
  <si>
    <t>M0123</t>
  </si>
  <si>
    <t>M0124</t>
  </si>
  <si>
    <t>M0125</t>
  </si>
  <si>
    <t>M0126</t>
  </si>
  <si>
    <t>M0127</t>
  </si>
  <si>
    <t>M0128</t>
  </si>
  <si>
    <t>M0129</t>
  </si>
  <si>
    <t>M0130</t>
  </si>
  <si>
    <t>M0131</t>
  </si>
  <si>
    <t>M0132</t>
  </si>
  <si>
    <t>M0133</t>
  </si>
  <si>
    <t>M0134</t>
  </si>
  <si>
    <t>M0135</t>
  </si>
  <si>
    <t>M0136</t>
  </si>
  <si>
    <t>M0137</t>
  </si>
  <si>
    <t>M0138</t>
  </si>
  <si>
    <t>M0139</t>
  </si>
  <si>
    <t>M0140</t>
  </si>
  <si>
    <t>M0141</t>
  </si>
  <si>
    <t>M0142</t>
  </si>
  <si>
    <t>M0143</t>
  </si>
  <si>
    <t>M0144</t>
  </si>
  <si>
    <t>M0145</t>
  </si>
  <si>
    <t>M0146</t>
  </si>
  <si>
    <t>M0147</t>
  </si>
  <si>
    <t>M0148</t>
  </si>
  <si>
    <t>M0149</t>
  </si>
  <si>
    <t>M0150</t>
  </si>
  <si>
    <t>M0151</t>
  </si>
  <si>
    <t>M0152</t>
  </si>
  <si>
    <t>M0153</t>
  </si>
  <si>
    <t>M0154</t>
  </si>
  <si>
    <t>M0155</t>
  </si>
  <si>
    <t>M0156</t>
  </si>
  <si>
    <t>M0157</t>
  </si>
  <si>
    <t>M0158</t>
  </si>
  <si>
    <t>M0159</t>
  </si>
  <si>
    <t>M0160</t>
  </si>
  <si>
    <t>M0161</t>
  </si>
  <si>
    <t>M0162</t>
  </si>
  <si>
    <t>M0163</t>
  </si>
  <si>
    <t>M0164</t>
  </si>
  <si>
    <t>M0165</t>
  </si>
  <si>
    <t>M0166</t>
  </si>
  <si>
    <t>M0167</t>
  </si>
  <si>
    <t>M0168</t>
  </si>
  <si>
    <t>M0169</t>
  </si>
  <si>
    <t>M0170</t>
  </si>
  <si>
    <t>M0171</t>
  </si>
  <si>
    <t>M0172</t>
  </si>
  <si>
    <t>M0173</t>
  </si>
  <si>
    <t>M0174</t>
  </si>
  <si>
    <t>M0175</t>
  </si>
  <si>
    <t>M0176</t>
  </si>
  <si>
    <t>M0177</t>
  </si>
  <si>
    <t>M0178</t>
  </si>
  <si>
    <t>M0179</t>
  </si>
  <si>
    <t>M0180</t>
  </si>
  <si>
    <t>M0181</t>
  </si>
  <si>
    <t>M0182</t>
  </si>
  <si>
    <t>M0183</t>
  </si>
  <si>
    <t>M0184</t>
  </si>
  <si>
    <t>M0185</t>
  </si>
  <si>
    <t>M0186</t>
  </si>
  <si>
    <t>M0187</t>
  </si>
  <si>
    <t>M0188</t>
  </si>
  <si>
    <t>M0189</t>
  </si>
  <si>
    <t>M0190</t>
  </si>
  <si>
    <t>M0191</t>
  </si>
  <si>
    <t>M0192</t>
  </si>
  <si>
    <t>M0193</t>
  </si>
  <si>
    <t>M0194</t>
  </si>
  <si>
    <t>M0195</t>
  </si>
  <si>
    <t>M0196</t>
  </si>
  <si>
    <t>M0197</t>
  </si>
  <si>
    <t>M0198</t>
  </si>
  <si>
    <t>M0199</t>
  </si>
  <si>
    <t>M0200</t>
  </si>
  <si>
    <t>M0201</t>
  </si>
  <si>
    <t>M0202</t>
  </si>
  <si>
    <t>M0203</t>
  </si>
  <si>
    <t>M0204</t>
  </si>
  <si>
    <t>M0205</t>
  </si>
  <si>
    <t>M0206</t>
  </si>
  <si>
    <t>M0207</t>
  </si>
  <si>
    <t>M0208</t>
  </si>
  <si>
    <t>M0209</t>
  </si>
  <si>
    <t>M0210</t>
  </si>
  <si>
    <t>M0211</t>
  </si>
  <si>
    <t>M0212</t>
  </si>
  <si>
    <t>M0213</t>
  </si>
  <si>
    <t>M0214</t>
  </si>
  <si>
    <t>M0215</t>
  </si>
  <si>
    <t>M0216</t>
  </si>
  <si>
    <t>M0217</t>
  </si>
  <si>
    <t>M0218</t>
  </si>
  <si>
    <t>M0219</t>
  </si>
  <si>
    <t>M0220</t>
  </si>
  <si>
    <t>M0221</t>
  </si>
  <si>
    <t>M0222</t>
  </si>
  <si>
    <t>M0223</t>
  </si>
  <si>
    <t>M0224</t>
  </si>
  <si>
    <t>M0225</t>
  </si>
  <si>
    <t>M0226</t>
  </si>
  <si>
    <t>M0227</t>
  </si>
  <si>
    <t>M0228</t>
  </si>
  <si>
    <t>M0229</t>
  </si>
  <si>
    <t>M0230</t>
  </si>
  <si>
    <t>M0231</t>
  </si>
  <si>
    <t>M0232</t>
  </si>
  <si>
    <t>M0233</t>
  </si>
  <si>
    <t>M0234</t>
  </si>
  <si>
    <t>M0235</t>
  </si>
  <si>
    <t>M0236</t>
  </si>
  <si>
    <t>M0237</t>
  </si>
  <si>
    <t>M0238</t>
  </si>
  <si>
    <t>M0239</t>
  </si>
  <si>
    <t>M0240</t>
  </si>
  <si>
    <t>M0241</t>
  </si>
  <si>
    <t>M0242</t>
  </si>
  <si>
    <t>M0243</t>
  </si>
  <si>
    <t>M0244</t>
  </si>
  <si>
    <t>M0245</t>
  </si>
  <si>
    <t>M0246</t>
  </si>
  <si>
    <t>M0247</t>
  </si>
  <si>
    <t>M0248</t>
  </si>
  <si>
    <t>M0249</t>
  </si>
  <si>
    <t>M0250</t>
  </si>
  <si>
    <t>M0251</t>
  </si>
  <si>
    <t>M0252</t>
  </si>
  <si>
    <t>M0253</t>
  </si>
  <si>
    <t>M0254</t>
  </si>
  <si>
    <t>M0255</t>
  </si>
  <si>
    <t>M0256</t>
  </si>
  <si>
    <t>M0257</t>
  </si>
  <si>
    <t>M0258</t>
  </si>
  <si>
    <t>M0259</t>
  </si>
  <si>
    <t>M0260</t>
  </si>
  <si>
    <t>M0261</t>
  </si>
  <si>
    <t>M0262</t>
  </si>
  <si>
    <t>M0263</t>
  </si>
  <si>
    <t>M0264</t>
  </si>
  <si>
    <t>M0265</t>
  </si>
  <si>
    <t>M0266</t>
  </si>
  <si>
    <t>M0267</t>
  </si>
  <si>
    <t>M0268</t>
  </si>
  <si>
    <t>M0269</t>
  </si>
  <si>
    <t>M0270</t>
  </si>
  <si>
    <t>M0271</t>
  </si>
  <si>
    <t>M0272</t>
  </si>
  <si>
    <t>M0273</t>
  </si>
  <si>
    <t>M0274</t>
  </si>
  <si>
    <t>M0275</t>
  </si>
  <si>
    <t>M0276</t>
  </si>
  <si>
    <t>M0277</t>
  </si>
  <si>
    <t>M0278</t>
  </si>
  <si>
    <t>M0279</t>
  </si>
  <si>
    <t>M0280</t>
  </si>
  <si>
    <t>M0281</t>
  </si>
  <si>
    <t>M0282</t>
  </si>
  <si>
    <t>M0283</t>
  </si>
  <si>
    <t>M0284</t>
  </si>
  <si>
    <t>M0285</t>
  </si>
  <si>
    <t>M0286</t>
  </si>
  <si>
    <t>M0287</t>
  </si>
  <si>
    <t>M0288</t>
  </si>
  <si>
    <t>M0289</t>
  </si>
  <si>
    <t>M0290</t>
  </si>
  <si>
    <t>M0291</t>
  </si>
  <si>
    <t>M0292</t>
  </si>
  <si>
    <t>M0293</t>
  </si>
  <si>
    <t>M0294</t>
  </si>
  <si>
    <t>M0295</t>
  </si>
  <si>
    <t>M0296</t>
  </si>
  <si>
    <t>M0297</t>
  </si>
  <si>
    <t>M0298</t>
  </si>
  <si>
    <t>M0299</t>
  </si>
  <si>
    <t>M0300</t>
  </si>
  <si>
    <t>M0301</t>
  </si>
  <si>
    <t>M0302</t>
  </si>
  <si>
    <t>M0303</t>
  </si>
  <si>
    <t>M0304</t>
  </si>
  <si>
    <t>M0305</t>
  </si>
  <si>
    <t>M0306</t>
  </si>
  <si>
    <t>M0307</t>
  </si>
  <si>
    <t>M0308</t>
  </si>
  <si>
    <t>M0309</t>
  </si>
  <si>
    <t>M0310</t>
  </si>
  <si>
    <t>M0311</t>
  </si>
  <si>
    <t>M0312</t>
  </si>
  <si>
    <t>M0313</t>
  </si>
  <si>
    <t>M0314</t>
  </si>
  <si>
    <t>M0315</t>
  </si>
  <si>
    <t>M0316</t>
  </si>
  <si>
    <t>M0317</t>
  </si>
  <si>
    <t>M0318</t>
  </si>
  <si>
    <t>M0319</t>
  </si>
  <si>
    <t>M0320</t>
  </si>
  <si>
    <t>M0321</t>
  </si>
  <si>
    <t>M0322</t>
  </si>
  <si>
    <t>M0323</t>
  </si>
  <si>
    <t>M0324</t>
  </si>
  <si>
    <t>M0325</t>
  </si>
  <si>
    <t>M0326</t>
  </si>
  <si>
    <t>M0327</t>
  </si>
  <si>
    <t>M0328</t>
  </si>
  <si>
    <t>M0329</t>
  </si>
  <si>
    <t>M0330</t>
  </si>
  <si>
    <t>M0331</t>
  </si>
  <si>
    <t>M0332</t>
  </si>
  <si>
    <t>M0333</t>
  </si>
  <si>
    <t>M0334</t>
  </si>
  <si>
    <t>M0335</t>
  </si>
  <si>
    <t>M0336</t>
  </si>
  <si>
    <t>M0337</t>
  </si>
  <si>
    <t>M0338</t>
  </si>
  <si>
    <t>M0339</t>
  </si>
  <si>
    <t>M0340</t>
  </si>
  <si>
    <t>M0341</t>
  </si>
  <si>
    <t>M0342</t>
  </si>
  <si>
    <t>M0343</t>
  </si>
  <si>
    <t>M0344</t>
  </si>
  <si>
    <t>M0345</t>
  </si>
  <si>
    <t>M0346</t>
  </si>
  <si>
    <t>M0347</t>
  </si>
  <si>
    <t>M0348</t>
  </si>
  <si>
    <t>M0349</t>
  </si>
  <si>
    <t>M0350</t>
  </si>
  <si>
    <t>M0351</t>
  </si>
  <si>
    <t>M0352</t>
  </si>
  <si>
    <t>M0353</t>
  </si>
  <si>
    <t>M0354</t>
  </si>
  <si>
    <t>M0355</t>
  </si>
  <si>
    <t>M0356</t>
  </si>
  <si>
    <t>M0357</t>
  </si>
  <si>
    <t>M0358</t>
  </si>
  <si>
    <t>M0359</t>
  </si>
  <si>
    <t>M0360</t>
  </si>
  <si>
    <t>M0361</t>
  </si>
  <si>
    <t>M0362</t>
  </si>
  <si>
    <t>M0363</t>
  </si>
  <si>
    <t>M0364</t>
  </si>
  <si>
    <t>M0365</t>
  </si>
  <si>
    <t>M0366</t>
  </si>
  <si>
    <t>M0367</t>
  </si>
  <si>
    <t>M0368</t>
  </si>
  <si>
    <t>M0369</t>
  </si>
  <si>
    <t>M0370</t>
  </si>
  <si>
    <t>M0371</t>
  </si>
  <si>
    <t>M0372</t>
  </si>
  <si>
    <t>M0373</t>
  </si>
  <si>
    <t>M0374</t>
  </si>
  <si>
    <t>M0375</t>
  </si>
  <si>
    <t>M0376</t>
  </si>
  <si>
    <t>M0377</t>
  </si>
  <si>
    <t>M0378</t>
  </si>
  <si>
    <t>M0379</t>
  </si>
  <si>
    <t>M0380</t>
  </si>
  <si>
    <t>M0381</t>
  </si>
  <si>
    <t>M0382</t>
  </si>
  <si>
    <t>M0383</t>
  </si>
  <si>
    <t>M0384</t>
  </si>
  <si>
    <t>M0385</t>
  </si>
  <si>
    <t>M0386</t>
  </si>
  <si>
    <t>M0387</t>
  </si>
  <si>
    <t>M0388</t>
  </si>
  <si>
    <t>M0389</t>
  </si>
  <si>
    <t>M0390</t>
  </si>
  <si>
    <t>M0391</t>
  </si>
  <si>
    <t>M0392</t>
  </si>
  <si>
    <t>M0393</t>
  </si>
  <si>
    <t>M0394</t>
  </si>
  <si>
    <t>M0395</t>
  </si>
  <si>
    <t>M0396</t>
  </si>
  <si>
    <t>M0397</t>
  </si>
  <si>
    <t>M0398</t>
  </si>
  <si>
    <t>M0399</t>
  </si>
  <si>
    <t>M0400</t>
  </si>
  <si>
    <t>M0401</t>
  </si>
  <si>
    <t>M0402</t>
  </si>
  <si>
    <t>M0403</t>
  </si>
  <si>
    <t>M0404</t>
  </si>
  <si>
    <t>M0405</t>
  </si>
  <si>
    <t>M0406</t>
  </si>
  <si>
    <t>M0407</t>
  </si>
  <si>
    <t>M0408</t>
  </si>
  <si>
    <t>M0409</t>
  </si>
  <si>
    <t>M0410</t>
  </si>
  <si>
    <t>M0411</t>
  </si>
  <si>
    <t>M0412</t>
  </si>
  <si>
    <t>M0413</t>
  </si>
  <si>
    <t>M0414</t>
  </si>
  <si>
    <t>M0415</t>
  </si>
  <si>
    <t>M0416</t>
  </si>
  <si>
    <t>M0417</t>
  </si>
  <si>
    <t>M0418</t>
  </si>
  <si>
    <t>M0419</t>
  </si>
  <si>
    <t>M0420</t>
  </si>
  <si>
    <t>M0421</t>
  </si>
  <si>
    <t>M0422</t>
  </si>
  <si>
    <t>M0423</t>
  </si>
  <si>
    <t>M0424</t>
  </si>
  <si>
    <t>M0425</t>
  </si>
  <si>
    <t>M0426</t>
  </si>
  <si>
    <t>M0427</t>
  </si>
  <si>
    <t>M0428</t>
  </si>
  <si>
    <t>M0429</t>
  </si>
  <si>
    <t>M0430</t>
  </si>
  <si>
    <t>M0431</t>
  </si>
  <si>
    <t>M0432</t>
  </si>
  <si>
    <t>M0433</t>
  </si>
  <si>
    <t>M0434</t>
  </si>
  <si>
    <t>M0435</t>
  </si>
  <si>
    <t>M0436</t>
  </si>
  <si>
    <t>M0437</t>
  </si>
  <si>
    <t>M0438</t>
  </si>
  <si>
    <t>M0439</t>
  </si>
  <si>
    <t>M0440</t>
  </si>
  <si>
    <t>M0441</t>
  </si>
  <si>
    <t>M0442</t>
  </si>
  <si>
    <t>M0443</t>
  </si>
  <si>
    <t>M0444</t>
  </si>
  <si>
    <t>M0445</t>
  </si>
  <si>
    <t>M0446</t>
  </si>
  <si>
    <t>M0447</t>
  </si>
  <si>
    <t>M0448</t>
  </si>
  <si>
    <t>M0449</t>
  </si>
  <si>
    <t>M0450</t>
  </si>
  <si>
    <t>M0451</t>
  </si>
  <si>
    <t>M0452</t>
  </si>
  <si>
    <t>M0453</t>
  </si>
  <si>
    <t>M0454</t>
  </si>
  <si>
    <t>M0455</t>
  </si>
  <si>
    <t>M0456</t>
  </si>
  <si>
    <t>M0457</t>
  </si>
  <si>
    <t>M0458</t>
  </si>
  <si>
    <t>M0459</t>
  </si>
  <si>
    <t>M0460</t>
  </si>
  <si>
    <t>M0461</t>
  </si>
  <si>
    <t>M0462</t>
  </si>
  <si>
    <t>M0463</t>
  </si>
  <si>
    <t>M0464</t>
  </si>
  <si>
    <t>M0465</t>
  </si>
  <si>
    <t>M0466</t>
  </si>
  <si>
    <t>M0467</t>
  </si>
  <si>
    <t>M0468</t>
  </si>
  <si>
    <t>M0469</t>
  </si>
  <si>
    <t>M0470</t>
  </si>
  <si>
    <t>M0471</t>
  </si>
  <si>
    <t>M0472</t>
  </si>
  <si>
    <t>M0473</t>
  </si>
  <si>
    <t>M0474</t>
  </si>
  <si>
    <t>M0475</t>
  </si>
  <si>
    <t>M0476</t>
  </si>
  <si>
    <t>M0477</t>
  </si>
  <si>
    <t>M0478</t>
  </si>
  <si>
    <t>M0479</t>
  </si>
  <si>
    <t>M0480</t>
  </si>
  <si>
    <t>M0481</t>
  </si>
  <si>
    <t>M0482</t>
  </si>
  <si>
    <t>M0483</t>
  </si>
  <si>
    <t>M0484</t>
  </si>
  <si>
    <t>M0485</t>
  </si>
  <si>
    <t>M0486</t>
  </si>
  <si>
    <t>M0487</t>
  </si>
  <si>
    <t>M0488</t>
  </si>
  <si>
    <t>M0489</t>
  </si>
  <si>
    <t>M0490</t>
  </si>
  <si>
    <t>M0491</t>
  </si>
  <si>
    <t>M0492</t>
  </si>
  <si>
    <t>M0493</t>
  </si>
  <si>
    <t>M0494</t>
  </si>
  <si>
    <t>M0495</t>
  </si>
  <si>
    <t>M0496</t>
  </si>
  <si>
    <t>M0497</t>
  </si>
  <si>
    <t>M0498</t>
  </si>
  <si>
    <t>M0499</t>
  </si>
  <si>
    <t>M0500</t>
  </si>
  <si>
    <t>M0501</t>
  </si>
  <si>
    <t>M0502</t>
  </si>
  <si>
    <t>M0503</t>
  </si>
  <si>
    <t>M0504</t>
  </si>
  <si>
    <t>M0505</t>
  </si>
  <si>
    <t>M0506</t>
  </si>
  <si>
    <t>M0507</t>
  </si>
  <si>
    <t>M0508</t>
  </si>
  <si>
    <t>M0509</t>
  </si>
  <si>
    <t>M0510</t>
  </si>
  <si>
    <t>M0511</t>
  </si>
  <si>
    <t>M0512</t>
  </si>
  <si>
    <t>M0513</t>
  </si>
  <si>
    <t>M0514</t>
  </si>
  <si>
    <t>M0515</t>
  </si>
  <si>
    <t>M0516</t>
  </si>
  <si>
    <t>M0517</t>
  </si>
  <si>
    <t>M0518</t>
  </si>
  <si>
    <t>M0519</t>
  </si>
  <si>
    <t>M0520</t>
  </si>
  <si>
    <t>M0521</t>
  </si>
  <si>
    <t>M0522</t>
  </si>
  <si>
    <t>M0523</t>
  </si>
  <si>
    <t>M0524</t>
  </si>
  <si>
    <t>M0525</t>
  </si>
  <si>
    <t>M0526</t>
  </si>
  <si>
    <t>M0527</t>
  </si>
  <si>
    <t>M0528</t>
  </si>
  <si>
    <t>M0529</t>
  </si>
  <si>
    <t>M0530</t>
  </si>
  <si>
    <t>M0531</t>
  </si>
  <si>
    <t>M0532</t>
  </si>
  <si>
    <t>M0533</t>
  </si>
  <si>
    <t>M0534</t>
  </si>
  <si>
    <t>M0535</t>
  </si>
  <si>
    <t>M0536</t>
  </si>
  <si>
    <t>M0537</t>
  </si>
  <si>
    <t>M0538</t>
  </si>
  <si>
    <t>M0539</t>
  </si>
  <si>
    <t>M0540</t>
  </si>
  <si>
    <t>M0541</t>
  </si>
  <si>
    <t>M0542</t>
  </si>
  <si>
    <t>H0001</t>
  </si>
  <si>
    <t>H0002</t>
  </si>
  <si>
    <t>H0003</t>
  </si>
  <si>
    <t>H0004</t>
  </si>
  <si>
    <t>H0005</t>
  </si>
  <si>
    <t>H0006</t>
  </si>
  <si>
    <t>H0007</t>
  </si>
  <si>
    <t>H0008</t>
  </si>
  <si>
    <t>H0009</t>
  </si>
  <si>
    <t>H0010</t>
  </si>
  <si>
    <t>H0011</t>
  </si>
  <si>
    <t>H0012</t>
  </si>
  <si>
    <t>H0013</t>
  </si>
  <si>
    <t>H0014</t>
  </si>
  <si>
    <t>H0015</t>
  </si>
  <si>
    <t>H0016</t>
  </si>
  <si>
    <t>H0017</t>
  </si>
  <si>
    <t>H0018</t>
  </si>
  <si>
    <t>H0019</t>
  </si>
  <si>
    <t>H0020</t>
  </si>
  <si>
    <t>H0021</t>
  </si>
  <si>
    <t>H0022</t>
  </si>
  <si>
    <t>H0023</t>
  </si>
  <si>
    <t>H0024</t>
  </si>
  <si>
    <t>H0025</t>
  </si>
  <si>
    <t>H0026</t>
  </si>
  <si>
    <t>H0027</t>
  </si>
  <si>
    <t>H0028</t>
  </si>
  <si>
    <t>H0029</t>
  </si>
  <si>
    <t>H0030</t>
  </si>
  <si>
    <t>H0031</t>
  </si>
  <si>
    <t>H0032</t>
  </si>
  <si>
    <t>H0033</t>
  </si>
  <si>
    <t>H0034</t>
  </si>
  <si>
    <t>H0035</t>
  </si>
  <si>
    <t>H0036</t>
  </si>
  <si>
    <t>H0037</t>
  </si>
  <si>
    <t>H0038</t>
  </si>
  <si>
    <t>H0039</t>
  </si>
  <si>
    <t>H0040</t>
  </si>
  <si>
    <t>H0041</t>
  </si>
  <si>
    <t>H0042</t>
  </si>
  <si>
    <t>H0043</t>
  </si>
  <si>
    <t>H0044</t>
  </si>
  <si>
    <t>H0045</t>
  </si>
  <si>
    <t>H0046</t>
  </si>
  <si>
    <t>H0047</t>
  </si>
  <si>
    <t>H0048</t>
  </si>
  <si>
    <t>H0049</t>
  </si>
  <si>
    <t>H0050</t>
  </si>
  <si>
    <t>H0051</t>
  </si>
  <si>
    <t>H0052</t>
  </si>
  <si>
    <t>H0053</t>
  </si>
  <si>
    <t>H0054</t>
  </si>
  <si>
    <t>H0055</t>
  </si>
  <si>
    <t>H0056</t>
  </si>
  <si>
    <t>H0057</t>
  </si>
  <si>
    <t>H0058</t>
  </si>
  <si>
    <t>H0059</t>
  </si>
  <si>
    <t>H0060</t>
  </si>
  <si>
    <t>H0061</t>
  </si>
  <si>
    <t>H0062</t>
  </si>
  <si>
    <t>H0063</t>
  </si>
  <si>
    <t>H0064</t>
  </si>
  <si>
    <t>H0065</t>
  </si>
  <si>
    <t>H0066</t>
  </si>
  <si>
    <t>H0067</t>
  </si>
  <si>
    <t>H0068</t>
  </si>
  <si>
    <t>H0069</t>
  </si>
  <si>
    <t>H0070</t>
  </si>
  <si>
    <t>H0071</t>
  </si>
  <si>
    <t>H0072</t>
  </si>
  <si>
    <t>H0073</t>
  </si>
  <si>
    <t>H0074</t>
  </si>
  <si>
    <t>H0075</t>
  </si>
  <si>
    <t>H0076</t>
  </si>
  <si>
    <t>H0077</t>
  </si>
  <si>
    <t>H0078</t>
  </si>
  <si>
    <t>H0079</t>
  </si>
  <si>
    <t>H0080</t>
  </si>
  <si>
    <t>H0081</t>
  </si>
  <si>
    <t>H0082</t>
  </si>
  <si>
    <t>H0083</t>
  </si>
  <si>
    <t>H0084</t>
  </si>
  <si>
    <t>H0085</t>
  </si>
  <si>
    <t>H0086</t>
  </si>
  <si>
    <t>H0087</t>
  </si>
  <si>
    <t>H0088</t>
  </si>
  <si>
    <t>H0089</t>
  </si>
  <si>
    <t>H0090</t>
  </si>
  <si>
    <t>H0091</t>
  </si>
  <si>
    <t>H0092</t>
  </si>
  <si>
    <t>H0093</t>
  </si>
  <si>
    <t>H0094</t>
  </si>
  <si>
    <t>H0095</t>
  </si>
  <si>
    <t>H0096</t>
  </si>
  <si>
    <t>H0097</t>
  </si>
  <si>
    <t>H0098</t>
  </si>
  <si>
    <t>H0099</t>
  </si>
  <si>
    <t>H0100</t>
  </si>
  <si>
    <t>H0101</t>
  </si>
  <si>
    <t>H0102</t>
  </si>
  <si>
    <t>H0103</t>
  </si>
  <si>
    <t>H0104</t>
  </si>
  <si>
    <t>H0105</t>
  </si>
  <si>
    <t>H0106</t>
  </si>
  <si>
    <t>H0107</t>
  </si>
  <si>
    <t>H0108</t>
  </si>
  <si>
    <t>H0109</t>
  </si>
  <si>
    <t>H0110</t>
  </si>
  <si>
    <t>H0111</t>
  </si>
  <si>
    <t>H0112</t>
  </si>
  <si>
    <t>H0113</t>
  </si>
  <si>
    <t>H0114</t>
  </si>
  <si>
    <t>H0115</t>
  </si>
  <si>
    <t>H0116</t>
  </si>
  <si>
    <t>H0117</t>
  </si>
  <si>
    <t>H0118</t>
  </si>
  <si>
    <t>H0119</t>
  </si>
  <si>
    <t>H0120</t>
  </si>
  <si>
    <t>H0121</t>
  </si>
  <si>
    <t>H0122</t>
  </si>
  <si>
    <t>H0123</t>
  </si>
  <si>
    <t>H0124</t>
  </si>
  <si>
    <t>H0125</t>
  </si>
  <si>
    <t>H0126</t>
  </si>
  <si>
    <t>H0127</t>
  </si>
  <si>
    <t>H0128</t>
  </si>
  <si>
    <t>H0129</t>
  </si>
  <si>
    <t>H0130</t>
  </si>
  <si>
    <t>H0131</t>
  </si>
  <si>
    <t>H0132</t>
  </si>
  <si>
    <t>H0133</t>
  </si>
  <si>
    <t>H0134</t>
  </si>
  <si>
    <t>H0135</t>
  </si>
  <si>
    <t>H0136</t>
  </si>
  <si>
    <t>H0137</t>
  </si>
  <si>
    <t>H0138</t>
  </si>
  <si>
    <t>H0139</t>
  </si>
  <si>
    <t>H0140</t>
  </si>
  <si>
    <t>H0141</t>
  </si>
  <si>
    <t>H0142</t>
  </si>
  <si>
    <t>H0143</t>
  </si>
  <si>
    <t>H0144</t>
  </si>
  <si>
    <t>H0145</t>
  </si>
  <si>
    <t>H0146</t>
  </si>
  <si>
    <t>H0147</t>
  </si>
  <si>
    <t>H0148</t>
  </si>
  <si>
    <t>H0149</t>
  </si>
  <si>
    <t>H0150</t>
  </si>
  <si>
    <t>H0151</t>
  </si>
  <si>
    <t>H0152</t>
  </si>
  <si>
    <t>H0153</t>
  </si>
  <si>
    <t>H0154</t>
  </si>
  <si>
    <t>H0155</t>
  </si>
  <si>
    <t>H0156</t>
  </si>
  <si>
    <t>H0157</t>
  </si>
  <si>
    <t>H0158</t>
  </si>
  <si>
    <t>H0159</t>
  </si>
  <si>
    <t>H0160</t>
  </si>
  <si>
    <t>H0161</t>
  </si>
  <si>
    <t>H0162</t>
  </si>
  <si>
    <t>H0163</t>
  </si>
  <si>
    <t>H0164</t>
  </si>
  <si>
    <t>H0165</t>
  </si>
  <si>
    <t>H0166</t>
  </si>
  <si>
    <t>H0167</t>
  </si>
  <si>
    <t>H0168</t>
  </si>
  <si>
    <t>H0169</t>
  </si>
  <si>
    <t>H0170</t>
  </si>
  <si>
    <t>H0171</t>
  </si>
  <si>
    <t>H0172</t>
  </si>
  <si>
    <t>H0173</t>
  </si>
  <si>
    <t>H0174</t>
  </si>
  <si>
    <t>H0175</t>
  </si>
  <si>
    <t>H0176</t>
  </si>
  <si>
    <t>H0177</t>
  </si>
  <si>
    <t>H0178</t>
  </si>
  <si>
    <t>H0179</t>
  </si>
  <si>
    <t>H0180</t>
  </si>
  <si>
    <t>H0181</t>
  </si>
  <si>
    <t>H0182</t>
  </si>
  <si>
    <t>H0183</t>
  </si>
  <si>
    <t>H0184</t>
  </si>
  <si>
    <t>H0185</t>
  </si>
  <si>
    <t>H0186</t>
  </si>
  <si>
    <t>H0187</t>
  </si>
  <si>
    <t>H0188</t>
  </si>
  <si>
    <t>H0189</t>
  </si>
  <si>
    <t>H0190</t>
  </si>
  <si>
    <t>H0191</t>
  </si>
  <si>
    <t>H0192</t>
  </si>
  <si>
    <t>H0193</t>
  </si>
  <si>
    <t>H0194</t>
  </si>
  <si>
    <t>H0195</t>
  </si>
  <si>
    <t>H0196</t>
  </si>
  <si>
    <t>H0197</t>
  </si>
  <si>
    <t>H0198</t>
  </si>
  <si>
    <t>H0199</t>
  </si>
  <si>
    <t>H0200</t>
  </si>
  <si>
    <t>H0201</t>
  </si>
  <si>
    <t>H0202</t>
  </si>
  <si>
    <t>H0203</t>
  </si>
  <si>
    <t>H0204</t>
  </si>
  <si>
    <t>H0205</t>
  </si>
  <si>
    <t>H0206</t>
  </si>
  <si>
    <t>H0207</t>
  </si>
  <si>
    <t>H0208</t>
  </si>
  <si>
    <t>H0209</t>
  </si>
  <si>
    <t>H0210</t>
  </si>
  <si>
    <t>H0211</t>
  </si>
  <si>
    <t>H0212</t>
  </si>
  <si>
    <t>H0213</t>
  </si>
  <si>
    <t>H0214</t>
  </si>
  <si>
    <t>H0215</t>
  </si>
  <si>
    <t>H0216</t>
  </si>
  <si>
    <t>H0217</t>
  </si>
  <si>
    <t>H0218</t>
  </si>
  <si>
    <t>H0219</t>
  </si>
  <si>
    <t>H0220</t>
  </si>
  <si>
    <t>H0221</t>
  </si>
  <si>
    <t>H0222</t>
  </si>
  <si>
    <t>H0223</t>
  </si>
  <si>
    <t>H0224</t>
  </si>
  <si>
    <t>H0225</t>
  </si>
  <si>
    <t>H0226</t>
  </si>
  <si>
    <t>H0227</t>
  </si>
  <si>
    <t>H0228</t>
  </si>
  <si>
    <t>H0229</t>
  </si>
  <si>
    <t>H0230</t>
  </si>
  <si>
    <t>H0231</t>
  </si>
  <si>
    <t>H0232</t>
  </si>
  <si>
    <t>H0233</t>
  </si>
  <si>
    <t>H0234</t>
  </si>
  <si>
    <t>H0235</t>
  </si>
  <si>
    <t>H0236</t>
  </si>
  <si>
    <t>H0237</t>
  </si>
  <si>
    <t>H0238</t>
  </si>
  <si>
    <t>H0239</t>
  </si>
  <si>
    <t>H0240</t>
  </si>
  <si>
    <t>H0241</t>
  </si>
  <si>
    <t>H0242</t>
  </si>
  <si>
    <t>H0243</t>
  </si>
  <si>
    <t>H0244</t>
  </si>
  <si>
    <t>H0245</t>
  </si>
  <si>
    <t>H0246</t>
  </si>
  <si>
    <t>H0247</t>
  </si>
  <si>
    <t>H0248</t>
  </si>
  <si>
    <t>H0249</t>
  </si>
  <si>
    <t>H0250</t>
  </si>
  <si>
    <t>H0251</t>
  </si>
  <si>
    <t>H0252</t>
  </si>
  <si>
    <t>H0253</t>
  </si>
  <si>
    <t>H0254</t>
  </si>
  <si>
    <t>H0255</t>
  </si>
  <si>
    <t>H0256</t>
  </si>
  <si>
    <t>H0257</t>
  </si>
  <si>
    <t>H0258</t>
  </si>
  <si>
    <t>H0259</t>
  </si>
  <si>
    <t>H0260</t>
  </si>
  <si>
    <t>H0261</t>
  </si>
  <si>
    <t>H0262</t>
  </si>
  <si>
    <t>H0263</t>
  </si>
  <si>
    <t>H0264</t>
  </si>
  <si>
    <t>H0265</t>
  </si>
  <si>
    <t>H0266</t>
  </si>
  <si>
    <t>H0267</t>
  </si>
  <si>
    <t>H0268</t>
  </si>
  <si>
    <t>H0269</t>
  </si>
  <si>
    <t>H0270</t>
  </si>
  <si>
    <t>H0271</t>
  </si>
  <si>
    <t>H0272</t>
  </si>
  <si>
    <t>H0273</t>
  </si>
  <si>
    <t>H0274</t>
  </si>
  <si>
    <t>H0275</t>
  </si>
  <si>
    <t>H0276</t>
  </si>
  <si>
    <t>H0277</t>
  </si>
  <si>
    <t>H0278</t>
  </si>
  <si>
    <t>H0279</t>
  </si>
  <si>
    <t>H0280</t>
  </si>
  <si>
    <t>H0281</t>
  </si>
  <si>
    <t>H0282</t>
  </si>
  <si>
    <t>H0283</t>
  </si>
  <si>
    <t>H0284</t>
  </si>
  <si>
    <t>H0285</t>
  </si>
  <si>
    <t>H0286</t>
  </si>
  <si>
    <t>H0287</t>
  </si>
  <si>
    <t>H0288</t>
  </si>
  <si>
    <t>H0289</t>
  </si>
  <si>
    <t>H0290</t>
  </si>
  <si>
    <t>H0291</t>
  </si>
  <si>
    <t>H0292</t>
  </si>
  <si>
    <t>H0293</t>
  </si>
  <si>
    <t>H0294</t>
  </si>
  <si>
    <t>H0295</t>
  </si>
  <si>
    <t>H0296</t>
  </si>
  <si>
    <t>H0297</t>
  </si>
  <si>
    <t>H0298</t>
  </si>
  <si>
    <t>H0299</t>
  </si>
  <si>
    <t>H0300</t>
  </si>
  <si>
    <t>H0301</t>
  </si>
  <si>
    <t>H0302</t>
  </si>
  <si>
    <t>H0303</t>
  </si>
  <si>
    <t>H0304</t>
  </si>
  <si>
    <t>H0305</t>
  </si>
  <si>
    <t>H0306</t>
  </si>
  <si>
    <t>H0307</t>
  </si>
  <si>
    <t>H0308</t>
  </si>
  <si>
    <t>H0309</t>
  </si>
  <si>
    <t>H0310</t>
  </si>
  <si>
    <t>H0311</t>
  </si>
  <si>
    <t>H0312</t>
  </si>
  <si>
    <t>H0313</t>
  </si>
  <si>
    <t>H0314</t>
  </si>
  <si>
    <t>H0315</t>
  </si>
  <si>
    <t>H0316</t>
  </si>
  <si>
    <t>H0317</t>
  </si>
  <si>
    <t>H0318</t>
  </si>
  <si>
    <t>H0319</t>
  </si>
  <si>
    <t>H0320</t>
  </si>
  <si>
    <t>H0321</t>
  </si>
  <si>
    <t>H0322</t>
  </si>
  <si>
    <t>H0323</t>
  </si>
  <si>
    <t>H0324</t>
  </si>
  <si>
    <t>H0325</t>
  </si>
  <si>
    <t>H0326</t>
  </si>
  <si>
    <t>H0327</t>
  </si>
  <si>
    <t>H0328</t>
  </si>
  <si>
    <t>H0329</t>
  </si>
  <si>
    <t>H0330</t>
  </si>
  <si>
    <t>H0331</t>
  </si>
  <si>
    <t>H0332</t>
  </si>
  <si>
    <t>H0333</t>
  </si>
  <si>
    <t>H0334</t>
  </si>
  <si>
    <t>H0335</t>
  </si>
  <si>
    <t>H0336</t>
  </si>
  <si>
    <t>H0337</t>
  </si>
  <si>
    <t>H0338</t>
  </si>
  <si>
    <t>H0339</t>
  </si>
  <si>
    <t>H0340</t>
  </si>
  <si>
    <t>H0341</t>
  </si>
  <si>
    <t>H0342</t>
  </si>
  <si>
    <t>H0343</t>
  </si>
  <si>
    <t>H0344</t>
  </si>
  <si>
    <t>H0345</t>
  </si>
  <si>
    <t>H0346</t>
  </si>
  <si>
    <t>H0347</t>
  </si>
  <si>
    <t>H0348</t>
  </si>
  <si>
    <t>H0349</t>
  </si>
  <si>
    <t>H0350</t>
  </si>
  <si>
    <t>H0351</t>
  </si>
  <si>
    <t>H0352</t>
  </si>
  <si>
    <t>H0353</t>
  </si>
  <si>
    <t>H0354</t>
  </si>
  <si>
    <t>H0355</t>
  </si>
  <si>
    <t>H0356</t>
  </si>
  <si>
    <t>H0357</t>
  </si>
  <si>
    <t>H0358</t>
  </si>
  <si>
    <t>H0359</t>
  </si>
  <si>
    <t>H0360</t>
  </si>
  <si>
    <t>H0361</t>
  </si>
  <si>
    <t>H0362</t>
  </si>
  <si>
    <t>H0363</t>
  </si>
  <si>
    <t>H0364</t>
  </si>
  <si>
    <t>H0365</t>
  </si>
  <si>
    <t>H0366</t>
  </si>
  <si>
    <t>H0367</t>
  </si>
  <si>
    <t>H0368</t>
  </si>
  <si>
    <t>H0369</t>
  </si>
  <si>
    <t>H0370</t>
  </si>
  <si>
    <t>H0371</t>
  </si>
  <si>
    <t>H0372</t>
  </si>
  <si>
    <t>H0373</t>
  </si>
  <si>
    <t>H0374</t>
  </si>
  <si>
    <t>H0375</t>
  </si>
  <si>
    <t>H0376</t>
  </si>
  <si>
    <t>H0377</t>
  </si>
  <si>
    <t>H0378</t>
  </si>
  <si>
    <t>H0379</t>
  </si>
  <si>
    <t>H0380</t>
  </si>
  <si>
    <t>H0381</t>
  </si>
  <si>
    <t>H0382</t>
  </si>
  <si>
    <t>H0383</t>
  </si>
  <si>
    <t>H0384</t>
  </si>
  <si>
    <t>H0385</t>
  </si>
  <si>
    <t>H0386</t>
  </si>
  <si>
    <t>H0387</t>
  </si>
  <si>
    <t>H0388</t>
  </si>
  <si>
    <t>H0389</t>
  </si>
  <si>
    <t>H0390</t>
  </si>
  <si>
    <t>H0391</t>
  </si>
  <si>
    <t>H0392</t>
  </si>
  <si>
    <t>H0393</t>
  </si>
  <si>
    <t>H0394</t>
  </si>
  <si>
    <t>H0395</t>
  </si>
  <si>
    <t>H0396</t>
  </si>
  <si>
    <t>H0397</t>
  </si>
  <si>
    <t>H0398</t>
  </si>
  <si>
    <t>H0399</t>
  </si>
  <si>
    <t>H0400</t>
  </si>
  <si>
    <t>H0401</t>
  </si>
  <si>
    <t>H0402</t>
  </si>
  <si>
    <t>H0403</t>
  </si>
  <si>
    <t>H0404</t>
  </si>
  <si>
    <t>H0405</t>
  </si>
  <si>
    <t>H0406</t>
  </si>
  <si>
    <t>H0407</t>
  </si>
  <si>
    <t>H0408</t>
  </si>
  <si>
    <t>H0409</t>
  </si>
  <si>
    <t>H0410</t>
  </si>
  <si>
    <t>H0411</t>
  </si>
  <si>
    <t>H0412</t>
  </si>
  <si>
    <t>H0413</t>
  </si>
  <si>
    <t>H0414</t>
  </si>
  <si>
    <t>H0415</t>
  </si>
  <si>
    <t>H0416</t>
  </si>
  <si>
    <t>H0417</t>
  </si>
  <si>
    <t>H0418</t>
  </si>
  <si>
    <t>H0419</t>
  </si>
  <si>
    <t>H0420</t>
  </si>
  <si>
    <t>H0421</t>
  </si>
  <si>
    <t>H0422</t>
  </si>
  <si>
    <t>H0423</t>
  </si>
  <si>
    <t>H0424</t>
  </si>
  <si>
    <t>H0425</t>
  </si>
  <si>
    <t>H0426</t>
  </si>
  <si>
    <t>H0427</t>
  </si>
  <si>
    <t>H0428</t>
  </si>
  <si>
    <t>H0429</t>
  </si>
  <si>
    <t>H0430</t>
  </si>
  <si>
    <t>H0431</t>
  </si>
  <si>
    <t>H0432</t>
  </si>
  <si>
    <t>H0433</t>
  </si>
  <si>
    <t>H0434</t>
  </si>
  <si>
    <t>H0435</t>
  </si>
  <si>
    <t>H0436</t>
  </si>
  <si>
    <t>H0437</t>
  </si>
  <si>
    <t>H0438</t>
  </si>
  <si>
    <t>H0439</t>
  </si>
  <si>
    <t>H0440</t>
  </si>
  <si>
    <t>H0441</t>
  </si>
  <si>
    <t>H0442</t>
  </si>
  <si>
    <t>H0443</t>
  </si>
  <si>
    <t>H0444</t>
  </si>
  <si>
    <t>H0445</t>
  </si>
  <si>
    <t>H0446</t>
  </si>
  <si>
    <t>H0447</t>
  </si>
  <si>
    <t>H0448</t>
  </si>
  <si>
    <t>H0449</t>
  </si>
  <si>
    <t>H0450</t>
  </si>
  <si>
    <t>H0451</t>
  </si>
  <si>
    <t>H0452</t>
  </si>
  <si>
    <t>H0453</t>
  </si>
  <si>
    <t>H0454</t>
  </si>
  <si>
    <t>H0455</t>
  </si>
  <si>
    <t>H0456</t>
  </si>
  <si>
    <t>H0457</t>
  </si>
  <si>
    <t>H0458</t>
  </si>
  <si>
    <t>H0459</t>
  </si>
  <si>
    <t>H0460</t>
  </si>
  <si>
    <t>H0461</t>
  </si>
  <si>
    <t>H0462</t>
  </si>
  <si>
    <t>H0463</t>
  </si>
  <si>
    <t>H0464</t>
  </si>
  <si>
    <t>H0465</t>
  </si>
  <si>
    <t>H0466</t>
  </si>
  <si>
    <t>H0467</t>
  </si>
  <si>
    <t>H0468</t>
  </si>
  <si>
    <t>H0469</t>
  </si>
  <si>
    <t>H0470</t>
  </si>
  <si>
    <t>H0471</t>
  </si>
  <si>
    <t>H0472</t>
  </si>
  <si>
    <t>H0473</t>
  </si>
  <si>
    <t>H0474</t>
  </si>
  <si>
    <t>H0475</t>
  </si>
  <si>
    <t>H0476</t>
  </si>
  <si>
    <t>H0477</t>
  </si>
  <si>
    <t>H0478</t>
  </si>
  <si>
    <t>H0479</t>
  </si>
  <si>
    <t>H0480</t>
  </si>
  <si>
    <t>H0481</t>
  </si>
  <si>
    <t>H0482</t>
  </si>
  <si>
    <t>H0483</t>
  </si>
  <si>
    <t>H0484</t>
  </si>
  <si>
    <t>H0485</t>
  </si>
  <si>
    <t>USUARIO</t>
  </si>
  <si>
    <t xml:space="preserve">Peréz    </t>
  </si>
  <si>
    <t>Ramírez</t>
  </si>
  <si>
    <t>Hernández</t>
  </si>
  <si>
    <t>Díaz</t>
  </si>
  <si>
    <t>Montoya  </t>
  </si>
  <si>
    <t>Cárdenas  </t>
  </si>
  <si>
    <t>Morales</t>
  </si>
  <si>
    <t>Restrepo</t>
  </si>
  <si>
    <t>Álvarez</t>
  </si>
  <si>
    <t>Ortiz</t>
  </si>
  <si>
    <t>Moreno</t>
  </si>
  <si>
    <t>Mesa</t>
  </si>
  <si>
    <t xml:space="preserve">Sánchez                   </t>
  </si>
  <si>
    <t>DOMINIO</t>
  </si>
  <si>
    <t>CORREO</t>
  </si>
  <si>
    <t>CELULAR</t>
  </si>
  <si>
    <t>auribus.com.co</t>
  </si>
  <si>
    <t>sempiternam.co</t>
  </si>
  <si>
    <t>diabunter.co</t>
  </si>
  <si>
    <t>nunquam.com.co</t>
  </si>
  <si>
    <t>colamus.co</t>
  </si>
  <si>
    <t>nascitur.com.co</t>
  </si>
  <si>
    <t>totum.com.co</t>
  </si>
  <si>
    <t>hostedoceri.co</t>
  </si>
  <si>
    <t>ebrietas.co</t>
  </si>
  <si>
    <t>libertas.com.co</t>
  </si>
  <si>
    <t>voipcolombia.co</t>
  </si>
  <si>
    <t>colombiamail.co</t>
  </si>
  <si>
    <t>socialmediacolombia.com.co</t>
  </si>
  <si>
    <t>elsinsonte.co</t>
  </si>
  <si>
    <t>hocknas.co</t>
  </si>
  <si>
    <t>tecnicoensistemas.com.co</t>
  </si>
  <si>
    <t>vpncolombia.com.co</t>
  </si>
  <si>
    <t>sk9.co</t>
  </si>
  <si>
    <t>enigmaserver.co</t>
  </si>
  <si>
    <t>nemesis.ml</t>
  </si>
  <si>
    <t>ID_DOMINIO</t>
  </si>
  <si>
    <t>ID_CELULAR</t>
  </si>
  <si>
    <t>H</t>
  </si>
  <si>
    <t>M</t>
  </si>
  <si>
    <t>TOTAL</t>
  </si>
  <si>
    <t>Verónica</t>
  </si>
  <si>
    <t>Piñeres</t>
  </si>
  <si>
    <t>MaríaCamila</t>
  </si>
  <si>
    <t>FOTO</t>
  </si>
  <si>
    <t>YES</t>
  </si>
  <si>
    <t>andrescamilo_leyva26348</t>
  </si>
  <si>
    <t>andres.monroy1972@auribus.com.co</t>
  </si>
  <si>
    <t>danielfelipe_perez27107</t>
  </si>
  <si>
    <t>daniel.rodriguez1974@colamus.co</t>
  </si>
  <si>
    <t>luisalejandro_rincon34975</t>
  </si>
  <si>
    <t>luis.merizalde1995@colombiamail.co</t>
  </si>
  <si>
    <t>juansebastian_nino23361</t>
  </si>
  <si>
    <t>juan.torres1963@diabunter.co</t>
  </si>
  <si>
    <t>smithsantiago_rojas28829</t>
  </si>
  <si>
    <t>smith.sanchez1978@ebrietas.co</t>
  </si>
  <si>
    <t>alixfernando_rodriguez26278</t>
  </si>
  <si>
    <t>alix.porras1971@elsinsonte.co</t>
  </si>
  <si>
    <t>juancarlos_velez25676</t>
  </si>
  <si>
    <t>juan.sanchez1970@enigmaserver.co</t>
  </si>
  <si>
    <t>oscarivan_mejia36500</t>
  </si>
  <si>
    <t>oscar.aldana1999@hocknas.co</t>
  </si>
  <si>
    <t>nicolasfelipe_diaz29364</t>
  </si>
  <si>
    <t>nicolas.vargas1980@hostedoceri.co</t>
  </si>
  <si>
    <t>alvarojose_huertas25260</t>
  </si>
  <si>
    <t>alvaro.romero1969@libertas.com.co</t>
  </si>
  <si>
    <t>alvaroantonio_cruz23846</t>
  </si>
  <si>
    <t>alvaro.zapata1965@nascitur.com.co</t>
  </si>
  <si>
    <t>camiloandres_quijano35411</t>
  </si>
  <si>
    <t>camilo.gonzalez1996@nemesis.ml</t>
  </si>
  <si>
    <t>juangabriel_sossa27787</t>
  </si>
  <si>
    <t>juan.garces1976@nunquam.com.co</t>
  </si>
  <si>
    <t>jaimeantonio_salamanca31248</t>
  </si>
  <si>
    <t>jaime.vargas1985@sempiternam.co</t>
  </si>
  <si>
    <t>santiagoenrique_puentes35399</t>
  </si>
  <si>
    <t>santiago.jaimes1996@sk9.co</t>
  </si>
  <si>
    <t>darioalberto_cortes29975</t>
  </si>
  <si>
    <t>dario.cardenas1982@socialmediacolombia.com.co</t>
  </si>
  <si>
    <t>juanpablo_riano26802</t>
  </si>
  <si>
    <t>juan.fonseca1973@tecnicoensistemas.com.co</t>
  </si>
  <si>
    <t>gustavoandres_silva32291</t>
  </si>
  <si>
    <t>gustavo.romero1988@totum.com.co</t>
  </si>
  <si>
    <t>carlosandres_salgado34165</t>
  </si>
  <si>
    <t>carlos.huertas1993@voipcolombia.co</t>
  </si>
  <si>
    <t>cesarjulio_quiroga26788</t>
  </si>
  <si>
    <t>cesar.villamil1973@vpncolombia.com.co</t>
  </si>
  <si>
    <t>juancamilo_lopez28797</t>
  </si>
  <si>
    <t>juan.calderon1978@auribus.com.co</t>
  </si>
  <si>
    <t>sergioalejandro_gomez29376</t>
  </si>
  <si>
    <t>sergio.forero1980@colamus.co</t>
  </si>
  <si>
    <t>mauricioandres_jimenez27098</t>
  </si>
  <si>
    <t>mauricio.chaparro1974@colombiamail.co</t>
  </si>
  <si>
    <t>henryguillermo_higuera29361</t>
  </si>
  <si>
    <t>henry.patino1980@diabunter.co</t>
  </si>
  <si>
    <t>angelesteban_malagon21589</t>
  </si>
  <si>
    <t>angel.montana1959@ebrietas.co</t>
  </si>
  <si>
    <t>johansebastian_fonseca36123</t>
  </si>
  <si>
    <t>johan.diaz1998@elsinsonte.co</t>
  </si>
  <si>
    <t>juanmanuel_sanchez23022</t>
  </si>
  <si>
    <t>juan.pablo1963@enigmaserver.co</t>
  </si>
  <si>
    <t>jaimeantonia_herrera28093</t>
  </si>
  <si>
    <t>jaime.torres1976@hocknas.co</t>
  </si>
  <si>
    <t>carlosjulio_quinto29609</t>
  </si>
  <si>
    <t>carlos.maximo1981@hostedoceri.co</t>
  </si>
  <si>
    <t>marcotulio_acosta27876</t>
  </si>
  <si>
    <t>marco.ciceron1976@libertas.com.co</t>
  </si>
  <si>
    <t>lucioenrique_paez28827</t>
  </si>
  <si>
    <t>lucio.robledo1978@nascitur.com.co</t>
  </si>
  <si>
    <t>juanpablo_castillo29484</t>
  </si>
  <si>
    <t>juan.rodriguez1980@nemesis.ml</t>
  </si>
  <si>
    <t>santiagojose_perez29376</t>
  </si>
  <si>
    <t>santiago.monroy1980@nunquam.com.co</t>
  </si>
  <si>
    <t>jairoalberto_zapata29361</t>
  </si>
  <si>
    <t>jairo.hoyos1980@sempiternam.co</t>
  </si>
  <si>
    <t>cesaralirio_crispoca23979</t>
  </si>
  <si>
    <t>cesar.rodriguez1965@sk9.co</t>
  </si>
  <si>
    <t>alvaroandres_coronel28797</t>
  </si>
  <si>
    <t>alvaro.martinez1978@socialmediacolombia.com.co</t>
  </si>
  <si>
    <t>alancamilo_alvarez31210</t>
  </si>
  <si>
    <t>alan.delgadillo1985@tecnicoensistemas.com.co</t>
  </si>
  <si>
    <t>davidsantiago_araque36404</t>
  </si>
  <si>
    <t>david.cordoba1999@totum.com.co</t>
  </si>
  <si>
    <t>crisrtianronaldo_bravo27923</t>
  </si>
  <si>
    <t>crisrtian.torres1976@voipcolombia.co</t>
  </si>
  <si>
    <t>jaimeandres_poveda27923</t>
  </si>
  <si>
    <t>jaime.novoa1976@vpncolombia.com.co</t>
  </si>
  <si>
    <t>danielfelipe_ramirez25312</t>
  </si>
  <si>
    <t>daniel.torres1969@auribus.com.co</t>
  </si>
  <si>
    <t>danieldavid_suarez22517</t>
  </si>
  <si>
    <t>daniel.gomez1961@colamus.co</t>
  </si>
  <si>
    <t>danielesteban_hernandez23791</t>
  </si>
  <si>
    <t>daniel.rojas1965@colombiamail.co</t>
  </si>
  <si>
    <t>cesarandres_serrato34552</t>
  </si>
  <si>
    <t>cesar.castro1994@diabunter.co</t>
  </si>
  <si>
    <t>andresfernando_cardenas26230</t>
  </si>
  <si>
    <t>andres.valero1971@ebrietas.co</t>
  </si>
  <si>
    <t>diegoandres_hernandez34280</t>
  </si>
  <si>
    <t>diego.matiz1993@elsinsonte.co</t>
  </si>
  <si>
    <t>juandavid_roldan29979</t>
  </si>
  <si>
    <t>juan.ossa1982@enigmaserver.co</t>
  </si>
  <si>
    <t>aaronsneider_barajas27371</t>
  </si>
  <si>
    <t>aaron.ramirez1974@hocknas.co</t>
  </si>
  <si>
    <t>josemaria_reinoso27510</t>
  </si>
  <si>
    <t>jose.valverde1975@hostedoceri.co</t>
  </si>
  <si>
    <t>luisfernando_garces27098</t>
  </si>
  <si>
    <t>luis.castro1974@libertas.com.co</t>
  </si>
  <si>
    <t>pedroarturo_calderon26052</t>
  </si>
  <si>
    <t>pedro.herrera1971@nascitur.com.co</t>
  </si>
  <si>
    <t>juandavid_galan30878</t>
  </si>
  <si>
    <t>juan.gomez1984@nemesis.ml</t>
  </si>
  <si>
    <t>oscarmauricio_hurtado31330</t>
  </si>
  <si>
    <t>oscar.perez1985@nunquam.com.co</t>
  </si>
  <si>
    <t>jairoalberto_zambrano22517</t>
  </si>
  <si>
    <t>jairo.zorro1961@sempiternam.co</t>
  </si>
  <si>
    <t>andresricardo_acuna36666</t>
  </si>
  <si>
    <t>andres.obregon2000@sk9.co</t>
  </si>
  <si>
    <t>alejandrojose_diaz28504</t>
  </si>
  <si>
    <t>alejandro.quijano1978@socialmediacolombia.com.co</t>
  </si>
  <si>
    <t>juanpablo_hernandez36452</t>
  </si>
  <si>
    <t>juan.cubides1999@tecnicoensistemas.com.co</t>
  </si>
  <si>
    <t>carlosalberto_rincon29609</t>
  </si>
  <si>
    <t>carlos.abondano1981@totum.com.co</t>
  </si>
  <si>
    <t>jhonjairo_abella27602</t>
  </si>
  <si>
    <t>jhon.guerrero1975@voipcolombia.co</t>
  </si>
  <si>
    <t>andresdanilo_bustamante33577</t>
  </si>
  <si>
    <t>andres.gonzalez1991@vpncolombia.com.co</t>
  </si>
  <si>
    <t>davidjulian_quintero32291</t>
  </si>
  <si>
    <t>david.fajardo1988@auribus.com.co</t>
  </si>
  <si>
    <t>andreseduardo_pabon24110</t>
  </si>
  <si>
    <t>andres.leon1966@colamus.co</t>
  </si>
  <si>
    <t>byronalejandro_reina24453</t>
  </si>
  <si>
    <t>byron.zambrano1966@colombiamail.co</t>
  </si>
  <si>
    <t>juanfelipe_gomez27602</t>
  </si>
  <si>
    <t>juan.uruena1975@diabunter.co</t>
  </si>
  <si>
    <t>germandavid_heredia34829</t>
  </si>
  <si>
    <t>german.cuaran1995@ebrietas.co</t>
  </si>
  <si>
    <t>eduardojose_nino26715</t>
  </si>
  <si>
    <t>eduardo.vallejo1973@elsinsonte.co</t>
  </si>
  <si>
    <t>nicolasguillermo_gonzalez21777</t>
  </si>
  <si>
    <t>nicolas.santacruz1959@enigmaserver.co</t>
  </si>
  <si>
    <t>josedario_ocampo26789</t>
  </si>
  <si>
    <t>jose.oviedo1973@hocknas.co</t>
  </si>
  <si>
    <t>carlosfabian_fernandez28930</t>
  </si>
  <si>
    <t>carlos.jimenez1979@hostedoceri.co</t>
  </si>
  <si>
    <t>angelesteban_espejo35084</t>
  </si>
  <si>
    <t>angel.rodriguez1996@libertas.com.co</t>
  </si>
  <si>
    <t>juliocesar_pinilla32149</t>
  </si>
  <si>
    <t>julio.osma1988@nascitur.com.co</t>
  </si>
  <si>
    <t>jesusstiven_urrea33835</t>
  </si>
  <si>
    <t>jesus.molina1992@nemesis.ml</t>
  </si>
  <si>
    <t>camiloandres_villa26322</t>
  </si>
  <si>
    <t>camilo.castro1972@nunquam.com.co</t>
  </si>
  <si>
    <t>cesaraugusto_molina29364</t>
  </si>
  <si>
    <t>cesar.londono1980@sempiternam.co</t>
  </si>
  <si>
    <t>gabrieljesus_correa32227</t>
  </si>
  <si>
    <t>gabriel.fernandez1988@sk9.co</t>
  </si>
  <si>
    <t>luisantonio_contreras23791</t>
  </si>
  <si>
    <t>luis.arevalo1965@socialmediacolombia.com.co</t>
  </si>
  <si>
    <t>joseorlando_gomez26802</t>
  </si>
  <si>
    <t>jose.quecano1973@tecnicoensistemas.com.co</t>
  </si>
  <si>
    <t>pedrojose_martinez26880</t>
  </si>
  <si>
    <t>pedro.tarazona1973@totum.com.co</t>
  </si>
  <si>
    <t>juanfernando_mosquera36628</t>
  </si>
  <si>
    <t>juan.gamboa2000@voipcolombia.co</t>
  </si>
  <si>
    <t>santiagoivan_caicedo26322</t>
  </si>
  <si>
    <t>santiago.aguirre1972@vpncolombia.com.co</t>
  </si>
  <si>
    <t>leonardoandres_prieto25556</t>
  </si>
  <si>
    <t>leonardo.sierra1969@auribus.com.co</t>
  </si>
  <si>
    <t>cesaraugusto_molina36198</t>
  </si>
  <si>
    <t>cesar.londono1999@colamus.co</t>
  </si>
  <si>
    <t>gabrielroberto_bedoya36170</t>
  </si>
  <si>
    <t>gabriel.fernandez1999@colombiamail.co</t>
  </si>
  <si>
    <t>luisantonio_perez24611</t>
  </si>
  <si>
    <t>luis.arevalo1967@diabunter.co</t>
  </si>
  <si>
    <t>joseorlando_gomez29806</t>
  </si>
  <si>
    <t>jose.quecano1981@ebrietas.co</t>
  </si>
  <si>
    <t>pedroemilio_patino30741</t>
  </si>
  <si>
    <t>pedro.tarazona1984@elsinsonte.co</t>
  </si>
  <si>
    <t>juanfernando_yepes26298</t>
  </si>
  <si>
    <t>juan.gamboa1971@enigmaserver.co</t>
  </si>
  <si>
    <t>carlosandres_pena36441</t>
  </si>
  <si>
    <t>carlos.torres1999@hocknas.co</t>
  </si>
  <si>
    <t>juanenrique_loaiza35926</t>
  </si>
  <si>
    <t>juan.campo1998@hostedoceri.co</t>
  </si>
  <si>
    <t>ricardoalfonso_gaona28641</t>
  </si>
  <si>
    <t>ricardo.contreras1978@libertas.com.co</t>
  </si>
  <si>
    <t>juanpablo_gutierrez26052</t>
  </si>
  <si>
    <t>juan.cordoba1971@nascitur.com.co</t>
  </si>
  <si>
    <t>diegoalejandro_reina36475</t>
  </si>
  <si>
    <t>diego.varon1999@nemesis.ml</t>
  </si>
  <si>
    <t>monicadelgado_reinoso32511</t>
  </si>
  <si>
    <t>monica.quevedo1989@nunquam.com.co</t>
  </si>
  <si>
    <t>santiagodavid_cardona27003</t>
  </si>
  <si>
    <t>santiago.bastidas1973@sempiternam.co</t>
  </si>
  <si>
    <t>carlosjulian_ramos37358</t>
  </si>
  <si>
    <t>carlos.ramos2002@sk9.co</t>
  </si>
  <si>
    <t>ernestoorozco_jimenez36349</t>
  </si>
  <si>
    <t>ernesto.duran1999@socialmediacolombia.com.co</t>
  </si>
  <si>
    <t>jhonedwin_arias25312</t>
  </si>
  <si>
    <t>jhon.hernandez1969@tecnicoensistemas.com.co</t>
  </si>
  <si>
    <t>leonardojose_sanchez22665</t>
  </si>
  <si>
    <t>leonardo.alvarez1962@totum.com.co</t>
  </si>
  <si>
    <t>victoralexander_vergara29620</t>
  </si>
  <si>
    <t>victor.leal1981@voipcolombia.co</t>
  </si>
  <si>
    <t>javiermauricio_sabogal30230</t>
  </si>
  <si>
    <t>javier.gonzalez1982@vpncolombia.com.co</t>
  </si>
  <si>
    <t>fabioleonardo_prieto29279</t>
  </si>
  <si>
    <t>fabio.ocampo1980@auribus.com.co</t>
  </si>
  <si>
    <t>alvaroenrique_mendoza31973</t>
  </si>
  <si>
    <t>alvaro.fernandez1987@colamus.co</t>
  </si>
  <si>
    <t>diegojimenez_quiroz31366</t>
  </si>
  <si>
    <t>diego.espejo1985@colombiamail.co</t>
  </si>
  <si>
    <t>davidcaicedo_tarazona21796</t>
  </si>
  <si>
    <t>david.pinilla1959@diabunter.co</t>
  </si>
  <si>
    <t>javiercardona_sarmiento27510</t>
  </si>
  <si>
    <t>javier.navas1975@ebrietas.co</t>
  </si>
  <si>
    <t>julianpulido_botero28064</t>
  </si>
  <si>
    <t>julian.ramirez1976@elsinsonte.co</t>
  </si>
  <si>
    <t>ernestofabian_gonzalez34454</t>
  </si>
  <si>
    <t>ernesto.valverde1994@enigmaserver.co</t>
  </si>
  <si>
    <t>oscarfernando_castro35772</t>
  </si>
  <si>
    <t>oscar.castro1997@hocknas.co</t>
  </si>
  <si>
    <t>oskrbonilla_cortes27968</t>
  </si>
  <si>
    <t>oskr.herrera1976@hostedoceri.co</t>
  </si>
  <si>
    <t>jacksonfeliciano_pinzon28775</t>
  </si>
  <si>
    <t>jackson.gomez1978@libertas.com.co</t>
  </si>
  <si>
    <t>ivangomez_garzon36830</t>
  </si>
  <si>
    <t>ivan.rincon2000@nascitur.com.co</t>
  </si>
  <si>
    <t>danielandres_garcia28930</t>
  </si>
  <si>
    <t>daniel.paez1979@nemesis.ml</t>
  </si>
  <si>
    <t>fredyenrique_paez29828</t>
  </si>
  <si>
    <t>fredy.huertas1981@nunquam.com.co</t>
  </si>
  <si>
    <t>rubenhenesto_rodriguez29789</t>
  </si>
  <si>
    <t>ruben.perez1981@sempiternam.co</t>
  </si>
  <si>
    <t>jairoantonio_pinilla36238</t>
  </si>
  <si>
    <t>jairo.rojas1999@sk9.co</t>
  </si>
  <si>
    <t>juancamilo_ordonez35448</t>
  </si>
  <si>
    <t>juan.perez1997@socialmediacolombia.com.co</t>
  </si>
  <si>
    <t>emilianojose_sierra22218</t>
  </si>
  <si>
    <t>emiliano.herrera1960@tecnicoensistemas.com.co</t>
  </si>
  <si>
    <t>leonardoarturo_pinzon25450</t>
  </si>
  <si>
    <t>leonardo.reina1969@totum.com.co</t>
  </si>
  <si>
    <t>luisenrique_mendez36296</t>
  </si>
  <si>
    <t>luis.dussan1999@voipcolombia.co</t>
  </si>
  <si>
    <t>alvarojuan_monroy28943</t>
  </si>
  <si>
    <t>alvaro.acosta1979@vpncolombia.com.co</t>
  </si>
  <si>
    <t>antoniooscar_rodriguez22665</t>
  </si>
  <si>
    <t>antonio.guzman1962@auribus.com.co</t>
  </si>
  <si>
    <t>josenicolas_merizalde36633</t>
  </si>
  <si>
    <t>jose.londono2000@colamus.co</t>
  </si>
  <si>
    <t>manuelalvaro_torres29034</t>
  </si>
  <si>
    <t>manuel.molina1979@colombiamail.co</t>
  </si>
  <si>
    <t>franciscoalvaro_sanchez27865</t>
  </si>
  <si>
    <t>francisco.velasquez1976@diabunter.co</t>
  </si>
  <si>
    <t>davidcamilo_porras27635</t>
  </si>
  <si>
    <t>david.rincon1975@ebrietas.co</t>
  </si>
  <si>
    <t>jesusjuan_sanchez31390</t>
  </si>
  <si>
    <t>jesus.rios1985@elsinsonte.co</t>
  </si>
  <si>
    <t>rafaeljaime_aldana23364</t>
  </si>
  <si>
    <t>rafael.sierra1963@enigmaserver.co</t>
  </si>
  <si>
    <t>mauriciosantiago_vargas34468</t>
  </si>
  <si>
    <t>mauricio.cruz1994@hocknas.co</t>
  </si>
  <si>
    <t>angeldario_romero31330</t>
  </si>
  <si>
    <t>angel.ospina1985@hostedoceri.co</t>
  </si>
  <si>
    <t>pedroalejandro_zapata27681</t>
  </si>
  <si>
    <t>pedro.garzon1975@libertas.com.co</t>
  </si>
  <si>
    <t>pablosebastian_gonzalez25943</t>
  </si>
  <si>
    <t>pablo.jaramillo1971@nascitur.com.co</t>
  </si>
  <si>
    <t>sergiofernando_garces33858</t>
  </si>
  <si>
    <t>sergio.reyes1992@nemesis.ml</t>
  </si>
  <si>
    <t>adriansantiago_vargas26435</t>
  </si>
  <si>
    <t>adrian.orozco1972@nunquam.com.co</t>
  </si>
  <si>
    <t>diegolucio_jaimes31689</t>
  </si>
  <si>
    <t>diego.agudelo1986@sempiternam.co</t>
  </si>
  <si>
    <t>raulalfredo_cardenas29530</t>
  </si>
  <si>
    <t>raul.mora1980@sk9.co</t>
  </si>
  <si>
    <t>vicentesalvador_fonseca35977</t>
  </si>
  <si>
    <t>vicente.beltran1998@socialmediacolombia.com.co</t>
  </si>
  <si>
    <t>oscarjulio_romero27468</t>
  </si>
  <si>
    <t>oscar.contreras1975@tecnicoensistemas.com.co</t>
  </si>
  <si>
    <t>joaquinjulian_huertas24611</t>
  </si>
  <si>
    <t>joaquin.leon1967@totum.com.co</t>
  </si>
  <si>
    <t>eduardoagustin_villamil27371</t>
  </si>
  <si>
    <t>eduardo.escobar1974@voipcolombia.co</t>
  </si>
  <si>
    <t>victorfelix_calderon26298</t>
  </si>
  <si>
    <t>victor.caicedo1971@vpncolombia.com.co</t>
  </si>
  <si>
    <t>marioismael_forero27635</t>
  </si>
  <si>
    <t>mario.castaneda1975@auribus.com.co</t>
  </si>
  <si>
    <t>jaimecristian_chaparro29749</t>
  </si>
  <si>
    <t>jaime.fernandez1981@colamus.co</t>
  </si>
  <si>
    <t>ignaciohector_patino27983</t>
  </si>
  <si>
    <t>ignacio.hurtado1976@colombiamail.co</t>
  </si>
  <si>
    <t>alfonsojulio_montana27098</t>
  </si>
  <si>
    <t>alfonso.delgado1974@diabunter.co</t>
  </si>
  <si>
    <t>ricardojesus_diaz30665</t>
  </si>
  <si>
    <t>ricardo.silva1983@ebrietas.co</t>
  </si>
  <si>
    <t>luisalfonso_pablo35968</t>
  </si>
  <si>
    <t>luis.lozano1998@elsinsonte.co</t>
  </si>
  <si>
    <t>andrescamilo_torres36742</t>
  </si>
  <si>
    <t>andres.henao2000@enigmaserver.co</t>
  </si>
  <si>
    <t>davidsantiago_galan33876</t>
  </si>
  <si>
    <t>david.bedoya1992@hocknas.co</t>
  </si>
  <si>
    <t>jorgeleonardo_hurtado21828</t>
  </si>
  <si>
    <t>jorge.calderon1959@hostedoceri.co</t>
  </si>
  <si>
    <t>juliocesar_zambrano29933</t>
  </si>
  <si>
    <t>julio.murillo1981@libertas.com.co</t>
  </si>
  <si>
    <t>juangabriel_acuna23907</t>
  </si>
  <si>
    <t>juan.castano1965@nascitur.com.co</t>
  </si>
  <si>
    <t>luismiguel_diaz24714</t>
  </si>
  <si>
    <t>luis.vega1967@nemesis.ml</t>
  </si>
  <si>
    <t>fabianjose_hernandez28399</t>
  </si>
  <si>
    <t>fabian.mendez1977@nunquam.com.co</t>
  </si>
  <si>
    <t>josepedro_rincon21722</t>
  </si>
  <si>
    <t>jose.avila1959@sempiternam.co</t>
  </si>
  <si>
    <t>juandavid_abella23967</t>
  </si>
  <si>
    <t>juan.patino1965@sk9.co</t>
  </si>
  <si>
    <t>johnfreddy_bustamante23092</t>
  </si>
  <si>
    <t>john.cordoba1963@socialmediacolombia.com.co</t>
  </si>
  <si>
    <t>oscarfabian_quintero31219</t>
  </si>
  <si>
    <t>oscar.velez1985@tecnicoensistemas.com.co</t>
  </si>
  <si>
    <t>joseluis_pabon26297</t>
  </si>
  <si>
    <t>jose.pineda1971@totum.com.co</t>
  </si>
  <si>
    <t>angeljhoan_reina25825</t>
  </si>
  <si>
    <t>angel.arango1970@voipcolombia.co</t>
  </si>
  <si>
    <t>sergiorodrigo_gomez26304</t>
  </si>
  <si>
    <t>sergio.bernal1972@vpncolombia.com.co</t>
  </si>
  <si>
    <t>alvarofernando_heredia29101</t>
  </si>
  <si>
    <t>alvaro.franco1979@auribus.com.co</t>
  </si>
  <si>
    <t>sergiodaniel_nino25252</t>
  </si>
  <si>
    <t>sergio.carvajal1969@colamus.co</t>
  </si>
  <si>
    <t>pablodario_gonzalez37114</t>
  </si>
  <si>
    <t>pablo.gil2001@colombiamail.co</t>
  </si>
  <si>
    <t>juanandres_ocampo23020</t>
  </si>
  <si>
    <t>juan.padilla1963@diabunter.co</t>
  </si>
  <si>
    <t>jaimenicolas_fernandez37457</t>
  </si>
  <si>
    <t>jaime.mendez2002@ebrietas.co</t>
  </si>
  <si>
    <t>juaneduardo_espejo33446</t>
  </si>
  <si>
    <t>juan.monroy1991@elsinsonte.co</t>
  </si>
  <si>
    <t>cesaremailio_pinilla35424</t>
  </si>
  <si>
    <t>cesar.rodriguez1996@enigmaserver.co</t>
  </si>
  <si>
    <t>lucasgustavo_urrea22725</t>
  </si>
  <si>
    <t>lucas.merizalde1962@hocknas.co</t>
  </si>
  <si>
    <t>hugosebastian_villa33445</t>
  </si>
  <si>
    <t>hugo.torres1991@hostedoceri.co</t>
  </si>
  <si>
    <t>joseramon_molina21684</t>
  </si>
  <si>
    <t>jose.sanchez1959@libertas.com.co</t>
  </si>
  <si>
    <t>juanfrancisco_correa31949</t>
  </si>
  <si>
    <t>juan.porras1987@nascitur.com.co</t>
  </si>
  <si>
    <t>josephmanuel_contreras28354</t>
  </si>
  <si>
    <t>joseph.sanchez1977@nemesis.ml</t>
  </si>
  <si>
    <t>juangregorio_gomez34443</t>
  </si>
  <si>
    <t>juan.sanchez1994@nunquam.com.co</t>
  </si>
  <si>
    <t>williamandres_martinez24034</t>
  </si>
  <si>
    <t>william.blanco1965@sempiternam.co</t>
  </si>
  <si>
    <t>sigifredoalonso_bonilla22472</t>
  </si>
  <si>
    <t>sigifredo.monsalve1961@sk9.co</t>
  </si>
  <si>
    <t>haroldfelipe_escobar33147</t>
  </si>
  <si>
    <t>harold.restrepo1990@socialmediacolombia.com.co</t>
  </si>
  <si>
    <t>edgarguillermo_mosquera30167</t>
  </si>
  <si>
    <t>edgar.beltran1982@tecnicoensistemas.com.co</t>
  </si>
  <si>
    <t>juangregorio_duque28799</t>
  </si>
  <si>
    <t>juan.pineda1978@totum.com.co</t>
  </si>
  <si>
    <t>juanaldemar_duran37086</t>
  </si>
  <si>
    <t>juan.diaz2001@voipcolombia.co</t>
  </si>
  <si>
    <t>marioernesto_montoya35680</t>
  </si>
  <si>
    <t>mario.perez1997@vpncolombia.com.co</t>
  </si>
  <si>
    <t>andresbernardo_ardila34359</t>
  </si>
  <si>
    <t>andres.caicedo1994@auribus.com.co</t>
  </si>
  <si>
    <t>carlosjulio_caro32940</t>
  </si>
  <si>
    <t>carlos.cifuentes1990@colamus.co</t>
  </si>
  <si>
    <t>andresmauricio_narvaez34163</t>
  </si>
  <si>
    <t>andres.galindo1993@colombiamail.co</t>
  </si>
  <si>
    <t>juliosebastian_becerra29086</t>
  </si>
  <si>
    <t>julio.prieto1979@diabunter.co</t>
  </si>
  <si>
    <t>jesussebastian_calderon20503</t>
  </si>
  <si>
    <t>jesus.fonseca1956@ebrietas.co</t>
  </si>
  <si>
    <t>paulcamilo_galvis36519</t>
  </si>
  <si>
    <t>paul.pacheco1999@elsinsonte.co</t>
  </si>
  <si>
    <t>cesarcamilo_murillo33238</t>
  </si>
  <si>
    <t>cesar.correa1990@enigmaserver.co</t>
  </si>
  <si>
    <t>santiagoandres_sanchez30470</t>
  </si>
  <si>
    <t>santiago.reyes1983@hocknas.co</t>
  </si>
  <si>
    <t>leonardojoaquin_castano28240</t>
  </si>
  <si>
    <t>leonardo.londono1977@hostedoceri.co</t>
  </si>
  <si>
    <t>cesarfelipe_perdomo21625</t>
  </si>
  <si>
    <t>cesar.herrera1959@libertas.com.co</t>
  </si>
  <si>
    <t>gabrielandres_suarez31377</t>
  </si>
  <si>
    <t>gabriel.velasco1985@nascitur.com.co</t>
  </si>
  <si>
    <t>luisjairo_sandoval30964</t>
  </si>
  <si>
    <t>luis.ospina1984@nemesis.ml</t>
  </si>
  <si>
    <t>josejacinto_vasquez31768</t>
  </si>
  <si>
    <t>jose.gomez1986@nunquam.com.co</t>
  </si>
  <si>
    <t>pedroerwin_luna30376</t>
  </si>
  <si>
    <t>pedro.gutierrez1983@sempiternam.co</t>
  </si>
  <si>
    <t>juanjuan_ortega35343</t>
  </si>
  <si>
    <t>juan.rivera1996@sk9.co</t>
  </si>
  <si>
    <t>raulemiro_silva33675</t>
  </si>
  <si>
    <t>raul.beltran1992@socialmediacolombia.com.co</t>
  </si>
  <si>
    <t>jorgemario_gonzales29010</t>
  </si>
  <si>
    <t>jorge.arango1979@tecnicoensistemas.com.co</t>
  </si>
  <si>
    <t>jeyssonfelipe_padilla28362</t>
  </si>
  <si>
    <t>jeysson.martinez1977@totum.com.co</t>
  </si>
  <si>
    <t>omarfernando_prieto31057</t>
  </si>
  <si>
    <t>omar.gil1985@voipcolombia.co</t>
  </si>
  <si>
    <t>janejavier_jimenez34793</t>
  </si>
  <si>
    <t>jane.benitez1995@vpncolombia.com.co</t>
  </si>
  <si>
    <t>wilsonandres_marin26770</t>
  </si>
  <si>
    <t>wilson.marquez1973@auribus.com.co</t>
  </si>
  <si>
    <t>oscargerman_forero33712</t>
  </si>
  <si>
    <t>oscar.ramirez1992@colamus.co</t>
  </si>
  <si>
    <t>mariojose_velasquez31070</t>
  </si>
  <si>
    <t>mario.contreras1985@colombiamail.co</t>
  </si>
  <si>
    <t>fredydaniel_arevalo31065</t>
  </si>
  <si>
    <t>fredy.pulido1985@diabunter.co</t>
  </si>
  <si>
    <t>luisfelipe_carrillo30367</t>
  </si>
  <si>
    <t>luis.villa1983@ebrietas.co</t>
  </si>
  <si>
    <t>carlosuriel_fuentes23934</t>
  </si>
  <si>
    <t>carlos.navarro1965@elsinsonte.co</t>
  </si>
  <si>
    <t>jaimezael_betancur23842</t>
  </si>
  <si>
    <t>jaime.mesa1965@enigmaserver.co</t>
  </si>
  <si>
    <t>pedrojeremias_nino24466</t>
  </si>
  <si>
    <t>pedro.espinosa1966@hocknas.co</t>
  </si>
  <si>
    <t>pabloemilio_figueroa23846</t>
  </si>
  <si>
    <t>pablo.pacheco1965@hostedoceri.co</t>
  </si>
  <si>
    <t>carlosjulio_meza24796</t>
  </si>
  <si>
    <t>carlos.jaramillo1967@libertas.com.co</t>
  </si>
  <si>
    <t>pablocarlos_ordonez25697</t>
  </si>
  <si>
    <t>pablo.miranda1970@nascitur.com.co</t>
  </si>
  <si>
    <t>luisguillermo_camargo24996</t>
  </si>
  <si>
    <t>luis.jaimes1968@nemesis.ml</t>
  </si>
  <si>
    <t>marcosheiberto_cortes28970</t>
  </si>
  <si>
    <t>marcos.quintero1979@nunquam.com.co</t>
  </si>
  <si>
    <t>felixjesus_toro36181</t>
  </si>
  <si>
    <t>felix.mercado1999@sempiternam.co</t>
  </si>
  <si>
    <t>christianmanuel_lozano35166</t>
  </si>
  <si>
    <t>christian.blanco1996@sk9.co</t>
  </si>
  <si>
    <t>victoreduardo_meneses32576</t>
  </si>
  <si>
    <t>victor.arenas1989@socialmediacolombia.com.co</t>
  </si>
  <si>
    <t>edgarraul_correa21639</t>
  </si>
  <si>
    <t>edgar.aguilar1959@tecnicoensistemas.com.co</t>
  </si>
  <si>
    <t>faustodidier_munoz33716</t>
  </si>
  <si>
    <t>fausto.rios1992@totum.com.co</t>
  </si>
  <si>
    <t>miguelcamilo_duarte30651</t>
  </si>
  <si>
    <t>miguel.moreno1983@voipcolombia.co</t>
  </si>
  <si>
    <t>wilsonjorge_buitrago22570</t>
  </si>
  <si>
    <t>wilson.bernal1961@vpncolombia.com.co</t>
  </si>
  <si>
    <t>oscarfeliciano_delgado20846</t>
  </si>
  <si>
    <t>oscar.palacios1957@auribus.com.co</t>
  </si>
  <si>
    <t>jhonerik_pinzon27928</t>
  </si>
  <si>
    <t>jhon.orozco1976@colamus.co</t>
  </si>
  <si>
    <t>edwinigor_morales32662</t>
  </si>
  <si>
    <t>edwin.bedoya1989@colombiamail.co</t>
  </si>
  <si>
    <t>elkinomar_campo27071</t>
  </si>
  <si>
    <t>elkin.barrera1974@diabunter.co</t>
  </si>
  <si>
    <t>jhonalex_estrada34223</t>
  </si>
  <si>
    <t>jhon.trujillo1993@ebrietas.co</t>
  </si>
  <si>
    <t>cristiancamilo_alvarez30595</t>
  </si>
  <si>
    <t>cristian.cardenas1983@elsinsonte.co</t>
  </si>
  <si>
    <t>ederalvaro_carmona22935</t>
  </si>
  <si>
    <t>eder.medina1962@enigmaserver.co</t>
  </si>
  <si>
    <t>alvaromartin_carvajal25184</t>
  </si>
  <si>
    <t>alvaro.rosero1968@hocknas.co</t>
  </si>
  <si>
    <t>marioalejandro_fonseca30545</t>
  </si>
  <si>
    <t>mario.sepulveda1983@hostedoceri.co</t>
  </si>
  <si>
    <t>juliandavid_giraldo28461</t>
  </si>
  <si>
    <t>julian.velez1977@libertas.com.co</t>
  </si>
  <si>
    <t>cesardaniel_bohorquez30102</t>
  </si>
  <si>
    <t>cesar.castro1982@nascitur.com.co</t>
  </si>
  <si>
    <t>leonardojose_leon29803</t>
  </si>
  <si>
    <t>leonardo.soto1981@nemesis.ml</t>
  </si>
  <si>
    <t>brayangiovanny_pena23647</t>
  </si>
  <si>
    <t>brayan.florez1964@nunquam.com.co</t>
  </si>
  <si>
    <t>felixraul_hurtado24890</t>
  </si>
  <si>
    <t>felix.parra1968@sempiternam.co</t>
  </si>
  <si>
    <t>jaimedanilo_mendez22599</t>
  </si>
  <si>
    <t>jaime.serna1961@sk9.co</t>
  </si>
  <si>
    <t>jeissonvicente_monsalve37306</t>
  </si>
  <si>
    <t>jeisson.castillo2002@socialmediacolombia.com.co</t>
  </si>
  <si>
    <t>gildardoivan_restrepo23147</t>
  </si>
  <si>
    <t>gildardo.palacio1963@tecnicoensistemas.com.co</t>
  </si>
  <si>
    <t>juanesteban_castaneda30663</t>
  </si>
  <si>
    <t>juan.ocampo1983@totum.com.co</t>
  </si>
  <si>
    <t>samuelsneider_caicedo29834</t>
  </si>
  <si>
    <t>samuel.benavides1981@voipcolombia.co</t>
  </si>
  <si>
    <t>stivenalejandro_osorio21729</t>
  </si>
  <si>
    <t>stiven.ruiz1959@vpncolombia.com.co</t>
  </si>
  <si>
    <t>juanpablo_garcia25055</t>
  </si>
  <si>
    <t>juan.alzate1968@auribus.com.co</t>
  </si>
  <si>
    <t>emmilsantiago_agudelo23106</t>
  </si>
  <si>
    <t>emmil.galindo1963@colamus.co</t>
  </si>
  <si>
    <t>marcossebastian_torres26836</t>
  </si>
  <si>
    <t>marcos.montes1973@colombiamail.co</t>
  </si>
  <si>
    <t>estebangabriel_zuniga35679</t>
  </si>
  <si>
    <t>esteban.bravo1997@diabunter.co</t>
  </si>
  <si>
    <t>liancamilo_amaya24685</t>
  </si>
  <si>
    <t>lian.romero1967@ebrietas.co</t>
  </si>
  <si>
    <t>darwinernesto_tovar31832</t>
  </si>
  <si>
    <t>darwin.mora1987@elsinsonte.co</t>
  </si>
  <si>
    <t>juancarlos_rueda27054</t>
  </si>
  <si>
    <t>juan.reyes1974@enigmaserver.co</t>
  </si>
  <si>
    <t>josecarlos_navarro29146</t>
  </si>
  <si>
    <t>jose.osorio1979@hocknas.co</t>
  </si>
  <si>
    <t>joseignacio_montes28128</t>
  </si>
  <si>
    <t>jose.bravo1977@hostedoceri.co</t>
  </si>
  <si>
    <t>josedavid_arenas33728</t>
  </si>
  <si>
    <t>jose.diaz1992@libertas.com.co</t>
  </si>
  <si>
    <t>juanandres_fonseca31234</t>
  </si>
  <si>
    <t>juan.velasco1985@nascitur.com.co</t>
  </si>
  <si>
    <t>juanpablo_leon29452</t>
  </si>
  <si>
    <t>juan.aguilar1980@nemesis.ml</t>
  </si>
  <si>
    <t>juanalberto_estrada31713</t>
  </si>
  <si>
    <t>juan.mendoza1986@nunquam.com.co</t>
  </si>
  <si>
    <t>juanjose_sepulveda32131</t>
  </si>
  <si>
    <t>juan.pacheco1987@sempiternam.co</t>
  </si>
  <si>
    <t>josemanuel_barrios32703</t>
  </si>
  <si>
    <t>jose.uribe1989@sk9.co</t>
  </si>
  <si>
    <t>luismiguel_pacheco33826</t>
  </si>
  <si>
    <t>luis.narvaez1992@socialmediacolombia.com.co</t>
  </si>
  <si>
    <t>victormanuel_ortiz25011</t>
  </si>
  <si>
    <t>victor.parra1968@tecnicoensistemas.com.co</t>
  </si>
  <si>
    <t>juancamilo_giraldo21031</t>
  </si>
  <si>
    <t>juan.molina1957@totum.com.co</t>
  </si>
  <si>
    <t>andresoctavio_diaz32486</t>
  </si>
  <si>
    <t>andres.quintero1988@voipcolombia.co</t>
  </si>
  <si>
    <t>fabioandres_acevedo28805</t>
  </si>
  <si>
    <t>fabio.moreno1978@vpncolombia.com.co</t>
  </si>
  <si>
    <t>luisenrique_montoya22973</t>
  </si>
  <si>
    <t>luis.contreras1962@auribus.com.co</t>
  </si>
  <si>
    <t>juandavid_marin23272</t>
  </si>
  <si>
    <t>juan.castro1963@colamus.co</t>
  </si>
  <si>
    <t>gustavoalfredo_londono30362</t>
  </si>
  <si>
    <t>gustavo.mora1983@colombiamail.co</t>
  </si>
  <si>
    <t>josepedro_mora21492</t>
  </si>
  <si>
    <t>jose.torres1958@diabunter.co</t>
  </si>
  <si>
    <t>damiande jesus_perez35308</t>
  </si>
  <si>
    <t>damian.giraldo1996@ebrietas.co</t>
  </si>
  <si>
    <t>oscarivan_paez27825</t>
  </si>
  <si>
    <t>oscar.mercado1976@elsinsonte.co</t>
  </si>
  <si>
    <t>luisalfonso_vasquez22609</t>
  </si>
  <si>
    <t>luis.meza1961@enigmaserver.co</t>
  </si>
  <si>
    <t>joseantonio_sarmiento28821</t>
  </si>
  <si>
    <t>jose.carvajal1978@hocknas.co</t>
  </si>
  <si>
    <t>juliocesar_soto30202</t>
  </si>
  <si>
    <t>julio.padilla1982@hostedoceri.co</t>
  </si>
  <si>
    <t>omaraugusto_aguilar27245</t>
  </si>
  <si>
    <t>omar.ramos1974@libertas.com.co</t>
  </si>
  <si>
    <t>brianstiven_cardenas21211</t>
  </si>
  <si>
    <t>brian.franco1958@nascitur.com.co</t>
  </si>
  <si>
    <t>matiascamilo_amaya26326</t>
  </si>
  <si>
    <t>matias.palacio1972@nemesis.ml</t>
  </si>
  <si>
    <t>sergioandres_suarez29440</t>
  </si>
  <si>
    <t>sergio.angulo1980@nunquam.com.co</t>
  </si>
  <si>
    <t>sebastiantomas_jaramillo30049</t>
  </si>
  <si>
    <t>sebastian.silva1982@sempiternam.co</t>
  </si>
  <si>
    <t>luisalberto_zambrano32745</t>
  </si>
  <si>
    <t>luis.carrillo1989@sk9.co</t>
  </si>
  <si>
    <t>miguelangel_hurtado34293</t>
  </si>
  <si>
    <t>miguel.vasquez1993@socialmediacolombia.com.co</t>
  </si>
  <si>
    <t>carlosalberto_bohorquez33322</t>
  </si>
  <si>
    <t>carlos.toro1991@tecnicoensistemas.com.co</t>
  </si>
  <si>
    <t>juancarlos_palacio24751</t>
  </si>
  <si>
    <t>juan.cardona1967@totum.com.co</t>
  </si>
  <si>
    <t>juanjose_molina28132</t>
  </si>
  <si>
    <t>juan.bolanos1977@voipcolombia.co</t>
  </si>
  <si>
    <t>josemiguel_escobar34032</t>
  </si>
  <si>
    <t>jose.zuniga1993@vpncolombia.com.co</t>
  </si>
  <si>
    <t>josepablo_arrieta23065</t>
  </si>
  <si>
    <t>jose.murillo1963@auribus.com.co</t>
  </si>
  <si>
    <t>franciscojavier_hoyos21051</t>
  </si>
  <si>
    <t>francisco.betancur1957@colamus.co</t>
  </si>
  <si>
    <t>luisfernando_rincon25172</t>
  </si>
  <si>
    <t>luis.mendez1968@colombiamail.co</t>
  </si>
  <si>
    <t>carlosalberto_palacios37499</t>
  </si>
  <si>
    <t>carlos.cardenas2002@diabunter.co</t>
  </si>
  <si>
    <t>jesusmaria_zuniga37097</t>
  </si>
  <si>
    <t>jesus.rodriguez2001@ebrietas.co</t>
  </si>
  <si>
    <t>juliocesar_vega31873</t>
  </si>
  <si>
    <t>julio.meneses1987@elsinsonte.co</t>
  </si>
  <si>
    <t>jorgeluis_meza24985</t>
  </si>
  <si>
    <t>jorge.fernandez1968@enigmaserver.co</t>
  </si>
  <si>
    <t>luisfernando_ayala33972</t>
  </si>
  <si>
    <t>luis.calderon1993@hocknas.co</t>
  </si>
  <si>
    <t>marcoantonio_contreras29331</t>
  </si>
  <si>
    <t>marco.cifuentes1980@hostedoceri.co</t>
  </si>
  <si>
    <t>victorhugo_forero30890</t>
  </si>
  <si>
    <t>victor.castillo1984@libertas.com.co</t>
  </si>
  <si>
    <t>manueljose_narvaez37217</t>
  </si>
  <si>
    <t>manuel.aguirre2001@nascitur.com.co</t>
  </si>
  <si>
    <t>gustavoalfonso_rosero28831</t>
  </si>
  <si>
    <t>gustavo.gonzales1978@nemesis.ml</t>
  </si>
  <si>
    <t>gabrieljose_castano30541</t>
  </si>
  <si>
    <t>gabriel.castano1983@nunquam.com.co</t>
  </si>
  <si>
    <t>joseluis_cruz25877</t>
  </si>
  <si>
    <t>jose.medina1970@sempiternam.co</t>
  </si>
  <si>
    <t>juanjose_jaimes27727</t>
  </si>
  <si>
    <t>juan.ortega1975@sk9.co</t>
  </si>
  <si>
    <t>ramonguillermo_camargo28794</t>
  </si>
  <si>
    <t>ramon.camacho1978@socialmediacolombia.com.co</t>
  </si>
  <si>
    <t>alvarofrancisco_valencia26206</t>
  </si>
  <si>
    <t>alvaro.arenas1971@tecnicoensistemas.com.co</t>
  </si>
  <si>
    <t>carloshernan_caicedo33005</t>
  </si>
  <si>
    <t>carlos.cordoba1990@totum.com.co</t>
  </si>
  <si>
    <t>danieladrian_garzon25626</t>
  </si>
  <si>
    <t>daniel.arango1970@voipcolombia.co</t>
  </si>
  <si>
    <t>edgaralfonso_nunez20852</t>
  </si>
  <si>
    <t>edgar.gallego1957@vpncolombia.com.co</t>
  </si>
  <si>
    <t>ivanalejandro_agudelo31700</t>
  </si>
  <si>
    <t>ivan.lopez1986@auribus.com.co</t>
  </si>
  <si>
    <t>jorgeesteban_sanchez20851</t>
  </si>
  <si>
    <t>jorge.vega1957@colamus.co</t>
  </si>
  <si>
    <t>rubenernesto_tovar29272</t>
  </si>
  <si>
    <t>ruben.fonseca1980@colombiamail.co</t>
  </si>
  <si>
    <t>oscardaniel_bolanos28300</t>
  </si>
  <si>
    <t>oscar.navarro1977@diabunter.co</t>
  </si>
  <si>
    <t>victoremiliano_rojas29719</t>
  </si>
  <si>
    <t>victor.leon1981@ebrietas.co</t>
  </si>
  <si>
    <t>juangabriel_orozco25137</t>
  </si>
  <si>
    <t>juan.cortes1968@elsinsonte.co</t>
  </si>
  <si>
    <t>luismiguel_trujillo30685</t>
  </si>
  <si>
    <t>luis.sierra1984@enigmaserver.co</t>
  </si>
  <si>
    <t>juanpablo_correa28943</t>
  </si>
  <si>
    <t>juan.zambrano1979@hocknas.co</t>
  </si>
  <si>
    <t>juanmartin_buitrago37162</t>
  </si>
  <si>
    <t>juan.ocampo2001@hostedoceri.co</t>
  </si>
  <si>
    <t>diegoalejandro_villa34842</t>
  </si>
  <si>
    <t>diego.garcia1995@libertas.com.co</t>
  </si>
  <si>
    <t>marcoantonio_castillo23509</t>
  </si>
  <si>
    <t>marco.beltran1964@nascitur.com.co</t>
  </si>
  <si>
    <t>davidsantiago_melo27583</t>
  </si>
  <si>
    <t>david.cano1975@nemesis.ml</t>
  </si>
  <si>
    <t>luisangel_ariza24393</t>
  </si>
  <si>
    <t>luis.marin1966@nunquam.com.co</t>
  </si>
  <si>
    <t>josetomas_franco31040</t>
  </si>
  <si>
    <t>jose.ardila1984@sempiternam.co</t>
  </si>
  <si>
    <t>joanandres_munoz31096</t>
  </si>
  <si>
    <t>joan.perez1985@sk9.co</t>
  </si>
  <si>
    <t>camiloarturo_guevara22450</t>
  </si>
  <si>
    <t>camilo.pulido1961@socialmediacolombia.com.co</t>
  </si>
  <si>
    <t>stivendaniel_arias28019</t>
  </si>
  <si>
    <t>stiven.valencia1976@tecnicoensistemas.com.co</t>
  </si>
  <si>
    <t>santiagoalejandro_salcedo25254</t>
  </si>
  <si>
    <t>santiago.rincon1969@totum.com.co</t>
  </si>
  <si>
    <t>ianalexaner_daza36034</t>
  </si>
  <si>
    <t>ian.bohorquez1998@voipcolombia.co</t>
  </si>
  <si>
    <t>sneidercamilo_espinosa26329</t>
  </si>
  <si>
    <t>sneider.caicedo1972@vpncolombia.com.co</t>
  </si>
  <si>
    <t>eliasleon_padilla34030</t>
  </si>
  <si>
    <t>elias.hernandez1993@auribus.com.co</t>
  </si>
  <si>
    <t>ethanmateo_ramos32071</t>
  </si>
  <si>
    <t>ethan.carmona1987@colamus.co</t>
  </si>
  <si>
    <t>gregorioalejandro_gonzalez34795</t>
  </si>
  <si>
    <t>gregorio.galvis1995@colombiamail.co</t>
  </si>
  <si>
    <t>francosebastian_ruiz21771</t>
  </si>
  <si>
    <t>franco.herrera1959@diabunter.co</t>
  </si>
  <si>
    <t>chriselian_ocampo23245</t>
  </si>
  <si>
    <t>chris.munoz1963@ebrietas.co</t>
  </si>
  <si>
    <t>noahgabriel_patino34668</t>
  </si>
  <si>
    <t>noah.vargas1994@elsinsonte.co</t>
  </si>
  <si>
    <t>danteemanuel_rivera32001</t>
  </si>
  <si>
    <t>dante.barrios1987@enigmaserver.co</t>
  </si>
  <si>
    <t>dilanstiven_ramirez24067</t>
  </si>
  <si>
    <t>dilan.jaimes1965@hocknas.co</t>
  </si>
  <si>
    <t>juannicolas_herrera24419</t>
  </si>
  <si>
    <t>juan.fuentes1966@hostedoceri.co</t>
  </si>
  <si>
    <t>simonagustin_mendoza23054</t>
  </si>
  <si>
    <t>simon.nunez1963@libertas.com.co</t>
  </si>
  <si>
    <t>federicoandres_morales34135</t>
  </si>
  <si>
    <t>federico.estrada1993@nascitur.com.co</t>
  </si>
  <si>
    <t>johanfelipe_pulido31258</t>
  </si>
  <si>
    <t>johan.martinez1985@nemesis.ml</t>
  </si>
  <si>
    <t>carlosaugusto_mercado31280</t>
  </si>
  <si>
    <t>carlos.benitez1985@nunquam.com.co</t>
  </si>
  <si>
    <t>pedrojose_florez21324</t>
  </si>
  <si>
    <t>pedro.rios1958@sempiternam.co</t>
  </si>
  <si>
    <t>josephestiven_carrillo26700</t>
  </si>
  <si>
    <t>joseph.guerra1973@sk9.co</t>
  </si>
  <si>
    <t>maximilianojose_ortega24686</t>
  </si>
  <si>
    <t>maximiliano.castellanos1967@socialmediacolombia.com.co</t>
  </si>
  <si>
    <t>ernestoazael_bonilla26116</t>
  </si>
  <si>
    <t>ernesto.alzate1971@tecnicoensistemas.com.co</t>
  </si>
  <si>
    <t>alejandrosamuel_duque30536</t>
  </si>
  <si>
    <t>alejandro.soto1983@totum.com.co</t>
  </si>
  <si>
    <t>edgarefrain_sierra20501</t>
  </si>
  <si>
    <t>edgar.escobar1956@voipcolombia.co</t>
  </si>
  <si>
    <t>jairoandres_betancur34942</t>
  </si>
  <si>
    <t>jairo.ortiz1995@vpncolombia.com.co</t>
  </si>
  <si>
    <t>neilsamir_hernandez29584</t>
  </si>
  <si>
    <t>neil.loaiza1980@auribus.com.co</t>
  </si>
  <si>
    <t>saularturo_cordoba27812</t>
  </si>
  <si>
    <t>saul.duran1976@colamus.co</t>
  </si>
  <si>
    <t>juanjose_polo21071</t>
  </si>
  <si>
    <t>juan.benavides1957@colombiamail.co</t>
  </si>
  <si>
    <t>luisalexander_vanegas25700</t>
  </si>
  <si>
    <t>luis.rosero1970@diabunter.co</t>
  </si>
  <si>
    <t>marioivan_mejia20761</t>
  </si>
  <si>
    <t>mario.miranda1956@ebrietas.co</t>
  </si>
  <si>
    <t>martinandres_silva27564</t>
  </si>
  <si>
    <t>martin.serna1975@elsinsonte.co</t>
  </si>
  <si>
    <t>larrystiven_medina25868</t>
  </si>
  <si>
    <t>larry.blanco1970@enigmaserver.co</t>
  </si>
  <si>
    <t>santiagogonzalo_ospina24464</t>
  </si>
  <si>
    <t>santiago.paez1966@hocknas.co</t>
  </si>
  <si>
    <t>germanlaureano_vargas31555</t>
  </si>
  <si>
    <t>german.gonzalez1986@hostedoceri.co</t>
  </si>
  <si>
    <t>davidsantiago_ordonez34258</t>
  </si>
  <si>
    <t>david.figueroa1993@libertas.com.co</t>
  </si>
  <si>
    <t>josevalentino_angulo37397</t>
  </si>
  <si>
    <t>jose.marquez2002@nascitur.com.co</t>
  </si>
  <si>
    <t>mateoandres_rios37538</t>
  </si>
  <si>
    <t>mateo.orozco2002@nemesis.ml</t>
  </si>
  <si>
    <t>juanfederico_arboleda30176</t>
  </si>
  <si>
    <t>juan.guerrero1982@nunquam.com.co</t>
  </si>
  <si>
    <t>juliocesar_gutierrez33329</t>
  </si>
  <si>
    <t>julio.ayala1991@sempiternam.co</t>
  </si>
  <si>
    <t>armandofelipe_monsalve30157</t>
  </si>
  <si>
    <t>armando.salcedo1982@sk9.co</t>
  </si>
  <si>
    <t>josemanuel_fernandez21323</t>
  </si>
  <si>
    <t>jose.zapata1958@socialmediacolombia.com.co</t>
  </si>
  <si>
    <t>luiscarlos_alzate36147</t>
  </si>
  <si>
    <t>luis.correa1998@tecnicoensistemas.com.co</t>
  </si>
  <si>
    <t>dagobertojose_barrera28457</t>
  </si>
  <si>
    <t>dagoberto.florez1977@totum.com.co</t>
  </si>
  <si>
    <t>raulalberto_prieto36423</t>
  </si>
  <si>
    <t>raul.patino1999@voipcolombia.co</t>
  </si>
  <si>
    <t>juanhumberto_nino30275</t>
  </si>
  <si>
    <t>juan.pineda1982@vpncolombia.com.co</t>
  </si>
  <si>
    <t>victorhugo_velasco23868</t>
  </si>
  <si>
    <t>victor.bernal1965@auribus.com.co</t>
  </si>
  <si>
    <t>simonmateo_lozano21896</t>
  </si>
  <si>
    <t>simon.becerra1959@colamus.co</t>
  </si>
  <si>
    <t>luisdavid_rodriguez21563</t>
  </si>
  <si>
    <t>luis.ordonez1959@colombiamail.co</t>
  </si>
  <si>
    <t>pedroesteban_velasquez29091</t>
  </si>
  <si>
    <t>pedro.arevalo1979@diabunter.co</t>
  </si>
  <si>
    <t>jeisonstiven_castellanos28160</t>
  </si>
  <si>
    <t>jeison.cruz1977@ebrietas.co</t>
  </si>
  <si>
    <t>jeanpaul_delgado28495</t>
  </si>
  <si>
    <t>jean.daza1978@elsinsonte.co</t>
  </si>
  <si>
    <t>santiagoalonso_duran35872</t>
  </si>
  <si>
    <t>santiago.vergara1998@enigmaserver.co</t>
  </si>
  <si>
    <t>miguelangel_pinzon20779</t>
  </si>
  <si>
    <t>miguel.acevedo1956@hocknas.co</t>
  </si>
  <si>
    <t>carlosalberto_aguirre23398</t>
  </si>
  <si>
    <t>carlos.forero1964@hostedoceri.co</t>
  </si>
  <si>
    <t>joaemaria_parra34895</t>
  </si>
  <si>
    <t>joae.bedoya1995@libertas.com.co</t>
  </si>
  <si>
    <t>josedel carmen_luna31049</t>
  </si>
  <si>
    <t>jose.garzon1985@nascitur.com.co</t>
  </si>
  <si>
    <t>josegabriel_avila33976</t>
  </si>
  <si>
    <t>jose.perdomo1993@nemesis.ml</t>
  </si>
  <si>
    <t>andressantiago_benavides26773</t>
  </si>
  <si>
    <t>andres.rueda1973@nunquam.com.co</t>
  </si>
  <si>
    <t>damiangregorio_cifuentes24099</t>
  </si>
  <si>
    <t>damian.mosquera1965@sempiternam.co</t>
  </si>
  <si>
    <t>martinmateo_cortes35614</t>
  </si>
  <si>
    <t>martin.buitrago1997@sk9.co</t>
  </si>
  <si>
    <t>adrianjose_murillo21816</t>
  </si>
  <si>
    <t>adrian.jaramillo1959@socialmediacolombia.com.co</t>
  </si>
  <si>
    <t>pedrojuan_marquez28243</t>
  </si>
  <si>
    <t>pedro.gomez1977@tecnicoensistemas.com.co</t>
  </si>
  <si>
    <t>alvarojose_bernal21654</t>
  </si>
  <si>
    <t>alvaro.bonilla1959@totum.com.co</t>
  </si>
  <si>
    <t>lucasfabian_solano33219</t>
  </si>
  <si>
    <t>lucas.villa1990@voipcolombia.co</t>
  </si>
  <si>
    <t>danielfernando_bedoya26761</t>
  </si>
  <si>
    <t>daniel.avila1973@vpncolombia.com.co</t>
  </si>
  <si>
    <t>reyefrain_calderon27678</t>
  </si>
  <si>
    <t>rey.guzman1975@auribus.com.co</t>
  </si>
  <si>
    <t>vicentejavier_salazar31936</t>
  </si>
  <si>
    <t>vicente.nino1987@colamus.co</t>
  </si>
  <si>
    <t>danieladrian_alvarez29677</t>
  </si>
  <si>
    <t>daniel.amaya1981@colombiamail.co</t>
  </si>
  <si>
    <t>giuseppejose_quintero22590</t>
  </si>
  <si>
    <t>giuseppe.guevara1961@diabunter.co</t>
  </si>
  <si>
    <t>nicolasjacobo_restrepo24263</t>
  </si>
  <si>
    <t>nicolas.henao1966@ebrietas.co</t>
  </si>
  <si>
    <t>carlosarmando_cabrera28086</t>
  </si>
  <si>
    <t>carlos.velez1976@elsinsonte.co</t>
  </si>
  <si>
    <t>juanandres_figueroa20722</t>
  </si>
  <si>
    <t>juan.mesa1956@enigmaserver.co</t>
  </si>
  <si>
    <t>victoralberto_perdomo35373</t>
  </si>
  <si>
    <t>victor.vanegas1996@hocknas.co</t>
  </si>
  <si>
    <t>oscargabriel_castaneda33816</t>
  </si>
  <si>
    <t>oscar.campo1992@hostedoceri.co</t>
  </si>
  <si>
    <t>sergioagustin_garcia36867</t>
  </si>
  <si>
    <t>sergio.sanchez2000@libertas.com.co</t>
  </si>
  <si>
    <t>luisalfonso_duarte32834</t>
  </si>
  <si>
    <t>luis.monsalve1989@nascitur.com.co</t>
  </si>
  <si>
    <t>camiloandres_martinez25167</t>
  </si>
  <si>
    <t>camilo.tovar1968@nemesis.ml</t>
  </si>
  <si>
    <t>juanalfredo_vergara33215</t>
  </si>
  <si>
    <t>juan.velasquez1990@nunquam.com.co</t>
  </si>
  <si>
    <t>cesaryesid_sandoval37394</t>
  </si>
  <si>
    <t>cesar.hurtado2002@sempiternam.co</t>
  </si>
  <si>
    <t>cristiancamilo_gil36449</t>
  </si>
  <si>
    <t>cristian.arrieta1999@sk9.co</t>
  </si>
  <si>
    <t>diegofernando_beltran33192</t>
  </si>
  <si>
    <t>diego.sepulveda1990@socialmediacolombia.com.co</t>
  </si>
  <si>
    <t>luisesteban_becerra28603</t>
  </si>
  <si>
    <t>luis.jimenez1978@tecnicoensistemas.com.co</t>
  </si>
  <si>
    <t>pedroantonio_serna23126</t>
  </si>
  <si>
    <t>pedro.barrera1963@totum.com.co</t>
  </si>
  <si>
    <t>danielfernando_velez21667</t>
  </si>
  <si>
    <t>daniel.mejia1959@voipcolombia.co</t>
  </si>
  <si>
    <t>brayansneider_ardila31823</t>
  </si>
  <si>
    <t>brayan.restrepo1987@vpncolombia.com.co</t>
  </si>
  <si>
    <t>sergiomateo_osorio36388</t>
  </si>
  <si>
    <t>sergio.suarez1999@auribus.com.co</t>
  </si>
  <si>
    <t>juaneduardo_benitez23602</t>
  </si>
  <si>
    <t>juan.delgado1964@colamus.co</t>
  </si>
  <si>
    <t>fabioenrique_guerrero25562</t>
  </si>
  <si>
    <t>fabio.ospina1969@colombiamail.co</t>
  </si>
  <si>
    <t>juanfelipe_campo34657</t>
  </si>
  <si>
    <t>juan.salazar1994@diabunter.co</t>
  </si>
  <si>
    <t>felixesteban_meneses21693</t>
  </si>
  <si>
    <t>felix.rojas1959@ebrietas.co</t>
  </si>
  <si>
    <t>gustavofernando_mosquera27347</t>
  </si>
  <si>
    <t>gustavo.morales1974@elsinsonte.co</t>
  </si>
  <si>
    <t>gabrieljose_lopez35345</t>
  </si>
  <si>
    <t>gabriel.polo1996@enigmaserver.co</t>
  </si>
  <si>
    <t>luisguillermo_acosta29591</t>
  </si>
  <si>
    <t>luis.pena1981@hocknas.co</t>
  </si>
  <si>
    <t>pedrogonzalo_romero27028</t>
  </si>
  <si>
    <t>pedro.agudelo1973@hostedoceri.co</t>
  </si>
  <si>
    <t>hectorfabian_mendez21931</t>
  </si>
  <si>
    <t>hector.camargo1960@libertas.com.co</t>
  </si>
  <si>
    <t>hugoalberto_cano33150</t>
  </si>
  <si>
    <t>hugo.montes1990@nascitur.com.co</t>
  </si>
  <si>
    <t>juanignacio_jimenez21465</t>
  </si>
  <si>
    <t>juan.castaneda1958@nemesis.ml</t>
  </si>
  <si>
    <t>ismaelarturo_camacho23265</t>
  </si>
  <si>
    <t>ismael.espinosa1963@nunquam.com.co</t>
  </si>
  <si>
    <t>ivanjose_carvajal26053</t>
  </si>
  <si>
    <t>ivan.sandoval1971@sempiternam.co</t>
  </si>
  <si>
    <t>jaimeandres_carmona22658</t>
  </si>
  <si>
    <t>jaime.londono1962@sk9.co</t>
  </si>
  <si>
    <t>sergiosantiago_torres27078</t>
  </si>
  <si>
    <t>sergio.ramirez1974@socialmediacolombia.com.co</t>
  </si>
  <si>
    <t>javieralfredo_bravo32595</t>
  </si>
  <si>
    <t>javier.lozano1989@tecnicoensistemas.com.co</t>
  </si>
  <si>
    <t>jesusde jose_gallego34276</t>
  </si>
  <si>
    <t>jesus.prieto1993@totum.com.co</t>
  </si>
  <si>
    <t>pedrojoaquin_pineda31180</t>
  </si>
  <si>
    <t>pedro.luna1985@voipcolombia.co</t>
  </si>
  <si>
    <t>jorgeesteban_ochoa20621</t>
  </si>
  <si>
    <t>jorge.palacios1956@vpncolombia.com.co</t>
  </si>
  <si>
    <t>josejuan_galindo24315</t>
  </si>
  <si>
    <t>jose.gil1966@auribus.com.co</t>
  </si>
  <si>
    <t>julianandres_toro22306</t>
  </si>
  <si>
    <t>julian.bermudez1961@colamus.co</t>
  </si>
  <si>
    <t>juliostiven_mesa33256</t>
  </si>
  <si>
    <t>julio.romero1991@colombiamail.co</t>
  </si>
  <si>
    <t>juanleonardo_galvis25609</t>
  </si>
  <si>
    <t>juan.duque1970@diabunter.co</t>
  </si>
  <si>
    <t>lorenzocamilo_bermudez29818</t>
  </si>
  <si>
    <t>lorenzo.montoya1981@ebrietas.co</t>
  </si>
  <si>
    <t>lucassantiago_arango31033</t>
  </si>
  <si>
    <t>lucas.rivera1984@elsinsonte.co</t>
  </si>
  <si>
    <t>luismanuel_cardona31719</t>
  </si>
  <si>
    <t>luis.caro1986@enigmaserver.co</t>
  </si>
  <si>
    <t>marcosandres_zapata29090</t>
  </si>
  <si>
    <t>marcos.pinzon1979@hocknas.co</t>
  </si>
  <si>
    <t>marioantonio_pena27236</t>
  </si>
  <si>
    <t>mario.alvarez1974@hostedoceri.co</t>
  </si>
  <si>
    <t>pedromartin_reyes27582</t>
  </si>
  <si>
    <t>pedro.melo1975@libertas.com.co</t>
  </si>
  <si>
    <t>juanmateo_henao29033</t>
  </si>
  <si>
    <t>juan.cabrera1979@nascitur.com.co</t>
  </si>
  <si>
    <t>pedromiguel_gomez30319</t>
  </si>
  <si>
    <t>pedro.duarte1983@nemesis.ml</t>
  </si>
  <si>
    <t>nestorhumberto_arevalo21142</t>
  </si>
  <si>
    <t>nestor.galeano1957@nunquam.com.co</t>
  </si>
  <si>
    <t>sergioandres_blanco34668</t>
  </si>
  <si>
    <t>sergio.ariza1994@sempiternam.co</t>
  </si>
  <si>
    <t>juannicolas_uribe29690</t>
  </si>
  <si>
    <t>juan.trujillo1981@sk9.co</t>
  </si>
  <si>
    <t>noahsamuel_galeano26163</t>
  </si>
  <si>
    <t>noah.hoyos1971@socialmediacolombia.com.co</t>
  </si>
  <si>
    <t>omarandres_moreno35486</t>
  </si>
  <si>
    <t>omar.ochoa1997@tecnicoensistemas.com.co</t>
  </si>
  <si>
    <t>oscaralonso_castro27386</t>
  </si>
  <si>
    <t>oscar.arboleda1974@totum.com.co</t>
  </si>
  <si>
    <t>pascualde jesus_caro34309</t>
  </si>
  <si>
    <t>pascual.sarmiento1993@voipcolombia.co</t>
  </si>
  <si>
    <t>pedroantonio_guzman36896</t>
  </si>
  <si>
    <t>pedro.ruiz2001@vpncolombia.com.co</t>
  </si>
  <si>
    <t>rafaelarturo_miranda34430</t>
  </si>
  <si>
    <t>rafael.solano1994@auribus.com.co</t>
  </si>
  <si>
    <t>raulricardo_loaiza24045</t>
  </si>
  <si>
    <t>raul.galindo1965@colamus.co</t>
  </si>
  <si>
    <t>josealfredo_guerra25761</t>
  </si>
  <si>
    <t>jose.gutierrez1970@colombiamail.co</t>
  </si>
  <si>
    <t>pedrofernando_fuentes21194</t>
  </si>
  <si>
    <t>pedro.acosta1958@diabunter.co</t>
  </si>
  <si>
    <t>josericardo_gonzales25948</t>
  </si>
  <si>
    <t>jose.arias1971@ebrietas.co</t>
  </si>
  <si>
    <t>luisroberto_rueda34559</t>
  </si>
  <si>
    <t>luis.reyes1994@elsinsonte.co</t>
  </si>
  <si>
    <t>rubenrodrigo_navarro25165</t>
  </si>
  <si>
    <t>ruben.osorio1968@enigmaserver.co</t>
  </si>
  <si>
    <t>juansalvador_montes34232</t>
  </si>
  <si>
    <t>juan.bravo1993@hocknas.co</t>
  </si>
  <si>
    <t>luissamuel_arenas28254</t>
  </si>
  <si>
    <t>luis.diaz1977@hostedoceri.co</t>
  </si>
  <si>
    <t>tomassantiago_fonseca24980</t>
  </si>
  <si>
    <t>tomas.velasco1968@libertas.com.co</t>
  </si>
  <si>
    <t>luisjose_leon21278</t>
  </si>
  <si>
    <t>luis.aguilar1958@nascitur.com.co</t>
  </si>
  <si>
    <t>jhonalexander_estrada33922</t>
  </si>
  <si>
    <t>jhon.mendoza1992@nemesis.ml</t>
  </si>
  <si>
    <t>santiagofelipe_sepulveda34322</t>
  </si>
  <si>
    <t>santiago.pacheco1993@nunquam.com.co</t>
  </si>
  <si>
    <t>sergiogustavo_barrios32398</t>
  </si>
  <si>
    <t>sergio.uribe1988@sempiternam.co</t>
  </si>
  <si>
    <t>tomasaurelio_pacheco30301</t>
  </si>
  <si>
    <t>tomas.narvaez1982@sk9.co</t>
  </si>
  <si>
    <t>andresguillermo_ortiz26630</t>
  </si>
  <si>
    <t>andres.parra1972@socialmediacolombia.com.co</t>
  </si>
  <si>
    <t>vicentejavier_giraldo24349</t>
  </si>
  <si>
    <t>vicente.molina1966@tecnicoensistemas.com.co</t>
  </si>
  <si>
    <t>miguelangel_diaz21734</t>
  </si>
  <si>
    <t>miguel.quintero1959@totum.com.co</t>
  </si>
  <si>
    <t>danieladrian_acevedo31881</t>
  </si>
  <si>
    <t>daniel.moreno1987@voipcolombia.co</t>
  </si>
  <si>
    <t>jesusmaria_montoya26503</t>
  </si>
  <si>
    <t>jesus.contreras1972@vpncolombia.com.co</t>
  </si>
  <si>
    <t>josepablo_marin29613</t>
  </si>
  <si>
    <t>jose.castro1981@auribus.com.co</t>
  </si>
  <si>
    <t>luisaloso_londono26653</t>
  </si>
  <si>
    <t>luis.mora1972@colamus.co</t>
  </si>
  <si>
    <t>carlosalberto_mora33090</t>
  </si>
  <si>
    <t>carlos.torres1990@colombiamail.co</t>
  </si>
  <si>
    <t>juliocesar_perez29047</t>
  </si>
  <si>
    <t>julio.giraldo1979@diabunter.co</t>
  </si>
  <si>
    <t>josecarlos_paez29169</t>
  </si>
  <si>
    <t>jose.mercado1979@ebrietas.co</t>
  </si>
  <si>
    <t>miguelangel_vasquez27654</t>
  </si>
  <si>
    <t>miguel.meza1975@elsinsonte.co</t>
  </si>
  <si>
    <t>luisalberto_sarmiento36875</t>
  </si>
  <si>
    <t>luis.carvajal2000@enigmaserver.co</t>
  </si>
  <si>
    <t>luisfernando_soto35314</t>
  </si>
  <si>
    <t>luis.padilla1996@hocknas.co</t>
  </si>
  <si>
    <t>luiscarlos_aguilar36947</t>
  </si>
  <si>
    <t>luis.ramos2001@hostedoceri.co</t>
  </si>
  <si>
    <t>juanjose_cardenas37589</t>
  </si>
  <si>
    <t>juan.franco2002@libertas.com.co</t>
  </si>
  <si>
    <t>josejulian_amaya28665</t>
  </si>
  <si>
    <t>jose.palacio1978@nascitur.com.co</t>
  </si>
  <si>
    <t>marcofabricio_suarez31339</t>
  </si>
  <si>
    <t>marco.angulo1985@nemesis.ml</t>
  </si>
  <si>
    <t>josesantiago_jaramillo29849</t>
  </si>
  <si>
    <t>jose.silva1981@nunquam.com.co</t>
  </si>
  <si>
    <t>carlosdanilo_zambrano36436</t>
  </si>
  <si>
    <t>carlos.carrillo1999@sempiternam.co</t>
  </si>
  <si>
    <t>brunomarcelo_hurtado26683</t>
  </si>
  <si>
    <t>bruno.vasquez1973@sk9.co</t>
  </si>
  <si>
    <t>dylanabel_bohorquez31310</t>
  </si>
  <si>
    <t>dylan.toro1985@socialmediacolombia.com.co</t>
  </si>
  <si>
    <t>ianalexander_palacio35071</t>
  </si>
  <si>
    <t>ian.cardona1996@tecnicoensistemas.com.co</t>
  </si>
  <si>
    <t>joseemiliano_molina32379</t>
  </si>
  <si>
    <t>jose.bolanos1988@totum.com.co</t>
  </si>
  <si>
    <t>simonmateo_escobar35279</t>
  </si>
  <si>
    <t>simon.zuniga1996@voipcolombia.co</t>
  </si>
  <si>
    <t>luisarmando_arrieta32637</t>
  </si>
  <si>
    <t>luis.murillo1989@vpncolombia.com.co</t>
  </si>
  <si>
    <t>ivanalejandro_hoyos27621</t>
  </si>
  <si>
    <t>ivan.betancur1975@auribus.com.co</t>
  </si>
  <si>
    <t>edgararturo_rincon36400</t>
  </si>
  <si>
    <t>edgar.mendez1999@colamus.co</t>
  </si>
  <si>
    <t>victormanuel_palacios30466</t>
  </si>
  <si>
    <t>victor.cardenas1983@colombiamail.co</t>
  </si>
  <si>
    <t>jorgemario_zuniga31869</t>
  </si>
  <si>
    <t>jorge.rodriguez1987@diabunter.co</t>
  </si>
  <si>
    <t>carlosenrique_vega33217</t>
  </si>
  <si>
    <t>carlos.meneses1990@ebrietas.co</t>
  </si>
  <si>
    <t>sofiahelena_perez36937</t>
  </si>
  <si>
    <t>sofia.rincon2001@auribus.com.co</t>
  </si>
  <si>
    <t>mariacristina_rondon34479</t>
  </si>
  <si>
    <t>maria.castilla1994@colamus.co</t>
  </si>
  <si>
    <t>mariaalejandra_silva31517</t>
  </si>
  <si>
    <t>maria.castaneda1986@colombiamail.co</t>
  </si>
  <si>
    <t>sandramilena_ramirez34862</t>
  </si>
  <si>
    <t>sandra.ramos1995@diabunter.co</t>
  </si>
  <si>
    <t>yolandamaria_sanchez30905</t>
  </si>
  <si>
    <t>yolanda.bolanos1984@ebrietas.co</t>
  </si>
  <si>
    <t>ceciliaines_hernandez29182</t>
  </si>
  <si>
    <t>cecilia.plazas1979@elsinsonte.co</t>
  </si>
  <si>
    <t>yuliethcamila_diaz29927</t>
  </si>
  <si>
    <t>yulieth.baron1981@enigmaserver.co</t>
  </si>
  <si>
    <t>miriamtatiana_perez34818</t>
  </si>
  <si>
    <t>miriam.gomez1995@hocknas.co</t>
  </si>
  <si>
    <t>mariacecilia_cubillos32625</t>
  </si>
  <si>
    <t>maria.toro1989@hostedoceri.co</t>
  </si>
  <si>
    <t>jessicapaola_rojas27247</t>
  </si>
  <si>
    <t>jessica.barragan1974@libertas.com.co</t>
  </si>
  <si>
    <t>juliethstefanny_vargas26890</t>
  </si>
  <si>
    <t>julieth.rueda1973@nascitur.com.co</t>
  </si>
  <si>
    <t>neldaconstanza_moreno28118</t>
  </si>
  <si>
    <t>nelda.gamez1976@nemesis.ml</t>
  </si>
  <si>
    <t>lizetheliana_gutierrez30098</t>
  </si>
  <si>
    <t>lizeth.orjuela1982@nunquam.com.co</t>
  </si>
  <si>
    <t>mariabetty_jimenez30517</t>
  </si>
  <si>
    <t>maria.quinones1983@sempiternam.co</t>
  </si>
  <si>
    <t>sandrapatricia_munoz35538</t>
  </si>
  <si>
    <t>sandra.torres1997@sk9.co</t>
  </si>
  <si>
    <t>monicaisabel_castro34993</t>
  </si>
  <si>
    <t>monica.cobos1995@socialmediacolombia.com.co</t>
  </si>
  <si>
    <t>mariaaracely_ortiz31042</t>
  </si>
  <si>
    <t>maria.perez1984@tecnicoensistemas.com.co</t>
  </si>
  <si>
    <t>ednarocio_alvarez24553</t>
  </si>
  <si>
    <t>edna.villalba1967@totum.com.co</t>
  </si>
  <si>
    <t>maurenalicia_ruiz26381</t>
  </si>
  <si>
    <t>mauren.paez1972@voipcolombia.co</t>
  </si>
  <si>
    <t>catalinaviacnery_suarez28060</t>
  </si>
  <si>
    <t>catalina.felix1976@vpncolombia.com.co</t>
  </si>
  <si>
    <t>jacquelinevanessa_romero28084</t>
  </si>
  <si>
    <t>jacqueline.evans1976@auribus.com.co</t>
  </si>
  <si>
    <t>adrianalucia_herrera27964</t>
  </si>
  <si>
    <t>adriana.rengifo1976@colamus.co</t>
  </si>
  <si>
    <t>camilatatiana_valencia24639</t>
  </si>
  <si>
    <t>camila.quintero1967@colombiamail.co</t>
  </si>
  <si>
    <t>lesslylorena_quintero23623</t>
  </si>
  <si>
    <t>lessly.gonzalez1964@diabunter.co</t>
  </si>
  <si>
    <t>lucyelizabeth_restrepo25880</t>
  </si>
  <si>
    <t>lucy.lopez1970@ebrietas.co</t>
  </si>
  <si>
    <t>mariateresa_giraldo28412</t>
  </si>
  <si>
    <t>maria.prada1977@elsinsonte.co</t>
  </si>
  <si>
    <t>jenniferalexandra_morales30048</t>
  </si>
  <si>
    <t>jennifer.castro1982@enigmaserver.co</t>
  </si>
  <si>
    <t>carmenrocio_mejia28361</t>
  </si>
  <si>
    <t>carmen.caycedo1977@hocknas.co</t>
  </si>
  <si>
    <t>laurayesenia_arias27566</t>
  </si>
  <si>
    <t>laura.delgado1975@hostedoceri.co</t>
  </si>
  <si>
    <t>jazminsofia_parra29193</t>
  </si>
  <si>
    <t>jazmin.medina1979@libertas.com.co</t>
  </si>
  <si>
    <t>nubiaomaira_jaramillo30685</t>
  </si>
  <si>
    <t>nubia.molano1984@nascitur.com.co</t>
  </si>
  <si>
    <t>vianiskatherine_cardenas31004</t>
  </si>
  <si>
    <t>vianis.silva1984@nemesis.ml</t>
  </si>
  <si>
    <t>paulaandrea_osorio27526</t>
  </si>
  <si>
    <t>paula.prado1975@nunquam.com.co</t>
  </si>
  <si>
    <t>stellapatricia_castillo29612</t>
  </si>
  <si>
    <t>stella.bautista1981@sempiternam.co</t>
  </si>
  <si>
    <t>jennycarolina_salazar29511</t>
  </si>
  <si>
    <t>jenny.paredes1980@sk9.co</t>
  </si>
  <si>
    <t>xiomaramaria_cardona26180</t>
  </si>
  <si>
    <t>xiomara.jurado1971@socialmediacolombia.com.co</t>
  </si>
  <si>
    <t>ingridlorena_florez29009</t>
  </si>
  <si>
    <t>ingrid.angarita1979@tecnicoensistemas.com.co</t>
  </si>
  <si>
    <t>luzmelissa_medina25457</t>
  </si>
  <si>
    <t>luz.castro1969@totum.com.co</t>
  </si>
  <si>
    <t>lauracatalina_rivera27284</t>
  </si>
  <si>
    <t>laura.benavidez1974@voipcolombia.co</t>
  </si>
  <si>
    <t>johannaandrea_montoya29715</t>
  </si>
  <si>
    <t>johanna.franco1981@vpncolombia.com.co</t>
  </si>
  <si>
    <t>luzmarina_cortes27023</t>
  </si>
  <si>
    <t>luz.buitrago1973@auribus.com.co</t>
  </si>
  <si>
    <t>dianapatricia_correa20879</t>
  </si>
  <si>
    <t>diana.pineda1957@colamus.co</t>
  </si>
  <si>
    <t>sthelajacinta_marin25334</t>
  </si>
  <si>
    <t>sthela.gomez1969@colombiamail.co</t>
  </si>
  <si>
    <t>mariasocorro_rincon22911</t>
  </si>
  <si>
    <t>maria.galeano1962@diabunter.co</t>
  </si>
  <si>
    <t>yenifferpaola_zapata33848</t>
  </si>
  <si>
    <t>yeniffer.martinez1992@ebrietas.co</t>
  </si>
  <si>
    <t>marielavalentina_escobar28424</t>
  </si>
  <si>
    <t>mariela.valero1977@elsinsonte.co</t>
  </si>
  <si>
    <t>nardamilena_velasquez26168</t>
  </si>
  <si>
    <t>narda.garavito1971@enigmaserver.co</t>
  </si>
  <si>
    <t>monicajohanna_gomez36452</t>
  </si>
  <si>
    <t>monica.santanilla1999@hocknas.co</t>
  </si>
  <si>
    <t>leidyjohana_plazas36633</t>
  </si>
  <si>
    <t>leidy.velez2000@hostedoceri.co</t>
  </si>
  <si>
    <t>dianamaria_gomez36349</t>
  </si>
  <si>
    <t>diana.arango1999@libertas.com.co</t>
  </si>
  <si>
    <t>marthacecilia_baron35411</t>
  </si>
  <si>
    <t>martha.pinzon1996@nascitur.com.co</t>
  </si>
  <si>
    <t>lorenajuliana_castaneda34280</t>
  </si>
  <si>
    <t>lorena.molano1993@nemesis.ml</t>
  </si>
  <si>
    <t>juliethcamila_orjuela35084</t>
  </si>
  <si>
    <t>julieth.cortes1996@nunquam.com.co</t>
  </si>
  <si>
    <t>gloriaastrid_castilla33835</t>
  </si>
  <si>
    <t>gloria.zarate1992@sempiternam.co</t>
  </si>
  <si>
    <t>lisethdaniela_ramos35977</t>
  </si>
  <si>
    <t>liseth.toledo1998@sk9.co</t>
  </si>
  <si>
    <t>paulaandrea_torres36500</t>
  </si>
  <si>
    <t>paula.rodriguez1999@socialmediacolombia.com.co</t>
  </si>
  <si>
    <t>sonialiliana_rueda33858</t>
  </si>
  <si>
    <t>sonia.latorre1992@tecnicoensistemas.com.co</t>
  </si>
  <si>
    <t>johannacamila_barragan36198</t>
  </si>
  <si>
    <t>johanna.castillo1999@totum.com.co</t>
  </si>
  <si>
    <t>claudiapatricia_quinones29530</t>
  </si>
  <si>
    <t>claudia.redondo1980@voipcolombia.co</t>
  </si>
  <si>
    <t>angelakatherin_toro26715</t>
  </si>
  <si>
    <t>angela.rincon1973@vpncolombia.com.co</t>
  </si>
  <si>
    <t>wendylorena_bolanos35772</t>
  </si>
  <si>
    <t>wendy.zamora1997@auribus.com.co</t>
  </si>
  <si>
    <t>ludiviacecilia_aldana36475</t>
  </si>
  <si>
    <t>ludivia.blanco1999@colamus.co</t>
  </si>
  <si>
    <t>adelinasareth_benavidez35448</t>
  </si>
  <si>
    <t>adelina.rodriguez1997@colombiamail.co</t>
  </si>
  <si>
    <t>kellyjhoanna_diaz36404</t>
  </si>
  <si>
    <t>kelly.cuellar1999@diabunter.co</t>
  </si>
  <si>
    <t>andreacarolina_corredor36666</t>
  </si>
  <si>
    <t>andrea.rubio2000@ebrietas.co</t>
  </si>
  <si>
    <t>ximenasocorro_lopez35926</t>
  </si>
  <si>
    <t>ximena.ospina1998@elsinsonte.co</t>
  </si>
  <si>
    <t>martharocio_valderrama32586</t>
  </si>
  <si>
    <t>martha.orozco1989@enigmaserver.co</t>
  </si>
  <si>
    <t>veronicayulieth_cordoba36441</t>
  </si>
  <si>
    <t>veronica.avila1999@hocknas.co</t>
  </si>
  <si>
    <t>nathaliacarolina_garzon36452</t>
  </si>
  <si>
    <t>nathalia.montoya1999@hostedoceri.co</t>
  </si>
  <si>
    <t>erikadaniela_mosquera36633</t>
  </si>
  <si>
    <t>erika.contreras2000@libertas.com.co</t>
  </si>
  <si>
    <t>marianavictoria_isaza36349</t>
  </si>
  <si>
    <t>mariana.contreras1999@nascitur.com.co</t>
  </si>
  <si>
    <t>dianaaurora_zuniga35411</t>
  </si>
  <si>
    <t>diana.jaramillo1996@nemesis.ml</t>
  </si>
  <si>
    <t>angelaines_gil34280</t>
  </si>
  <si>
    <t>angela.velandia1993@nunquam.com.co</t>
  </si>
  <si>
    <t>nohorasusana_ortiz35084</t>
  </si>
  <si>
    <t>nohora.caballero1996@sempiternam.co</t>
  </si>
  <si>
    <t>leydicarmen_callejas33835</t>
  </si>
  <si>
    <t>leydi.torres1992@sk9.co</t>
  </si>
  <si>
    <t>yormarypatricia_coronado35977</t>
  </si>
  <si>
    <t>yormary.matiz1998@socialmediacolombia.com.co</t>
  </si>
  <si>
    <t>catalinaamparo_herrera36500</t>
  </si>
  <si>
    <t>catalina.gomez1999@tecnicoensistemas.com.co</t>
  </si>
  <si>
    <t>nataliaemilia_mosquera33858</t>
  </si>
  <si>
    <t>natalia.carriazo1992@totum.com.co</t>
  </si>
  <si>
    <t>mariaolga_ramirez36198</t>
  </si>
  <si>
    <t>maria.sanabria1999@voipcolombia.co</t>
  </si>
  <si>
    <t>ednaalejandra_zapata29530</t>
  </si>
  <si>
    <t>edna.quiroga1980@vpncolombia.com.co</t>
  </si>
  <si>
    <t>marthamartina_hoyos26715</t>
  </si>
  <si>
    <t>martha.neira1973@auribus.com.co</t>
  </si>
  <si>
    <t>claudiaibeth_jimenez35772</t>
  </si>
  <si>
    <t>claudia.murillo1997@colamus.co</t>
  </si>
  <si>
    <t>johannateresa_rodriguez36475</t>
  </si>
  <si>
    <t>johanna.munoz1999@colombiamail.co</t>
  </si>
  <si>
    <t>fernandacecilia_salazar27166</t>
  </si>
  <si>
    <t>fernanda.sierra1974@diabunter.co</t>
  </si>
  <si>
    <t>sandrayaneth_vargas26573</t>
  </si>
  <si>
    <t>sandra.quiroga1972@ebrietas.co</t>
  </si>
  <si>
    <t>marcelaandrea_beltran29816</t>
  </si>
  <si>
    <t>marcela.osorio1981@elsinsonte.co</t>
  </si>
  <si>
    <t>andreacristina_garcia27539</t>
  </si>
  <si>
    <t>andrea.oviedo1975@enigmaserver.co</t>
  </si>
  <si>
    <t>andrealucia_bernal30823</t>
  </si>
  <si>
    <t>andrea.gomez1984@hocknas.co</t>
  </si>
  <si>
    <t>angeladolores_zuluaga30824</t>
  </si>
  <si>
    <t>angela.sierra1984@hostedoceri.co</t>
  </si>
  <si>
    <t>mariajose_carreno28200</t>
  </si>
  <si>
    <t>maria.gomez1977@libertas.com.co</t>
  </si>
  <si>
    <t>mariaisabel_perez28213</t>
  </si>
  <si>
    <t>maria.espitia1977@nascitur.com.co</t>
  </si>
  <si>
    <t>nubiaisabella_molina32255</t>
  </si>
  <si>
    <t>nubia.garzon1988@nemesis.ml</t>
  </si>
  <si>
    <t>katerinlucia_carabali32196</t>
  </si>
  <si>
    <t>katerin.acosta1988@nunquam.com.co</t>
  </si>
  <si>
    <t>elizabethpilar_soto30199</t>
  </si>
  <si>
    <t>elizabeth.delgado1982@sempiternam.co</t>
  </si>
  <si>
    <t>danielaraquel_cubillos31268</t>
  </si>
  <si>
    <t>daniela.fajardo1985@sk9.co</t>
  </si>
  <si>
    <t>mariacarmen_cruz29165</t>
  </si>
  <si>
    <t>maria.zuluaga1979@socialmediacolombia.com.co</t>
  </si>
  <si>
    <t>elizabethconstanza_vasquez30321</t>
  </si>
  <si>
    <t>elizabeth.alfaro1983@tecnicoensistemas.com.co</t>
  </si>
  <si>
    <t>claudiajosefa_cortes25079</t>
  </si>
  <si>
    <t>claudia.jurado1968@totum.com.co</t>
  </si>
  <si>
    <t>milenaangela_gonzalez27642</t>
  </si>
  <si>
    <t>milena.dayana1975@voipcolombia.co</t>
  </si>
  <si>
    <t>marthadolores_rico27179</t>
  </si>
  <si>
    <t>martha.nino1974@vpncolombia.com.co</t>
  </si>
  <si>
    <t>nicollucia_bohorquez26287</t>
  </si>
  <si>
    <t>nicol.marin1971@auribus.com.co</t>
  </si>
  <si>
    <t>marthacarvajal_rueda27107</t>
  </si>
  <si>
    <t>martha.aldana1974@colamus.co</t>
  </si>
  <si>
    <t>mariaximena_medina34975</t>
  </si>
  <si>
    <t>maria.vargas1995@colombiamail.co</t>
  </si>
  <si>
    <t>andreaconcepcion_ramirez23361</t>
  </si>
  <si>
    <t>andrea.sarmiento1963@diabunter.co</t>
  </si>
  <si>
    <t>mariamanuela_narino28829</t>
  </si>
  <si>
    <t>maria.segura1978@ebrietas.co</t>
  </si>
  <si>
    <t>andreaelena_urazan26278</t>
  </si>
  <si>
    <t>andrea.varela1971@elsinsonte.co</t>
  </si>
  <si>
    <t>mariateresa_borja25676</t>
  </si>
  <si>
    <t>maria.espitia1970@enigmaserver.co</t>
  </si>
  <si>
    <t>rosamaria_paez36500</t>
  </si>
  <si>
    <t>rosa.cely1999@hocknas.co</t>
  </si>
  <si>
    <t>luzmonserrat_hernandez29364</t>
  </si>
  <si>
    <t>luz.murcia1980@hostedoceri.co</t>
  </si>
  <si>
    <t>carolinanuria_camacho25260</t>
  </si>
  <si>
    <t>carolina.ortegon1969@libertas.com.co</t>
  </si>
  <si>
    <t>anaxiomara_alarcon23846</t>
  </si>
  <si>
    <t>ana.forero1965@nascitur.com.co</t>
  </si>
  <si>
    <t>janethalba_buitrago35411</t>
  </si>
  <si>
    <t>janeth.melo1996@nemesis.ml</t>
  </si>
  <si>
    <t>gabrielaelena_becerra27787</t>
  </si>
  <si>
    <t>gabriela.cespedes1976@nunquam.com.co</t>
  </si>
  <si>
    <t>clemenciaencarnacion_avila31248</t>
  </si>
  <si>
    <t>clemencia.corredor1985@sempiternam.co</t>
  </si>
  <si>
    <t>leidylucia_martinez35399</t>
  </si>
  <si>
    <t>leidy.murcia1996@sk9.co</t>
  </si>
  <si>
    <t>lauravanessa_millan29975</t>
  </si>
  <si>
    <t>laura.bernate1982@socialmediacolombia.com.co</t>
  </si>
  <si>
    <t>edithmarcela_garcia26802</t>
  </si>
  <si>
    <t>edith.beltran1973@tecnicoensistemas.com.co</t>
  </si>
  <si>
    <t>luzesperanza_cortes24249</t>
  </si>
  <si>
    <t>luz.sanchez1966@totum.com.co</t>
  </si>
  <si>
    <t>carolinevictoria_velandia27423</t>
  </si>
  <si>
    <t>caroline.camacho1975@voipcolombia.co</t>
  </si>
  <si>
    <t>nelsymaria_cabrera28140</t>
  </si>
  <si>
    <t>nelsy.rojas1977@vpncolombia.com.co</t>
  </si>
  <si>
    <t>irabeatriz_rivera27773</t>
  </si>
  <si>
    <t>ira.diaz1976@auribus.com.co</t>
  </si>
  <si>
    <t>anamaria_correa26919</t>
  </si>
  <si>
    <t>ana.diaz1973@colamus.co</t>
  </si>
  <si>
    <t>marienrocio_aguilar29146</t>
  </si>
  <si>
    <t>marien.lopez1979@colombiamail.co</t>
  </si>
  <si>
    <t>ginnagisell_ronderos25401</t>
  </si>
  <si>
    <t>ginna.soto1969@diabunter.co</t>
  </si>
  <si>
    <t>saracatalina_rodriguez31142</t>
  </si>
  <si>
    <t>sara.villate1985@ebrietas.co</t>
  </si>
  <si>
    <t>yurypaola_lesmes26400</t>
  </si>
  <si>
    <t>yury.castro1972@elsinsonte.co</t>
  </si>
  <si>
    <t>albalucia_garavito24175</t>
  </si>
  <si>
    <t>alba.bohorquez1966@enigmaserver.co</t>
  </si>
  <si>
    <t>marcelaalejandra_pinto32805</t>
  </si>
  <si>
    <t>marcela.pineda1989@hocknas.co</t>
  </si>
  <si>
    <t>luisaviviana_munoz26163</t>
  </si>
  <si>
    <t>luisa.pineres1971@hostedoceri.co</t>
  </si>
  <si>
    <t>monicagisell_castro29526</t>
  </si>
  <si>
    <t>monica.martinez1980@libertas.com.co</t>
  </si>
  <si>
    <t>dianaalejandra_ortiz27965</t>
  </si>
  <si>
    <t>diana.rodriguez1976@nascitur.com.co</t>
  </si>
  <si>
    <t>geraldineamanda_alvarez31646</t>
  </si>
  <si>
    <t>geraldine.rojas1986@nemesis.ml</t>
  </si>
  <si>
    <t>angiemaritza_ruiz28836</t>
  </si>
  <si>
    <t>angie.trujillo1978@nunquam.com.co</t>
  </si>
  <si>
    <t>jeanetheester_suarez29382</t>
  </si>
  <si>
    <t>jeanethe.quiroga1980@sempiternam.co</t>
  </si>
  <si>
    <t>sarasofia_romero31255</t>
  </si>
  <si>
    <t>sara.urdaneta1985@sk9.co</t>
  </si>
  <si>
    <t>mariaconstanza_herrera28092</t>
  </si>
  <si>
    <t>maria.gutierrez1976@socialmediacolombia.com.co</t>
  </si>
  <si>
    <t>jeimyalexandra_valencia30666</t>
  </si>
  <si>
    <t>jeimy.ruiz1983@tecnicoensistemas.com.co</t>
  </si>
  <si>
    <t>mariaaixa_quintero30757</t>
  </si>
  <si>
    <t>maria.gonzalez1984@totum.com.co</t>
  </si>
  <si>
    <t>dayannayurley_restrepo31449</t>
  </si>
  <si>
    <t>dayanna.mera1986@voipcolombia.co</t>
  </si>
  <si>
    <t>patriciayovana_rodriguez30696</t>
  </si>
  <si>
    <t>patricia.sosa1984@vpncolombia.com.co</t>
  </si>
  <si>
    <t>karolvanessa_jaimes25007</t>
  </si>
  <si>
    <t>karol.prada1968@auribus.com.co</t>
  </si>
  <si>
    <t>paolaesther_arboleda24680</t>
  </si>
  <si>
    <t>paola.betancur1967@colamus.co</t>
  </si>
  <si>
    <t>renataisabella_henao26805</t>
  </si>
  <si>
    <t>renata.diaz1973@colombiamail.co</t>
  </si>
  <si>
    <t>emmavalentina_mesa31824</t>
  </si>
  <si>
    <t>emma.garcia1987@diabunter.co</t>
  </si>
  <si>
    <t>mariajose_montoya33179</t>
  </si>
  <si>
    <t>maria.vergara1990@ebrietas.co</t>
  </si>
  <si>
    <t>agustinaignacia_amaya37238</t>
  </si>
  <si>
    <t>agustina.patino2001@elsinsonte.co</t>
  </si>
  <si>
    <t>mariaalejandra_jaramillo30194</t>
  </si>
  <si>
    <t>maria.vasquez1982@enigmaserver.co</t>
  </si>
  <si>
    <t>dulcemaria_polo25462</t>
  </si>
  <si>
    <t>dulce.reyes1969@hocknas.co</t>
  </si>
  <si>
    <t>mariafernanda_palacio28801</t>
  </si>
  <si>
    <t>maria.mercado1978@hostedoceri.co</t>
  </si>
  <si>
    <t>josefaignacia_bravo25758</t>
  </si>
  <si>
    <t>josefa.suarez1970@libertas.com.co</t>
  </si>
  <si>
    <t>miaisabella_solano33352</t>
  </si>
  <si>
    <t>mia.trujillo1991@nascitur.com.co</t>
  </si>
  <si>
    <t>anavictoria_zuniga26604</t>
  </si>
  <si>
    <t>ana.herrera1972@nemesis.ml</t>
  </si>
  <si>
    <t>mariasofia_cano29758</t>
  </si>
  <si>
    <t>maria.salazar1981@nunquam.com.co</t>
  </si>
  <si>
    <t>isabellavalentina_ortega29259</t>
  </si>
  <si>
    <t>isabella.aguilar1980@sempiternam.co</t>
  </si>
  <si>
    <t>miavictoria_marquez26811</t>
  </si>
  <si>
    <t>mia.barrera1973@sk9.co</t>
  </si>
  <si>
    <t>victoriaisabella_castaneda24833</t>
  </si>
  <si>
    <t>victoria.paez1967@socialmediacolombia.com.co</t>
  </si>
  <si>
    <t>emmalucia_mejia34150</t>
  </si>
  <si>
    <t>emma.solano1993@tecnicoensistemas.com.co</t>
  </si>
  <si>
    <t>mariavalentina_miranda26680</t>
  </si>
  <si>
    <t>maria.buitrago1973@totum.com.co</t>
  </si>
  <si>
    <t>analucia_florez37141</t>
  </si>
  <si>
    <t>ana.calderon2001@voipcolombia.co</t>
  </si>
  <si>
    <t>mariaemilia_castro30638</t>
  </si>
  <si>
    <t>maria.ochoa1983@vpncolombia.com.co</t>
  </si>
  <si>
    <t>dannaisabella_duran28274</t>
  </si>
  <si>
    <t>danna.galeano1977@auribus.com.co</t>
  </si>
  <si>
    <t>mariaceleste_carvajal36840</t>
  </si>
  <si>
    <t>maria.delgado2000@colamus.co</t>
  </si>
  <si>
    <t>mariaisabel_sarmiento25632</t>
  </si>
  <si>
    <t>maria.espinosa1970@colombiamail.co</t>
  </si>
  <si>
    <t>mariajesus_garzon31934</t>
  </si>
  <si>
    <t>maria.nunez1987@diabunter.co</t>
  </si>
  <si>
    <t>dannavalentina_salazar35128</t>
  </si>
  <si>
    <t>danna.gonzales1996@ebrietas.co</t>
  </si>
  <si>
    <t>mariacamila_vanegas34300</t>
  </si>
  <si>
    <t>maria.fonseca1993@elsinsonte.co</t>
  </si>
  <si>
    <t>sarahvalentina_guerrero29053</t>
  </si>
  <si>
    <t>sarah.perez1979@enigmaserver.co</t>
  </si>
  <si>
    <t>sarahelena_bermudez34734</t>
  </si>
  <si>
    <t>sarah.meza1995@hocknas.co</t>
  </si>
  <si>
    <t>miavalentina_castillo26228</t>
  </si>
  <si>
    <t>mia.pinzon1971@hostedoceri.co</t>
  </si>
  <si>
    <t>mariaantonia_galvis27190</t>
  </si>
  <si>
    <t>maria.meneses1974@libertas.com.co</t>
  </si>
  <si>
    <t>mariapaz_estrada27712</t>
  </si>
  <si>
    <t>maria.ramirez1975@nascitur.com.co</t>
  </si>
  <si>
    <t>sarasofia_vasquez35667</t>
  </si>
  <si>
    <t>sara.romero1997@nemesis.ml</t>
  </si>
  <si>
    <t>victoriapaola_arias32834</t>
  </si>
  <si>
    <t>victoria.rincon1989@nunquam.com.co</t>
  </si>
  <si>
    <t>paulasofia_velasco33988</t>
  </si>
  <si>
    <t>paula.bohorquez1993@sempiternam.co</t>
  </si>
  <si>
    <t>zoevalentina_ariza36606</t>
  </si>
  <si>
    <t>zoe.campo2000@sk9.co</t>
  </si>
  <si>
    <t>miafernanda_meza33581</t>
  </si>
  <si>
    <t>mia.polo1991@socialmediacolombia.com.co</t>
  </si>
  <si>
    <t>victoriamargarita_figueroa32490</t>
  </si>
  <si>
    <t>victoria.becerra1988@tecnicoensistemas.com.co</t>
  </si>
  <si>
    <t>mariapaula_hoyos28436</t>
  </si>
  <si>
    <t>maria.ortega1977@totum.com.co</t>
  </si>
  <si>
    <t>luisafernanda_orozco26981</t>
  </si>
  <si>
    <t>luisa.caro1973@voipcolombia.co</t>
  </si>
  <si>
    <t>anamaria_cardenas29331</t>
  </si>
  <si>
    <t>ana.vargas1980@vpncolombia.com.co</t>
  </si>
  <si>
    <t>sofiaisabella_nino35720</t>
  </si>
  <si>
    <t>sofia.cortes1997@auribus.com.co</t>
  </si>
  <si>
    <t>emmaisabella_angulo32091</t>
  </si>
  <si>
    <t>emma.rios1987@colamus.co</t>
  </si>
  <si>
    <t>victoriamargarita_molina32301</t>
  </si>
  <si>
    <t>victoria.florez1988@colombiamail.co</t>
  </si>
  <si>
    <t>sofiavalentina_pena30100</t>
  </si>
  <si>
    <t>sofia.bedoya1982@diabunter.co</t>
  </si>
  <si>
    <t>paolaesther_giraldo28689</t>
  </si>
  <si>
    <t>paola.salcedo1978@ebrietas.co</t>
  </si>
  <si>
    <t>emiliaignacia_garcia37205</t>
  </si>
  <si>
    <t>emilia.avila2001@elsinsonte.co</t>
  </si>
  <si>
    <t>emmasofia_benavides27290</t>
  </si>
  <si>
    <t>emma.castaneda1974@enigmaserver.co</t>
  </si>
  <si>
    <t>anapaula_fernandez35731</t>
  </si>
  <si>
    <t>ana.pacheco1997@hocknas.co</t>
  </si>
  <si>
    <t>emmavictoria_reyes29369</t>
  </si>
  <si>
    <t>emma.silva1980@hostedoceri.co</t>
  </si>
  <si>
    <t>emilysofia_bohorquez37114</t>
  </si>
  <si>
    <t>emily.zambrano2001@libertas.com.co</t>
  </si>
  <si>
    <t>saraisabella_patino32863</t>
  </si>
  <si>
    <t>sara.arenas1989@nascitur.com.co</t>
  </si>
  <si>
    <t>mariavictoria_hurtado24821</t>
  </si>
  <si>
    <t>maria.rojas1967@nemesis.ml</t>
  </si>
  <si>
    <t>sofiavictoria_cortes34518</t>
  </si>
  <si>
    <t>sofia.gutierrez1994@nunquam.com.co</t>
  </si>
  <si>
    <t>lauramaria_zambrano36575</t>
  </si>
  <si>
    <t>laura.lopez2000@sempiternam.co</t>
  </si>
  <si>
    <t>johanaandrea_silva36813</t>
  </si>
  <si>
    <t>johana.cardona2000@sk9.co</t>
  </si>
  <si>
    <t>luzdary_munoz34699</t>
  </si>
  <si>
    <t>luz.figueroa1994@socialmediacolombia.com.co</t>
  </si>
  <si>
    <t>blancaines_duarte31401</t>
  </si>
  <si>
    <t>blanca.serna1985@tecnicoensistemas.com.co</t>
  </si>
  <si>
    <t>susanafernanda_acevedo27439</t>
  </si>
  <si>
    <t>susana.guevara1975@totum.com.co</t>
  </si>
  <si>
    <t>francyteresa_pinzon24587</t>
  </si>
  <si>
    <t>francy.soto1967@voipcolombia.co</t>
  </si>
  <si>
    <t>sandrapaola_mendez24648</t>
  </si>
  <si>
    <t>sandra.bolanos1967@vpncolombia.com.co</t>
  </si>
  <si>
    <t>mariafernanda_gonzalez36939</t>
  </si>
  <si>
    <t>maria.londono2001@auribus.com.co</t>
  </si>
  <si>
    <t>soniamarcela_guzman32385</t>
  </si>
  <si>
    <t>sonia.perdomo1988@colamus.co</t>
  </si>
  <si>
    <t>mariadolores_pulido36359</t>
  </si>
  <si>
    <t>maria.arias1999@colombiamail.co</t>
  </si>
  <si>
    <t>dorajineth_trujillo25991</t>
  </si>
  <si>
    <t>dora.lozano1971@diabunter.co</t>
  </si>
  <si>
    <t>dianaalejandra_ramirez37419</t>
  </si>
  <si>
    <t>diana.castellanos2002@ebrietas.co</t>
  </si>
  <si>
    <t>myriampaola_gil32929</t>
  </si>
  <si>
    <t>myriam.ortiz1990@elsinsonte.co</t>
  </si>
  <si>
    <t>ivonnemarcela_velez27863</t>
  </si>
  <si>
    <t>ivonne.beltran1976@enigmaserver.co</t>
  </si>
  <si>
    <t>luzmarina_serna36393</t>
  </si>
  <si>
    <t>luz.guzman1999@hocknas.co</t>
  </si>
  <si>
    <t>ginasofia_bonilla27766</t>
  </si>
  <si>
    <t>gina.zapata1976@hostedoceri.co</t>
  </si>
  <si>
    <t>carmenyolanda_sandoval36237</t>
  </si>
  <si>
    <t>carmen.murillo1999@libertas.com.co</t>
  </si>
  <si>
    <t>sandraastrid_carmona32708</t>
  </si>
  <si>
    <t>sandra.alzate1989@nascitur.com.co</t>
  </si>
  <si>
    <t>dulcemaria_mendoza36588</t>
  </si>
  <si>
    <t>dulce.montoya2000@nemesis.ml</t>
  </si>
  <si>
    <t>isabelsofia_rueda31019</t>
  </si>
  <si>
    <t>isabel.correa1984@nunquam.com.co</t>
  </si>
  <si>
    <t>luzhelena_rosero33513</t>
  </si>
  <si>
    <t>luz.pineda1991@sempiternam.co</t>
  </si>
  <si>
    <t>carolinaandrea_hernandez36939</t>
  </si>
  <si>
    <t>carolina.mendez2001@sk9.co</t>
  </si>
  <si>
    <t>nataliavalentina_escobar32550</t>
  </si>
  <si>
    <t>natalia.restrepo1989@socialmediacolombia.com.co</t>
  </si>
  <si>
    <t>mariavictoria_benitez26847</t>
  </si>
  <si>
    <t>maria.munoz1973@tecnicoensistemas.com.co</t>
  </si>
  <si>
    <t>emmapaulina_arenas27004</t>
  </si>
  <si>
    <t>emma.sandoval1973@totum.com.co</t>
  </si>
  <si>
    <t>sandrapatricia_quintero28055</t>
  </si>
  <si>
    <t>sandra.estrada1976@voipcolombia.co</t>
  </si>
  <si>
    <t>marthamargarita_mora26891</t>
  </si>
  <si>
    <t>martha.melo1973@vpncolombia.com.co</t>
  </si>
  <si>
    <t>mariajose_franco33906</t>
  </si>
  <si>
    <t>maria.toro1992@auribus.com.co</t>
  </si>
  <si>
    <t>jessicadaniel_palacios29759</t>
  </si>
  <si>
    <t>jessica.medina1981@colamus.co</t>
  </si>
  <si>
    <t>luisaestefania_uribe35320</t>
  </si>
  <si>
    <t>luisa.angulo1996@colombiamail.co</t>
  </si>
  <si>
    <t>gisellapaola_vargas32490</t>
  </si>
  <si>
    <t>gisella.daza1988@diabunter.co</t>
  </si>
  <si>
    <t>paulalucia_calderon27589</t>
  </si>
  <si>
    <t>paula.mosquera1975@ebrietas.co</t>
  </si>
  <si>
    <t>lauracamila_daza30277</t>
  </si>
  <si>
    <t>laura.sierra1982@elsinsonte.co</t>
  </si>
  <si>
    <t>orianaalejandra_vergara36774</t>
  </si>
  <si>
    <t>oriana.pulido2000@enigmaserver.co</t>
  </si>
  <si>
    <t>marianateresa_leon37582</t>
  </si>
  <si>
    <t>mariana.morales2002@hocknas.co</t>
  </si>
  <si>
    <t>dorajosefina_mosquera34232</t>
  </si>
  <si>
    <t>dora.molina1993@hostedoceri.co</t>
  </si>
  <si>
    <t>danielaalexandra_agudelo29984</t>
  </si>
  <si>
    <t>daniela.cabrera1982@libertas.com.co</t>
  </si>
  <si>
    <t>olivajazmin_barrios31186</t>
  </si>
  <si>
    <t>oliva.rueda1985@nascitur.com.co</t>
  </si>
  <si>
    <t>linabelen_bedoya37204</t>
  </si>
  <si>
    <t>lina.bermudez2001@nemesis.ml</t>
  </si>
  <si>
    <t>nadiacristina_ayala30169</t>
  </si>
  <si>
    <t>nadia.cifuentes1982@nunquam.com.co</t>
  </si>
  <si>
    <t>miacamila_moreno26220</t>
  </si>
  <si>
    <t>mia.gallego1971@sempiternam.co</t>
  </si>
  <si>
    <t>sandrapatricia_camargo37344</t>
  </si>
  <si>
    <t>sandra.arevalo2002@sk9.co</t>
  </si>
  <si>
    <t>laurasofia_alzate28354</t>
  </si>
  <si>
    <t>laura.valencia1977@socialmediacolombia.com.co</t>
  </si>
  <si>
    <t>tatianamaria_vega26916</t>
  </si>
  <si>
    <t>tatiana.amaya1973@tecnicoensistemas.com.co</t>
  </si>
  <si>
    <t>claudiavictoria_bolanos37342</t>
  </si>
  <si>
    <t>claudia.guerra2002@totum.com.co</t>
  </si>
  <si>
    <t>aliciamaria_camacho27073</t>
  </si>
  <si>
    <t>alicia.forero1974@voipcolombia.co</t>
  </si>
  <si>
    <t>juanavalentina_avila36782</t>
  </si>
  <si>
    <t>juana.pena2000@vpncolombia.com.co</t>
  </si>
  <si>
    <t>piedaddel carmen_nunez25931</t>
  </si>
  <si>
    <t>piedad.cruz1970@auribus.com.co</t>
  </si>
  <si>
    <t>olgamaria_ramos37066</t>
  </si>
  <si>
    <t>olga.torres2001@colamus.co</t>
  </si>
  <si>
    <t>carolliliana_villa29734</t>
  </si>
  <si>
    <t>carol.cano1981@colombiamail.co</t>
  </si>
  <si>
    <t>gloriaandrea_cabrera24741</t>
  </si>
  <si>
    <t>gloria.bonilla1967@diabunter.co</t>
  </si>
  <si>
    <t>margotsoraya_jimenez35087</t>
  </si>
  <si>
    <t>margot.aguirre1996@ebrietas.co</t>
  </si>
  <si>
    <t>ingridlorena_espinosa30475</t>
  </si>
  <si>
    <t>ingrid.duran1983@elsinsonte.co</t>
  </si>
  <si>
    <t>claudialucia_ordonez35093</t>
  </si>
  <si>
    <t>claudia.ordonez1996@enigmaserver.co</t>
  </si>
  <si>
    <t>sofiahelena_acosta31192</t>
  </si>
  <si>
    <t>sofia.carmona1985@hocknas.co</t>
  </si>
  <si>
    <t>karensofia_aguilar31092</t>
  </si>
  <si>
    <t>karen.gil1985@hostedoceri.co</t>
  </si>
  <si>
    <t>mariafernanda_jaimes32767</t>
  </si>
  <si>
    <t>maria.gomez1989@libertas.com.co</t>
  </si>
  <si>
    <t>nelcymaria_aguirre37133</t>
  </si>
  <si>
    <t>nelcy.blanco2001@nascitur.com.co</t>
  </si>
  <si>
    <t>analucrecia_lopez29322</t>
  </si>
  <si>
    <t>ana.ramos1980@nemesis.ml</t>
  </si>
  <si>
    <t>claudiapatricia_arevalo24593</t>
  </si>
  <si>
    <t>claudia.sarmiento1967@nunquam.com.co</t>
  </si>
  <si>
    <t>barbaraliseht_perdomo28245</t>
  </si>
  <si>
    <t>barbara.hoyos1977@sempiternam.co</t>
  </si>
  <si>
    <t>luisaestefania_romero30423</t>
  </si>
  <si>
    <t>luisa.bernal1983@sk9.co</t>
  </si>
  <si>
    <t>paolaroxana_arango37429</t>
  </si>
  <si>
    <t>paola.arboleda2002@socialmediacolombia.com.co</t>
  </si>
  <si>
    <t>anamercedes_martinez33368</t>
  </si>
  <si>
    <t>ana.acosta1991@tecnicoensistemas.com.co</t>
  </si>
  <si>
    <t>fridasofia_gomez24624</t>
  </si>
  <si>
    <t>frida.ayala1967@totum.com.co</t>
  </si>
  <si>
    <t>olgaaleida_rojas30125</t>
  </si>
  <si>
    <t>olga.mendoza1982@voipcolombia.co</t>
  </si>
  <si>
    <t>carmenvictoria_melo33649</t>
  </si>
  <si>
    <t>carmen.ocampo1992@vpncolombia.com.co</t>
  </si>
  <si>
    <t>claraelisa_betancur26738</t>
  </si>
  <si>
    <t>clara.giraldo1973@auribus.com.co</t>
  </si>
  <si>
    <t>camiladel pilar_londono27610</t>
  </si>
  <si>
    <t>camila.benavides1975@colamus.co</t>
  </si>
  <si>
    <t>virginiapaola_sepulveda36139</t>
  </si>
  <si>
    <t>virginia.orozco1998@colombiamail.co</t>
  </si>
  <si>
    <t>dannamichele_ruiz33852</t>
  </si>
  <si>
    <t>danna.carrillo1992@diabunter.co</t>
  </si>
  <si>
    <t>karenandrea_fuentes31973</t>
  </si>
  <si>
    <t>karen.mesa1987@ebrietas.co</t>
  </si>
  <si>
    <t>paulaisabel_guerra25248</t>
  </si>
  <si>
    <t>paula.mora1969@elsinsonte.co</t>
  </si>
  <si>
    <t>mabelnicol_cruz36366</t>
  </si>
  <si>
    <t>mabel.castro1999@enigmaserver.co</t>
  </si>
  <si>
    <t>charloeisabel_ospina30008</t>
  </si>
  <si>
    <t>charloe.marin1982@hocknas.co</t>
  </si>
  <si>
    <t>piaemilia_carrillo31775</t>
  </si>
  <si>
    <t>pia.miranda1986@hostedoceri.co</t>
  </si>
  <si>
    <t>lauravaleria_campo30058</t>
  </si>
  <si>
    <t>laura.arango1982@libertas.com.co</t>
  </si>
  <si>
    <t>viviangeraldine_zapata34843</t>
  </si>
  <si>
    <t>vivian.narvaez1995@nascitur.com.co</t>
  </si>
  <si>
    <t>selenapilar_morales31502</t>
  </si>
  <si>
    <t>selena.vanegas1986@nemesis.ml</t>
  </si>
  <si>
    <t>saramarlen_sierra28162</t>
  </si>
  <si>
    <t>sara.ariza1977@nunquam.com.co</t>
  </si>
  <si>
    <t>lilianasofia_contreras34634</t>
  </si>
  <si>
    <t>liliana.vega1994@sempiternam.co</t>
  </si>
  <si>
    <t>isabellavalentina_padilla32087</t>
  </si>
  <si>
    <t>isabella.luna1987@sk9.co</t>
  </si>
  <si>
    <t>gloriamanuela_salcedo25376</t>
  </si>
  <si>
    <t>gloria.ardila1969@socialmediacolombia.com.co</t>
  </si>
  <si>
    <t>pazluna_navarro27731</t>
  </si>
  <si>
    <t>paz.gonzalez1975@tecnicoensistemas.com.co</t>
  </si>
  <si>
    <t>ruthmaria_buitrago25713</t>
  </si>
  <si>
    <t>ruth.rodriguez1970@totum.com.co</t>
  </si>
  <si>
    <t>mariavictoria_luna35432</t>
  </si>
  <si>
    <t>maria.sepulveda1997@voipcolombia.co</t>
  </si>
  <si>
    <t>alexajaqueline_valencia35427</t>
  </si>
  <si>
    <t>alexa.galindo1996@vpncolombia.com.co</t>
  </si>
  <si>
    <t>ameliacamila_gallego27908</t>
  </si>
  <si>
    <t>amelia.quintero1976@auribus.com.co</t>
  </si>
  <si>
    <t>gemadaniela_forero25702</t>
  </si>
  <si>
    <t>gema.leon1970@colamus.co</t>
  </si>
  <si>
    <t>oliviasusana_parra26508</t>
  </si>
  <si>
    <t>olivia.palacios1972@colombiamail.co</t>
  </si>
  <si>
    <t>saramartina_ocampo33879</t>
  </si>
  <si>
    <t>sara.ospina1992@diabunter.co</t>
  </si>
  <si>
    <t>lilyvanesa_marin36269</t>
  </si>
  <si>
    <t>lily.camargo1999@ebrietas.co</t>
  </si>
  <si>
    <t>ninamaria_guevara25986</t>
  </si>
  <si>
    <t>nina.bravo1971@elsinsonte.co</t>
  </si>
  <si>
    <t>magdaantonia_tovar31799</t>
  </si>
  <si>
    <t>magda.castillo1987@enigmaserver.co</t>
  </si>
  <si>
    <t>anapaula_alvarez28782</t>
  </si>
  <si>
    <t>ana.castano1978@hocknas.co</t>
  </si>
  <si>
    <t>miaisabella_montes24551</t>
  </si>
  <si>
    <t>mia.velasquez1967@hostedoceri.co</t>
  </si>
  <si>
    <t>karensofia_rodriguez28445</t>
  </si>
  <si>
    <t>karen.duarte1977@libertas.com.co</t>
  </si>
  <si>
    <t>emmalucrecia_delgado28496</t>
  </si>
  <si>
    <t>emma.garzon1978@nascitur.com.co</t>
  </si>
  <si>
    <t>sarasofia_sanchez25287</t>
  </si>
  <si>
    <t>sara.padilla1969@nemesis.ml</t>
  </si>
  <si>
    <t>camilavalentina_blanco32875</t>
  </si>
  <si>
    <t>camila.montes1990@nunquam.com.co</t>
  </si>
  <si>
    <t>mariaceleste_monsalve27066</t>
  </si>
  <si>
    <t>maria.monsalve1974@sempiternam.co</t>
  </si>
  <si>
    <t>emilaignacia_restrepo32475</t>
  </si>
  <si>
    <t>emila.fernandez1988@sk9.co</t>
  </si>
  <si>
    <t>saraisabella_beltran33049</t>
  </si>
  <si>
    <t>sara.rivera1990@socialmediacolombia.com.co</t>
  </si>
  <si>
    <t>mariateresa_pineda28375</t>
  </si>
  <si>
    <t>maria.velez1977@tecnicoensistemas.com.co</t>
  </si>
  <si>
    <t>emilysofia_diaz36108</t>
  </si>
  <si>
    <t>emily.jaramillo1998@totum.com.co</t>
  </si>
  <si>
    <t>renataesperanza_perez25463</t>
  </si>
  <si>
    <t>renata.moreno1969@voipcolombia.co</t>
  </si>
  <si>
    <t>miafernanda_caicedo25812</t>
  </si>
  <si>
    <t>mia.carvajal1970@vpncolombia.com.co</t>
  </si>
  <si>
    <t>mariajesus_cifuentes36026</t>
  </si>
  <si>
    <t>maria.mejia1998@auribus.com.co</t>
  </si>
  <si>
    <t>paolaesther_galindo26288</t>
  </si>
  <si>
    <t>paola.martinez1971@colamus.co</t>
  </si>
  <si>
    <t>victoriamargarita_prieto35467</t>
  </si>
  <si>
    <t>victoria.barrios1997@colombiamail.co</t>
  </si>
  <si>
    <t>nicolcamila_fonseca32493</t>
  </si>
  <si>
    <t>nicol.hurtado1988@diabunter.co</t>
  </si>
  <si>
    <t>saraabril_pacheco32755</t>
  </si>
  <si>
    <t>sara.palacio1989@ebrietas.co</t>
  </si>
  <si>
    <t>stefanynicol_correa36006</t>
  </si>
  <si>
    <t>stefany.prieto1998@elsinsonte.co</t>
  </si>
  <si>
    <t>valerigiselle_bernal29373</t>
  </si>
  <si>
    <t>valeri.camacho1980@enigmaserver.co</t>
  </si>
  <si>
    <t>reginaabigail_barrera27440</t>
  </si>
  <si>
    <t>regina.arrieta1975@hocknas.co</t>
  </si>
  <si>
    <t>valeriluciana_castellanos29004</t>
  </si>
  <si>
    <t>valeri.cardenas1979@hostedoceri.co</t>
  </si>
  <si>
    <t>noemimonserrat_meneses34415</t>
  </si>
  <si>
    <t>noemi.loaiza1994@libertas.com.co</t>
  </si>
  <si>
    <t>linaagustina_rivera26746</t>
  </si>
  <si>
    <t>lina.villa1973@nascitur.com.co</t>
  </si>
  <si>
    <t>tamarasofia_castano32626</t>
  </si>
  <si>
    <t>tamara.rosero1989@nemesis.ml</t>
  </si>
  <si>
    <t>tatianamaria_cardona35242</t>
  </si>
  <si>
    <t>tatiana.henao1996@nunquam.com.co</t>
  </si>
  <si>
    <t>victoriaalexandra_rios25242</t>
  </si>
  <si>
    <t>victoria.jimenez1969@sempiternam.co</t>
  </si>
  <si>
    <t>rominaguadalupe_gutierrez26783</t>
  </si>
  <si>
    <t>romina.sanchez1973@sk9.co</t>
  </si>
  <si>
    <t>oliviaabigail_ortiz26783</t>
  </si>
  <si>
    <t>olivia.alvarez1973@socialmediacolombia.com.co</t>
  </si>
  <si>
    <t>violetajazmin_duque32997</t>
  </si>
  <si>
    <t>violeta.tovar1990@tecnicoensistemas.com.co</t>
  </si>
  <si>
    <t>perlavaleria_rincon26199</t>
  </si>
  <si>
    <t>perla.contreras1971@totum.com.co</t>
  </si>
  <si>
    <t>paolaelizabeht_torres36928</t>
  </si>
  <si>
    <t>paola.parra2001@voipcolombia.co</t>
  </si>
  <si>
    <t>paoulaesther_toro30881</t>
  </si>
  <si>
    <t>paoula.duque1984@vpncolombia.com.co</t>
  </si>
  <si>
    <t>natalializeth_loaiza31130</t>
  </si>
  <si>
    <t>natalia.galvis1985@auribus.com.co</t>
  </si>
  <si>
    <t>tiffanyfernanda_gonzales24372</t>
  </si>
  <si>
    <t>tiffany.jaimes1966@colamus.co</t>
  </si>
  <si>
    <t>paolamelissa_galeano36013</t>
  </si>
  <si>
    <t>paola.caicedo1998@colombiamail.co</t>
  </si>
  <si>
    <t>scarletadriana_murillo27028</t>
  </si>
  <si>
    <t>scarlet.fuentes1973@diabunter.co</t>
  </si>
  <si>
    <t>venecianohemy_soto24790</t>
  </si>
  <si>
    <t>venecia.velasco1967@ebrietas.co</t>
  </si>
  <si>
    <t>samantajaneth_caro27894</t>
  </si>
  <si>
    <t>samanta.ruiz1976@elsinsonte.co</t>
  </si>
  <si>
    <t>luzemilia_osorio24765</t>
  </si>
  <si>
    <t>luz.acevedo1967@enigmaserver.co</t>
  </si>
  <si>
    <t>nathaliaesther_narvaez35842</t>
  </si>
  <si>
    <t>nathalia.zuniga1998@hocknas.co</t>
  </si>
  <si>
    <t>lilianacamila_velasquez36156</t>
  </si>
  <si>
    <t>liliana.navarro1998@hostedoceri.co</t>
  </si>
  <si>
    <t>juliamaria_lozano37402</t>
  </si>
  <si>
    <t>julia.escobar2002@libertas.com.co</t>
  </si>
  <si>
    <t>sandramilena_medina30914</t>
  </si>
  <si>
    <t>sandra.uribe1984@nascitur.com.co</t>
  </si>
  <si>
    <t>mariaisabel_suarez34601</t>
  </si>
  <si>
    <t>maria.agudelo1994@nemesis.ml</t>
  </si>
  <si>
    <t>claudiamaritza_mercado37051</t>
  </si>
  <si>
    <t>claudia.marquez2001@nunquam.com.co</t>
  </si>
  <si>
    <t>marcelajohanna_becerra27420</t>
  </si>
  <si>
    <t>marcela.osorio1975@sempiternam.co</t>
  </si>
  <si>
    <t>sandrayadira_cordoba35567</t>
  </si>
  <si>
    <t>sandra.guerrero1997@sk9.co</t>
  </si>
  <si>
    <t>luisafernanda_herrera31153</t>
  </si>
  <si>
    <t>luisa.cordoba1985@socialmediacolombia.com.co</t>
  </si>
  <si>
    <t>emmamariana_ochoa37562</t>
  </si>
  <si>
    <t>emma.nino2002@tecnicoensistemas.com.co</t>
  </si>
  <si>
    <t>lauramilena_ardila27685</t>
  </si>
  <si>
    <t>laura.benitez1975@totum.com.co</t>
  </si>
  <si>
    <t>julietaastrid_paez34158</t>
  </si>
  <si>
    <t>julieta.hernandez1993@voipcolombia.co</t>
  </si>
  <si>
    <t>lindamaria_arrieta24207</t>
  </si>
  <si>
    <t>linda.franco1966@vpncolombia.com.co</t>
  </si>
  <si>
    <t>gladysmarcela_paez28756</t>
  </si>
  <si>
    <t>gladys.rincon1978@auribus.com.co</t>
  </si>
  <si>
    <t>salomeandrea_solano35829</t>
  </si>
  <si>
    <t>salome.castilla1998@colamus.co</t>
  </si>
  <si>
    <t>linajaneth_buitrago31603</t>
  </si>
  <si>
    <t>lina.castaneda1986@colombiamail.co</t>
  </si>
  <si>
    <t>jennysusana_calderon29384</t>
  </si>
  <si>
    <t>jenny.ramos1980@diabunter.co</t>
  </si>
  <si>
    <t>mariajose_figueroa29008</t>
  </si>
  <si>
    <t>maria.bolanos1979@ebrietas.co</t>
  </si>
  <si>
    <t>jimenalorena_meza26795</t>
  </si>
  <si>
    <t>jimena.plazas1973@elsinsonte.co</t>
  </si>
  <si>
    <t>lauravaleria_ordonez25744</t>
  </si>
  <si>
    <t>laura.baron1970@enigmaserver.co</t>
  </si>
  <si>
    <t>anavalentina_camargo32300</t>
  </si>
  <si>
    <t>ana.gomez1988@hocknas.co</t>
  </si>
  <si>
    <t>sararaquel_cortes25943</t>
  </si>
  <si>
    <t>sara.toro1971@hostedoceri.co</t>
  </si>
  <si>
    <t>ginnatatiana_toro36724</t>
  </si>
  <si>
    <t>ginna.barragan2000@libertas.com.co</t>
  </si>
  <si>
    <t>mariajose_lozano27344</t>
  </si>
  <si>
    <t>maria.rueda1974@nascitur.com.co</t>
  </si>
  <si>
    <t>anasofia_meneses30577</t>
  </si>
  <si>
    <t>ana.gamez1983@nemesis.ml</t>
  </si>
  <si>
    <t>mariafernanda_correa33555</t>
  </si>
  <si>
    <t>maria.orjuela1991@nunquam.com.co</t>
  </si>
  <si>
    <t>paulamaria_munoz25082</t>
  </si>
  <si>
    <t>paula.quinones1968@sempiternam.co</t>
  </si>
  <si>
    <t>mariaantonia_duarte29053</t>
  </si>
  <si>
    <t>maria.torres1979@sk9.co</t>
  </si>
  <si>
    <t>dannasofia_buitrago35006</t>
  </si>
  <si>
    <t>danna.cobos1995@socialmediacolombia.com.co</t>
  </si>
  <si>
    <t>marthairene_delgado24603</t>
  </si>
  <si>
    <t>martha.perez1967@tecnicoensistemas.com.co</t>
  </si>
  <si>
    <t>lucyalicia_pinzon30025</t>
  </si>
  <si>
    <t>lucy.villalba1982@totum.com.co</t>
  </si>
  <si>
    <t>luzadelaida_morales28061</t>
  </si>
  <si>
    <t>luz.paez1976@voipcolombia.co</t>
  </si>
  <si>
    <t>scarlettsamanta_campo24929</t>
  </si>
  <si>
    <t>scarlett.felix1968@vpncolombia.com.co</t>
  </si>
  <si>
    <t>maryeleonor_estrada34509</t>
  </si>
  <si>
    <t>mary.evans1994@auribus.com.co</t>
  </si>
  <si>
    <t>dulcekamila_alvarez37531</t>
  </si>
  <si>
    <t>dulce.rengifo2002@colamus.co</t>
  </si>
  <si>
    <t>veronicasofia_carmona26275</t>
  </si>
  <si>
    <t>veronica.quintero1971@colombiamail.co</t>
  </si>
  <si>
    <t>blancaalexandra_carvajal35847</t>
  </si>
  <si>
    <t>blanca.gonzalez1998@diabunter.co</t>
  </si>
  <si>
    <t>gisetantonella_fonseca26193</t>
  </si>
  <si>
    <t>giset.lopez1971@ebrietas.co</t>
  </si>
  <si>
    <t>stellamarina_giraldo33471</t>
  </si>
  <si>
    <t>stella.prada1991@elsinsonte.co</t>
  </si>
  <si>
    <t>helenacasandra_bohorquez29651</t>
  </si>
  <si>
    <t>helena.castro1981@enigmaserver.co</t>
  </si>
  <si>
    <t>evacatalina_leon28785</t>
  </si>
  <si>
    <t>eva.caycedo1978@hocknas.co</t>
  </si>
  <si>
    <t>lunamanuela_pena34119</t>
  </si>
  <si>
    <t>luna.delgado1993@hostedoceri.co</t>
  </si>
  <si>
    <t>rosamaria_hurtado29085</t>
  </si>
  <si>
    <t>rosa.medina1979@libertas.com.co</t>
  </si>
  <si>
    <t>bibianaandrea_mendez27219</t>
  </si>
  <si>
    <t>bibiana.molano1974@nascitur.com.co</t>
  </si>
  <si>
    <t>deisyjoanna_monsalve29153</t>
  </si>
  <si>
    <t>deisy.silva1979@nemesis.ml</t>
  </si>
  <si>
    <t>clarapatricia_restrepo28061</t>
  </si>
  <si>
    <t>clara.prado1976@nunquam.com.co</t>
  </si>
  <si>
    <t>mariacristina_castaneda30540</t>
  </si>
  <si>
    <t>maria.bautista1983@sempiternam.co</t>
  </si>
  <si>
    <t>cindymarcela_caicedo31947</t>
  </si>
  <si>
    <t>cindy.paredes1987@sk9.co</t>
  </si>
  <si>
    <t>soniaesperanza_osorio28772</t>
  </si>
  <si>
    <t>sonia.jurado1978@socialmediacolombia.com.co</t>
  </si>
  <si>
    <t>myriammargot_garcia30783</t>
  </si>
  <si>
    <t>myriam.angarita1984@tecnicoensistemas.com.co</t>
  </si>
  <si>
    <t>maracarlotta_agudelo33091</t>
  </si>
  <si>
    <t>mara.castro1990@totum.com.co</t>
  </si>
  <si>
    <t>inesmaria_torres27938</t>
  </si>
  <si>
    <t>ines.benavidez1976@voipcolombia.co</t>
  </si>
  <si>
    <t>rosamargarita_zuniga27473</t>
  </si>
  <si>
    <t>rosa.franco1975@vpncolombia.com.co</t>
  </si>
  <si>
    <t>saramagnolia_amaya29057</t>
  </si>
  <si>
    <t>sara.buitrago1979@auribus.com.co</t>
  </si>
  <si>
    <t>violetasofia_tovar25190</t>
  </si>
  <si>
    <t>violeta.pineda1968@colamus.co</t>
  </si>
  <si>
    <t>luzsoledad_rueda30489</t>
  </si>
  <si>
    <t>luz.gomez1983@colombiamail.co</t>
  </si>
  <si>
    <t>nubiaandrea_navarro31365</t>
  </si>
  <si>
    <t>nubia.galeano1985@diabunter.co</t>
  </si>
  <si>
    <t>yanetmaricella_montes36555</t>
  </si>
  <si>
    <t>yanet.martinez2000@ebrietas.co</t>
  </si>
  <si>
    <t>celiagiseth_arenas30752</t>
  </si>
  <si>
    <t>celia.valero1984@elsinsonte.co</t>
  </si>
  <si>
    <t>elsalucresia_fonseca31879</t>
  </si>
  <si>
    <t>elsa.garavito1987@enigmaserver.co</t>
  </si>
  <si>
    <t>emmayadira_leon35118</t>
  </si>
  <si>
    <t>emma.santanilla1996@hocknas.co</t>
  </si>
  <si>
    <t>marisolsoraya_estrada36649</t>
  </si>
  <si>
    <t>marisol.velez2000@hostedoceri.co</t>
  </si>
  <si>
    <t>jesicapaola_sepulveda36834</t>
  </si>
  <si>
    <t>jesica.arango2000@libertas.com.co</t>
  </si>
  <si>
    <t>claudiaestefania_barrios30404</t>
  </si>
  <si>
    <t>claudia.pinzon1983@nascitur.com.co</t>
  </si>
  <si>
    <t>saraluciana_pacheco27311</t>
  </si>
  <si>
    <t>sara.molano1974@nemesis.ml</t>
  </si>
  <si>
    <t>ximenanatalia_ortiz30000</t>
  </si>
  <si>
    <t>ximena.cortes1982@nunquam.com.co</t>
  </si>
  <si>
    <t>camilaandrea_giraldo31072</t>
  </si>
  <si>
    <t>camila.zarate1985@sempiternam.co</t>
  </si>
  <si>
    <t>valentinalucia_diaz28326</t>
  </si>
  <si>
    <t>valentina.toledo1977@sk9.co</t>
  </si>
  <si>
    <t>isabellamaria_acevedo29438</t>
  </si>
  <si>
    <t>isabella.rodriguez1980@socialmediacolombia.com.co</t>
  </si>
  <si>
    <t>valeriateresa_montoya35606</t>
  </si>
  <si>
    <t>valeria.latorre1997@tecnicoensistemas.com.co</t>
  </si>
  <si>
    <t>danielacamila_marin36029</t>
  </si>
  <si>
    <t>daniela.castillo1998@totum.com.co</t>
  </si>
  <si>
    <t>marianaclemencia_londono27813</t>
  </si>
  <si>
    <t>mariana.redondo1976@voipcolombia.co</t>
  </si>
  <si>
    <t>victoriasoraya_mora26670</t>
  </si>
  <si>
    <t>victoria.rincon1973@vpncolombia.com.co</t>
  </si>
  <si>
    <t>gabrielaesperanza_perez30749</t>
  </si>
  <si>
    <t>gabriela.zamora1984@auribus.com.co</t>
  </si>
  <si>
    <t>ximenamargarita_paez31613</t>
  </si>
  <si>
    <t>ximena.blanco1986@colamus.co</t>
  </si>
  <si>
    <t>andreapaola_vasquez28186</t>
  </si>
  <si>
    <t>andrea.rodriguez1977@colombiamail.co</t>
  </si>
  <si>
    <t>nataliajimena_sarmiento26169</t>
  </si>
  <si>
    <t>natalia.cuellar1971@diabunter.co</t>
  </si>
  <si>
    <t>miasalome_soto36234</t>
  </si>
  <si>
    <t>mia.rubio1999@ebrietas.co</t>
  </si>
  <si>
    <t>martinajinet_aguilar30089</t>
  </si>
  <si>
    <t>martina.ospina1982@elsinsonte.co</t>
  </si>
  <si>
    <t>luciaantonia_cardenas34293</t>
  </si>
  <si>
    <t>lucia.orozco1993@enigmaserver.co</t>
  </si>
  <si>
    <t>samanthacamila_amaya34633</t>
  </si>
  <si>
    <t>samantha.avila1994@hocknas.co</t>
  </si>
  <si>
    <t>mariapaula_suarez30306</t>
  </si>
  <si>
    <t>maria.montoya1982@hostedoceri.co</t>
  </si>
  <si>
    <t>mariafernanda_jaramillo30392</t>
  </si>
  <si>
    <t>maria.contreras1983@libertas.com.co</t>
  </si>
  <si>
    <t>fernandanicol_zambrano34132</t>
  </si>
  <si>
    <t>fernanda.contreras1993@nascitur.com.co</t>
  </si>
  <si>
    <t>nicolestefannya_hurtado25484</t>
  </si>
  <si>
    <t>nicole.jaramillo1969@nemesis.ml</t>
  </si>
  <si>
    <t>alejandracamila_bohorquez33002</t>
  </si>
  <si>
    <t>alejandra.velandia1990@nunquam.com.co</t>
  </si>
  <si>
    <t>paulaleticia_palacio25027</t>
  </si>
  <si>
    <t>paula.caballero1968@sempiternam.co</t>
  </si>
  <si>
    <t>emilydayana_molina25453</t>
  </si>
  <si>
    <t>emily.torres1969@sk9.co</t>
  </si>
  <si>
    <t>mariafrancisca_escobar28955</t>
  </si>
  <si>
    <t>maria.matiz1979@socialmediacolombia.com.co</t>
  </si>
  <si>
    <t>josemaria_arrieta30180</t>
  </si>
  <si>
    <t>jose.gomez1982@tecnicoensistemas.com.co</t>
  </si>
  <si>
    <t>lunafernanda_hoyos24108</t>
  </si>
  <si>
    <t>luna.carriazo1966@totum.com.co</t>
  </si>
  <si>
    <t>lucianaadriana_rincon30112</t>
  </si>
  <si>
    <t>luciana.sanabria1982@voipcolombia.co</t>
  </si>
  <si>
    <t>anamaria_palacios34186</t>
  </si>
  <si>
    <t>ana.quiroga1993@vpncolombia.com.co</t>
  </si>
  <si>
    <t>sofiahelena_zuniga27268</t>
  </si>
  <si>
    <t>sofia.neira1974@auribus.com.co</t>
  </si>
  <si>
    <t>melanieastrid_vega34389</t>
  </si>
  <si>
    <t>melanie.murillo1994@colamus.co</t>
  </si>
  <si>
    <t>reginalucrecia_meza33430</t>
  </si>
  <si>
    <t>regina.munoz1991@colombiamail.co</t>
  </si>
  <si>
    <t>catalinasther_ayala30298</t>
  </si>
  <si>
    <t>catalina.sierra1982@diabunter.co</t>
  </si>
  <si>
    <t>ashleyjhonana_contreras27785</t>
  </si>
  <si>
    <t>ashley.quiroga1976@ebrietas.co</t>
  </si>
  <si>
    <t>renatafernanda_forero35173</t>
  </si>
  <si>
    <t>renata.osorio1996@elsinsonte.co</t>
  </si>
  <si>
    <t>miaagustina_narvaez24145</t>
  </si>
  <si>
    <t>mia.oviedo1966@enigmaserver.co</t>
  </si>
  <si>
    <t>abrilsalome_rosero34219</t>
  </si>
  <si>
    <t>abril.gomez1993@hocknas.co</t>
  </si>
  <si>
    <t>emmamagdalena_castano30545</t>
  </si>
  <si>
    <t>emma.sierra1983@hostedoceri.co</t>
  </si>
  <si>
    <t>emiliaandrea_cruz26375</t>
  </si>
  <si>
    <t>emilia.gomez1972@libertas.com.co</t>
  </si>
  <si>
    <t>jazminestrella_jaimes36211</t>
  </si>
  <si>
    <t>jazmin.espitia1999@nascitur.com.co</t>
  </si>
  <si>
    <t>juanitamaria_camargo34173</t>
  </si>
  <si>
    <t>juanita.garzon1993@nemesis.ml</t>
  </si>
  <si>
    <t>brianasamanta_valencia31313</t>
  </si>
  <si>
    <t>briana.acosta1985@nunquam.com.co</t>
  </si>
  <si>
    <t>vanessadel pilar_caicedo34297</t>
  </si>
  <si>
    <t>vanessa.delgado1993@sempiternam.co</t>
  </si>
  <si>
    <t>antoniade jesus_garzon34758</t>
  </si>
  <si>
    <t>antonia.fajardo1995@sk9.co</t>
  </si>
  <si>
    <t>lauracamila_nunez30494</t>
  </si>
  <si>
    <t>laura.zuluaga1983@socialmediacolombia.com.co</t>
  </si>
  <si>
    <t>antonellagiseth_agudelo32718</t>
  </si>
  <si>
    <t>antonella.alfaro1989@tecnicoensistemas.com.co</t>
  </si>
  <si>
    <t>lunafernanda_sanchez27860</t>
  </si>
  <si>
    <t>luna.jurado1976@totum.com.co</t>
  </si>
  <si>
    <t>carlalorena_tovar27719</t>
  </si>
  <si>
    <t>carla.dayana1975@voipcolombia.co</t>
  </si>
  <si>
    <t>allisonjuliana_bolanos31885</t>
  </si>
  <si>
    <t>allison.nino1987@vpncolombia.com.co</t>
  </si>
  <si>
    <t>monserratyuliet_rojas35831</t>
  </si>
  <si>
    <t>monserrat.marin1998@auribus.com.co</t>
  </si>
  <si>
    <t>paulinmichele_orozco31959</t>
  </si>
  <si>
    <t>paulin.aldana1987@colamus.co</t>
  </si>
  <si>
    <t>isabelpatricia_trujillo27353</t>
  </si>
  <si>
    <t>isabel.vargas1974@colombiamail.co</t>
  </si>
  <si>
    <t>julianamargarita_correa32383</t>
  </si>
  <si>
    <t>juliana.sarmiento1988@diabunter.co</t>
  </si>
  <si>
    <t>valerieliliam_buitrago37385</t>
  </si>
  <si>
    <t>valerie.segura2002@ebrietas.co</t>
  </si>
  <si>
    <t>florenciaestella_villa26411</t>
  </si>
  <si>
    <t>florencia.varela1972@elsinsonte.co</t>
  </si>
  <si>
    <t>adrianacamila_castillo34173</t>
  </si>
  <si>
    <t>adriana.espitia1993@enigmaserver.co</t>
  </si>
  <si>
    <t>naomipaola_melo28170</t>
  </si>
  <si>
    <t>naomi.cely1977@hocknas.co</t>
  </si>
  <si>
    <t>amandasofia_ariza33078</t>
  </si>
  <si>
    <t>amanda.murcia1990@hostedoceri.co</t>
  </si>
  <si>
    <t>arianaandrea_franco31844</t>
  </si>
  <si>
    <t>ariana.ortegon1987@libertas.com.co</t>
  </si>
  <si>
    <t>morenapaz_munoz26326</t>
  </si>
  <si>
    <t>morena.forero1972@nascitur.com.co</t>
  </si>
  <si>
    <t>natalieconstanza_guevara31327</t>
  </si>
  <si>
    <t>natalie.melo1985@nemesis.ml</t>
  </si>
  <si>
    <t>luzjanet_arias26041</t>
  </si>
  <si>
    <t>luz.cespedes1971@nunquam.com.co</t>
  </si>
  <si>
    <t>loladominga_salcedo27396</t>
  </si>
  <si>
    <t>lola.corredor1975@sempiternam.co</t>
  </si>
  <si>
    <t>zoeangely_daza30546</t>
  </si>
  <si>
    <t>zoe.murcia1983@sk9.co</t>
  </si>
  <si>
    <t>carolinaliliana_espinosa32556</t>
  </si>
  <si>
    <t>carolina.bernate1989@socialmediacolombia.com.co</t>
  </si>
  <si>
    <t>micaelaestrella_padilla34760</t>
  </si>
  <si>
    <t>micaela.beltran1995@tecnicoensistemas.com.co</t>
  </si>
  <si>
    <t>juliamaria_ramos31109</t>
  </si>
  <si>
    <t>julia.sanchez1985@totum.com.co</t>
  </si>
  <si>
    <t>claudialiliana_gonzalez26856</t>
  </si>
  <si>
    <t>claudia.camacho1973@voipcolombia.co</t>
  </si>
  <si>
    <t>paolaalexandra_ruiz32808</t>
  </si>
  <si>
    <t>paola.rojas1989@vpncolombia.com.co</t>
  </si>
  <si>
    <t>alexajohanna_ocampo32560</t>
  </si>
  <si>
    <t>alexa.diaz1989@auribus.com.co</t>
  </si>
  <si>
    <t>elenamarina_patino32293</t>
  </si>
  <si>
    <t>elena.diaz1988@colamus.co</t>
  </si>
  <si>
    <t>isidorateresa_rivera34585</t>
  </si>
  <si>
    <t>isidora.lopez1994@colombiamail.co</t>
  </si>
  <si>
    <t>rebecalucia_ramirez26931</t>
  </si>
  <si>
    <t>rebeca.soto1973@diabunter.co</t>
  </si>
  <si>
    <t>josefinamarcela_herrera27631</t>
  </si>
  <si>
    <t>josefina.villate1975@ebrietas.co</t>
  </si>
  <si>
    <t>abigailgeraldine_mendoza24607</t>
  </si>
  <si>
    <t>abigail.castro1967@elsinsonte.co</t>
  </si>
  <si>
    <t>julietasofia_morales31161</t>
  </si>
  <si>
    <t>julieta.bohorquez1985@enigmaserver.co</t>
  </si>
  <si>
    <t>melissarubiela_pulido29964</t>
  </si>
  <si>
    <t>melissa.pineda1982@hocknas.co</t>
  </si>
  <si>
    <t>michellecamila_mercado36660</t>
  </si>
  <si>
    <t>michelle.pineres2000@hostedoceri.co</t>
  </si>
  <si>
    <t>albamaria_florez31566</t>
  </si>
  <si>
    <t>alba.martinez1986@libertas.com.co</t>
  </si>
  <si>
    <t>mariacamilacamila_carrillo35310</t>
  </si>
  <si>
    <t>mariacamila.rodriguez1996@nascitur.com.co</t>
  </si>
  <si>
    <t>angelapaola_ortega35348</t>
  </si>
  <si>
    <t>angela.rojas1996@nemesis.ml</t>
  </si>
  <si>
    <t>marthadelfina_bonilla37189</t>
  </si>
  <si>
    <t>martha.trujillo2001@nunquam.com.co</t>
  </si>
  <si>
    <t>aitanayuliet_duque33751</t>
  </si>
  <si>
    <t>aitana.quiroga1992@sempiternam.co</t>
  </si>
  <si>
    <t>stephaniedolores_sierra31058</t>
  </si>
  <si>
    <t>stephanie.urdaneta1985@sk9.co</t>
  </si>
  <si>
    <t>fatimaester_betancur37244</t>
  </si>
  <si>
    <t>fatima.gutierrez2001@socialmediacolombia.com.co</t>
  </si>
  <si>
    <t>miriammanuela_hernandez27672</t>
  </si>
  <si>
    <t>miriam.ruiz1975@tecnicoensistemas.com.co</t>
  </si>
  <si>
    <t>linaalexandra_cordoba26310</t>
  </si>
  <si>
    <t>lina.gonzalez1972@totum.com.co</t>
  </si>
  <si>
    <t>palomavanessa_polo27635</t>
  </si>
  <si>
    <t>paloma.mera1975@voipcolombia.co</t>
  </si>
  <si>
    <t>sandracandela_vanegas30062</t>
  </si>
  <si>
    <t>sandra.sosa1982@vpncolombia.com.co</t>
  </si>
  <si>
    <t>claragissell_mejia25094</t>
  </si>
  <si>
    <t>clara.prada1968@auribus.com.co</t>
  </si>
  <si>
    <t>laurasofia_silva37003</t>
  </si>
  <si>
    <t>laura.betancur2001@colamus.co</t>
  </si>
  <si>
    <t>dianamarcela_medina25407</t>
  </si>
  <si>
    <t>diana.diaz1969@colombiamail.co</t>
  </si>
  <si>
    <t>anageraldine_ospina31267</t>
  </si>
  <si>
    <t>ana.garcia1985@diabunter.co</t>
  </si>
  <si>
    <t>mariafernanda_vargas36153</t>
  </si>
  <si>
    <t>maria.vergara1998@ebrietas.co</t>
  </si>
  <si>
    <t>guadaluperocio_ordonez27841</t>
  </si>
  <si>
    <t>guadalupe.patino1976@elsinsonte.co</t>
  </si>
  <si>
    <t>barbarafrancisca_angulo31280</t>
  </si>
  <si>
    <t>barbara.vasquez1985@enigmaserver.co</t>
  </si>
  <si>
    <t>biancavaleria_rios32175</t>
  </si>
  <si>
    <t>bianca.reyes1988@hocknas.co</t>
  </si>
  <si>
    <t>mirandayineth_arboleda36749</t>
  </si>
  <si>
    <t>miranda.mercado2000@hostedoceri.co</t>
  </si>
  <si>
    <t>sabrinaofelia_gutierrez27741</t>
  </si>
  <si>
    <t>sabrina.suarez1975@libertas.com.co</t>
  </si>
  <si>
    <t>pilarvanessa_monsalve27570</t>
  </si>
  <si>
    <t>pilar.trujillo1975@nascitur.com.co</t>
  </si>
  <si>
    <t>anamaria_fernandez33371</t>
  </si>
  <si>
    <t>ana.herrera1991@nemesis.ml</t>
  </si>
  <si>
    <t>martacecilia_alzate26860</t>
  </si>
  <si>
    <t>marta.salazar1973@nunquam.com.co</t>
  </si>
  <si>
    <t>anamilena_barrera31500</t>
  </si>
  <si>
    <t>ana.aguilar1986@sempiternam.co</t>
  </si>
  <si>
    <t>genesisdaniela_prieto34916</t>
  </si>
  <si>
    <t>genesis.barrera1995@sk9.co</t>
  </si>
  <si>
    <t>teresafelicia_hurtado33780</t>
  </si>
  <si>
    <t>teresa.perez1992@socialmediacolombia.com.co</t>
  </si>
  <si>
    <t>victoriamargarita_hoyos36375</t>
  </si>
  <si>
    <t>victoria.marin1999@tecnicoensistemas.com.co</t>
  </si>
  <si>
    <t>isabelsofia_castro31483</t>
  </si>
  <si>
    <t>isabel.perdomo1986@totum.com.co</t>
  </si>
  <si>
    <t>dulcemaria_florez24654</t>
  </si>
  <si>
    <t>dulce.jaramillo1967@voipcolombia.co</t>
  </si>
  <si>
    <t>nataliavalentina_rojas29711</t>
  </si>
  <si>
    <t>natalia.bonilla1981@vpncolombia.com.co</t>
  </si>
  <si>
    <t>anamaria_medina33740</t>
  </si>
  <si>
    <t>ana.trujillo1992@auribus.com.co</t>
  </si>
  <si>
    <t>anapaula_serna30882</t>
  </si>
  <si>
    <t>ana.polo1984@colamus.co</t>
  </si>
  <si>
    <t>sarasofia_benitez28321</t>
  </si>
  <si>
    <t>sara.sanchez1977@colombiamail.co</t>
  </si>
  <si>
    <t>luzelena_castillo28930</t>
  </si>
  <si>
    <t>luz.barrera1979@diabunter.co</t>
  </si>
  <si>
    <t>marianajosefina_acevedo29221</t>
  </si>
  <si>
    <t>mariana.duarte1980@ebrietas.co</t>
  </si>
  <si>
    <t>luisafernanda_galindo27085</t>
  </si>
  <si>
    <t>luisa.padilla1974@elsinsonte.co</t>
  </si>
  <si>
    <t>paolaesther_ardila36658</t>
  </si>
  <si>
    <t>paola.pineda2000@enigmaserver.co</t>
  </si>
  <si>
    <t>sandrasofia_ortega24508</t>
  </si>
  <si>
    <t>sandra.molina1967@hocknas.co</t>
  </si>
  <si>
    <t>orianaalejandra_cardona33222</t>
  </si>
  <si>
    <t>oriana.rueda1990@hostedoceri.co</t>
  </si>
  <si>
    <t>jessicadaniela_rios26801</t>
  </si>
  <si>
    <t>jessica.vega1973@libertas.com.co</t>
  </si>
  <si>
    <t>gisellepaola_figueroa34341</t>
  </si>
  <si>
    <t>giselle.soto1994@nascitur.com.co</t>
  </si>
  <si>
    <t>luisaestafania_restrepo27720</t>
  </si>
  <si>
    <t>luisa.galvis1975@nemesis.ml</t>
  </si>
  <si>
    <t>ciliaelena_henao35742</t>
  </si>
  <si>
    <t>cilia.arrieta1997@nunquam.com.co</t>
  </si>
  <si>
    <t>dorajosefina_pinzon31502</t>
  </si>
  <si>
    <t>dora.moreno1986@sempiternam.co</t>
  </si>
  <si>
    <t>danielaalessandra_jimenez36453</t>
  </si>
  <si>
    <t>daniela.garzon1999@sk9.co</t>
  </si>
  <si>
    <t>mirandadaniela_gil25585</t>
  </si>
  <si>
    <t>miranda.franco1970@socialmediacolombia.com.co</t>
  </si>
  <si>
    <t>olivajazmin_sepulveda27892</t>
  </si>
  <si>
    <t>oliva.pacheco1976@tecnicoensistemas.com.co</t>
  </si>
  <si>
    <t>linabelen_correa27316</t>
  </si>
  <si>
    <t>lina.rosero1974@totum.com.co</t>
  </si>
  <si>
    <t>nadiacristina_amaya24551</t>
  </si>
  <si>
    <t>nadia.acosta1967@voipcolombia.co</t>
  </si>
  <si>
    <t>evamartina_cano26530</t>
  </si>
  <si>
    <t>eva.morales1972@vpncolombia.com.co</t>
  </si>
  <si>
    <t>dulcecamila_vargas35104</t>
  </si>
  <si>
    <t>dulce.mendez1996@auribus.com.co</t>
  </si>
  <si>
    <t>orianaalejandra_reyes32046</t>
  </si>
  <si>
    <t>oriana.loaiza1987@colamus.co</t>
  </si>
  <si>
    <t>miacamila_alvarez27041</t>
  </si>
  <si>
    <t>mia.arango1974@colombiamail.co</t>
  </si>
  <si>
    <t>aliciamarian_duque29319</t>
  </si>
  <si>
    <t>alicia.caicedo1980@diabunter.co</t>
  </si>
  <si>
    <t>juanafilomena_zapata25996</t>
  </si>
  <si>
    <t>juana.castano1971@ebrietas.co</t>
  </si>
  <si>
    <t>anamercedes_meneses31005</t>
  </si>
  <si>
    <t>ana.patino1984@elsinsonte.co</t>
  </si>
  <si>
    <t>agustinaignacia_aguilar36169</t>
  </si>
  <si>
    <t>agustina.herrera1999@enigmaserver.co</t>
  </si>
  <si>
    <t>piedadclemencia_cordoba34512</t>
  </si>
  <si>
    <t>piedad.silva1994@hocknas.co</t>
  </si>
  <si>
    <t>flaviabelen_guevara28666</t>
  </si>
  <si>
    <t>flavia.parra1978@hostedoceri.co</t>
  </si>
  <si>
    <t>fridasofia_guerra35607</t>
  </si>
  <si>
    <t>frida.nunez1997@libertas.com.co</t>
  </si>
  <si>
    <t>olgaaleida_camargo32625</t>
  </si>
  <si>
    <t>olga.buitrago1989@nascitur.com.co</t>
  </si>
  <si>
    <t>omairamargarita_ariza33563</t>
  </si>
  <si>
    <t>omaira.toro1991@nemesis.ml</t>
  </si>
  <si>
    <t>carolalejandra_palacio29931</t>
  </si>
  <si>
    <t>carol.villa1981@nunquam.com.co</t>
  </si>
  <si>
    <t>barbaraelizabeth_ospina24686</t>
  </si>
  <si>
    <t>barbara.miranda1967@sempiternam.co</t>
  </si>
  <si>
    <t>carmentereza_salcedo35170</t>
  </si>
  <si>
    <t>carmen.ramos1996@sk9.co</t>
  </si>
  <si>
    <t>carmenvictoria_bravo35716</t>
  </si>
  <si>
    <t>carmen.ortiz1997@socialmediacolombia.com.co</t>
  </si>
  <si>
    <t>davilethfernanda_murillo31923</t>
  </si>
  <si>
    <t>davileth.delgado1987@tecnicoensistemas.com.co</t>
  </si>
  <si>
    <t>angelatatiana_garcia28321</t>
  </si>
  <si>
    <t>angela.ocampo1977@totum.com.co</t>
  </si>
  <si>
    <t>doraotilia_navarro28930</t>
  </si>
  <si>
    <t>dora.lopez1979@voipcolombia.co</t>
  </si>
  <si>
    <t>claraelisa_leon29221</t>
  </si>
  <si>
    <t>clara.giraldo1980@vpncolombia.com.co</t>
  </si>
  <si>
    <t>sandrapatricia_mesa27085</t>
  </si>
  <si>
    <t>sandra.campo1974@auribus.com.co</t>
  </si>
  <si>
    <t>kellyjhonana_benitez36658</t>
  </si>
  <si>
    <t>kelly.torres2000@colamus.co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</si>
</sst>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222222"/>
      <name val="Arial"/>
      <family val="2"/>
      <scheme val="minor"/>
    </font>
    <font>
      <sz val="8"/>
      <name val="Arial"/>
    </font>
  </fonts>
  <fills count="5">
    <fill>
      <patternFill patternType="none"/>
    </fill>
    <fill>
      <patternFill patternType="gray125"/>
    </fill>
    <fill>
      <patternFill patternType="solid">
        <fgColor rgb="FF9FC5E8"/>
        <bgColor rgb="FF9FC5E8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29">
    <xf numFmtId="0" fontId="0" fillId="0" borderId="0" xfId="0" applyFont="1" applyAlignment="1"/>
    <xf numFmtId="0" fontId="2" fillId="2" borderId="0" xfId="0" applyFont="1" applyFill="1" applyAlignment="1">
      <alignment horizontal="center"/>
    </xf>
    <xf numFmtId="0" fontId="1" fillId="0" borderId="0" xfId="1" applyFont="1"/>
    <xf numFmtId="0" fontId="5" fillId="0" borderId="0" xfId="0" applyFont="1" applyAlignment="1">
      <alignment horizontal="left" vertical="center"/>
    </xf>
    <xf numFmtId="0" fontId="4" fillId="0" borderId="0" xfId="0" applyFont="1"/>
    <xf numFmtId="14" fontId="5" fillId="0" borderId="0" xfId="0" applyNumberFormat="1" applyFont="1" applyAlignment="1">
      <alignment horizontal="left" vertical="center"/>
    </xf>
    <xf numFmtId="14" fontId="1" fillId="0" borderId="0" xfId="1" applyNumberFormat="1" applyFont="1"/>
    <xf numFmtId="0" fontId="0" fillId="3" borderId="0" xfId="0" applyFont="1" applyFill="1" applyAlignment="1"/>
    <xf numFmtId="0" fontId="1" fillId="3" borderId="0" xfId="1" applyFont="1" applyFill="1"/>
    <xf numFmtId="14" fontId="1" fillId="3" borderId="0" xfId="1" applyNumberFormat="1" applyFont="1" applyFill="1"/>
    <xf numFmtId="0" fontId="5" fillId="3" borderId="0" xfId="0" applyFont="1" applyFill="1" applyAlignment="1">
      <alignment horizontal="left" vertical="center"/>
    </xf>
    <xf numFmtId="14" fontId="5" fillId="3" borderId="0" xfId="0" applyNumberFormat="1" applyFont="1" applyFill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1" fontId="1" fillId="0" borderId="0" xfId="1" applyNumberFormat="1" applyFont="1" applyAlignment="1">
      <alignment horizontal="center"/>
    </xf>
    <xf numFmtId="1" fontId="1" fillId="3" borderId="0" xfId="1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Font="1" applyAlignment="1">
      <alignment horizontal="left"/>
    </xf>
    <xf numFmtId="1" fontId="0" fillId="0" borderId="0" xfId="0" applyNumberFormat="1" applyFont="1" applyAlignment="1"/>
    <xf numFmtId="14" fontId="0" fillId="0" borderId="0" xfId="0" applyNumberFormat="1" applyFont="1" applyAlignment="1"/>
    <xf numFmtId="0" fontId="2" fillId="2" borderId="0" xfId="0" applyFont="1" applyFill="1" applyAlignment="1">
      <alignment horizontal="center"/>
    </xf>
    <xf numFmtId="14" fontId="0" fillId="3" borderId="0" xfId="0" applyNumberFormat="1" applyFont="1" applyFill="1" applyAlignment="1"/>
    <xf numFmtId="1" fontId="0" fillId="3" borderId="0" xfId="0" applyNumberFormat="1" applyFont="1" applyFill="1" applyAlignment="1"/>
    <xf numFmtId="0" fontId="0" fillId="4" borderId="0" xfId="0" applyFont="1" applyFill="1" applyAlignment="1"/>
    <xf numFmtId="14" fontId="0" fillId="4" borderId="0" xfId="0" applyNumberFormat="1" applyFont="1" applyFill="1" applyAlignment="1"/>
    <xf numFmtId="1" fontId="0" fillId="4" borderId="0" xfId="0" applyNumberFormat="1" applyFont="1" applyFill="1" applyAlignme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356AD-6112-4224-88F9-8EA19754F598}">
  <dimension ref="A1:L1027"/>
  <sheetViews>
    <sheetView tabSelected="1" workbookViewId="0">
      <selection sqref="A1:L3"/>
    </sheetView>
  </sheetViews>
  <sheetFormatPr baseColWidth="10" defaultRowHeight="13.2" x14ac:dyDescent="0.25"/>
  <cols>
    <col min="7" max="7" width="11.44140625" style="22"/>
    <col min="8" max="8" width="11.44140625" style="21"/>
    <col min="9" max="9" width="22.33203125" customWidth="1"/>
    <col min="10" max="10" width="35.33203125" customWidth="1"/>
    <col min="11" max="11" width="34.109375" customWidth="1"/>
  </cols>
  <sheetData>
    <row r="1" spans="1:12" s="26" customFormat="1" x14ac:dyDescent="0.25">
      <c r="A1" s="26">
        <v>1</v>
      </c>
      <c r="B1" s="26" t="s">
        <v>1979</v>
      </c>
      <c r="C1" s="26" t="s">
        <v>330</v>
      </c>
      <c r="D1" s="26" t="s">
        <v>349</v>
      </c>
      <c r="E1" s="26" t="s">
        <v>331</v>
      </c>
      <c r="F1" s="26" t="s">
        <v>445</v>
      </c>
      <c r="G1" s="27">
        <v>26348</v>
      </c>
      <c r="H1" s="28">
        <v>49.4</v>
      </c>
      <c r="I1" s="26" t="s">
        <v>529</v>
      </c>
      <c r="J1" s="26" t="s">
        <v>2511</v>
      </c>
      <c r="K1" s="26" t="s">
        <v>2512</v>
      </c>
      <c r="L1" s="26">
        <v>3115114930</v>
      </c>
    </row>
    <row r="2" spans="1:12" s="26" customFormat="1" x14ac:dyDescent="0.25">
      <c r="A2" s="26">
        <v>2</v>
      </c>
      <c r="B2" s="26" t="s">
        <v>1437</v>
      </c>
      <c r="C2" s="26" t="s">
        <v>6</v>
      </c>
      <c r="D2" s="26" t="s">
        <v>38</v>
      </c>
      <c r="E2" s="26" t="s">
        <v>39</v>
      </c>
      <c r="F2" s="26" t="s">
        <v>2465</v>
      </c>
      <c r="G2" s="27">
        <v>36937</v>
      </c>
      <c r="H2" s="28">
        <v>20.389041095890413</v>
      </c>
      <c r="I2" s="26" t="s">
        <v>1163</v>
      </c>
      <c r="J2" s="26" t="s">
        <v>3481</v>
      </c>
      <c r="K2" s="26" t="s">
        <v>3482</v>
      </c>
      <c r="L2" s="26">
        <v>3115114930</v>
      </c>
    </row>
    <row r="3" spans="1:12" s="26" customFormat="1" x14ac:dyDescent="0.25">
      <c r="A3" s="26">
        <v>3</v>
      </c>
      <c r="B3" s="26" t="s">
        <v>1980</v>
      </c>
      <c r="C3" s="26" t="s">
        <v>332</v>
      </c>
      <c r="D3" s="26" t="s">
        <v>446</v>
      </c>
      <c r="E3" s="26" t="s">
        <v>55</v>
      </c>
      <c r="F3" s="26" t="s">
        <v>107</v>
      </c>
      <c r="G3" s="27">
        <v>27107</v>
      </c>
      <c r="H3" s="28">
        <v>47.320547945205476</v>
      </c>
      <c r="I3" s="26" t="s">
        <v>530</v>
      </c>
      <c r="J3" s="26" t="s">
        <v>2513</v>
      </c>
      <c r="K3" s="26" t="s">
        <v>2514</v>
      </c>
      <c r="L3" s="26">
        <v>3115114916</v>
      </c>
    </row>
    <row r="4" spans="1:12" s="7" customFormat="1" x14ac:dyDescent="0.25">
      <c r="A4" s="7">
        <v>4</v>
      </c>
      <c r="B4" s="7" t="s">
        <v>1438</v>
      </c>
      <c r="C4" s="7" t="s">
        <v>50</v>
      </c>
      <c r="D4" s="7" t="s">
        <v>218</v>
      </c>
      <c r="E4" s="7" t="s">
        <v>85</v>
      </c>
      <c r="F4" s="7" t="s">
        <v>219</v>
      </c>
      <c r="G4" s="24">
        <v>34479</v>
      </c>
      <c r="H4" s="25">
        <v>27.123287671232877</v>
      </c>
      <c r="I4" s="7" t="s">
        <v>569</v>
      </c>
      <c r="J4" s="7" t="s">
        <v>3483</v>
      </c>
      <c r="K4" s="7" t="s">
        <v>3484</v>
      </c>
      <c r="L4" s="7">
        <v>3115114916</v>
      </c>
    </row>
    <row r="5" spans="1:12" x14ac:dyDescent="0.25">
      <c r="A5">
        <v>5</v>
      </c>
      <c r="B5" t="s">
        <v>1981</v>
      </c>
      <c r="C5" t="s">
        <v>431</v>
      </c>
      <c r="D5" t="s">
        <v>333</v>
      </c>
      <c r="E5" t="s">
        <v>334</v>
      </c>
      <c r="F5" t="s">
        <v>447</v>
      </c>
      <c r="G5" s="22">
        <v>34975</v>
      </c>
      <c r="H5" s="21">
        <v>25.764383561643836</v>
      </c>
      <c r="I5" t="s">
        <v>531</v>
      </c>
      <c r="J5" t="s">
        <v>2515</v>
      </c>
      <c r="K5" t="s">
        <v>2516</v>
      </c>
      <c r="L5">
        <v>3115114911</v>
      </c>
    </row>
    <row r="6" spans="1:12" x14ac:dyDescent="0.25">
      <c r="A6">
        <v>6</v>
      </c>
      <c r="B6" t="s">
        <v>1439</v>
      </c>
      <c r="C6" t="s">
        <v>50</v>
      </c>
      <c r="D6" t="s">
        <v>18</v>
      </c>
      <c r="E6" t="s">
        <v>220</v>
      </c>
      <c r="F6" t="s">
        <v>221</v>
      </c>
      <c r="G6" s="22">
        <v>31517</v>
      </c>
      <c r="H6" s="21">
        <v>35.238356164383561</v>
      </c>
      <c r="I6" t="s">
        <v>1268</v>
      </c>
      <c r="J6" t="s">
        <v>3485</v>
      </c>
      <c r="K6" t="s">
        <v>3486</v>
      </c>
      <c r="L6">
        <v>3115114911</v>
      </c>
    </row>
    <row r="7" spans="1:12" x14ac:dyDescent="0.25">
      <c r="A7">
        <v>7</v>
      </c>
      <c r="B7" t="s">
        <v>1982</v>
      </c>
      <c r="C7" t="s">
        <v>341</v>
      </c>
      <c r="D7" t="s">
        <v>335</v>
      </c>
      <c r="E7" t="s">
        <v>127</v>
      </c>
      <c r="F7" t="s">
        <v>279</v>
      </c>
      <c r="G7" s="22">
        <v>23361</v>
      </c>
      <c r="H7" s="21">
        <v>57.583561643835615</v>
      </c>
      <c r="I7" t="s">
        <v>532</v>
      </c>
      <c r="J7" t="s">
        <v>2517</v>
      </c>
      <c r="K7" t="s">
        <v>2518</v>
      </c>
      <c r="L7">
        <v>3115114910</v>
      </c>
    </row>
    <row r="8" spans="1:12" x14ac:dyDescent="0.25">
      <c r="A8">
        <v>8</v>
      </c>
      <c r="B8" t="s">
        <v>1440</v>
      </c>
      <c r="C8" t="s">
        <v>198</v>
      </c>
      <c r="D8" t="s">
        <v>174</v>
      </c>
      <c r="E8" t="s">
        <v>164</v>
      </c>
      <c r="F8" t="s">
        <v>2466</v>
      </c>
      <c r="G8" s="22">
        <v>34862</v>
      </c>
      <c r="H8" s="21">
        <v>26.073972602739726</v>
      </c>
      <c r="I8" t="s">
        <v>531</v>
      </c>
      <c r="J8" t="s">
        <v>3487</v>
      </c>
      <c r="K8" t="s">
        <v>3488</v>
      </c>
      <c r="L8">
        <v>3115114910</v>
      </c>
    </row>
    <row r="9" spans="1:12" x14ac:dyDescent="0.25">
      <c r="A9">
        <v>9</v>
      </c>
      <c r="B9" t="s">
        <v>1983</v>
      </c>
      <c r="C9" t="s">
        <v>336</v>
      </c>
      <c r="D9" t="s">
        <v>353</v>
      </c>
      <c r="E9" t="s">
        <v>337</v>
      </c>
      <c r="F9" t="s">
        <v>56</v>
      </c>
      <c r="G9" s="22">
        <v>28829</v>
      </c>
      <c r="H9" s="21">
        <v>42.602739726027394</v>
      </c>
      <c r="I9" t="s">
        <v>533</v>
      </c>
      <c r="J9" t="s">
        <v>2519</v>
      </c>
      <c r="K9" t="s">
        <v>2520</v>
      </c>
      <c r="L9">
        <v>3115114909</v>
      </c>
    </row>
    <row r="10" spans="1:12" s="7" customFormat="1" x14ac:dyDescent="0.25">
      <c r="A10" s="7">
        <v>10</v>
      </c>
      <c r="B10" s="7" t="s">
        <v>1441</v>
      </c>
      <c r="C10" s="7" t="s">
        <v>213</v>
      </c>
      <c r="D10" s="7" t="s">
        <v>50</v>
      </c>
      <c r="E10" s="7" t="s">
        <v>87</v>
      </c>
      <c r="F10" s="7" t="s">
        <v>2477</v>
      </c>
      <c r="G10" s="24">
        <v>30905</v>
      </c>
      <c r="H10" s="25">
        <v>36.915068493150685</v>
      </c>
      <c r="I10" s="7" t="s">
        <v>1163</v>
      </c>
      <c r="J10" s="7" t="s">
        <v>3489</v>
      </c>
      <c r="K10" s="7" t="s">
        <v>3490</v>
      </c>
      <c r="L10" s="7">
        <v>3115114909</v>
      </c>
    </row>
    <row r="11" spans="1:12" x14ac:dyDescent="0.25">
      <c r="A11">
        <v>11</v>
      </c>
      <c r="B11" t="s">
        <v>1984</v>
      </c>
      <c r="C11" t="s">
        <v>338</v>
      </c>
      <c r="D11" t="s">
        <v>339</v>
      </c>
      <c r="E11" t="s">
        <v>340</v>
      </c>
      <c r="F11" t="s">
        <v>169</v>
      </c>
      <c r="G11" s="22">
        <v>26278</v>
      </c>
      <c r="H11" s="21">
        <v>49.591780821917808</v>
      </c>
      <c r="I11" t="s">
        <v>534</v>
      </c>
      <c r="J11" t="s">
        <v>2521</v>
      </c>
      <c r="K11" t="s">
        <v>2522</v>
      </c>
      <c r="L11">
        <v>3115060130</v>
      </c>
    </row>
    <row r="12" spans="1:12" x14ac:dyDescent="0.25">
      <c r="A12">
        <v>12</v>
      </c>
      <c r="B12" t="s">
        <v>1442</v>
      </c>
      <c r="C12" t="s">
        <v>76</v>
      </c>
      <c r="D12" t="s">
        <v>299</v>
      </c>
      <c r="E12" t="s">
        <v>106</v>
      </c>
      <c r="F12" t="s">
        <v>2467</v>
      </c>
      <c r="G12" s="22">
        <v>29182</v>
      </c>
      <c r="H12" s="21">
        <v>41.635616438356166</v>
      </c>
      <c r="I12" t="s">
        <v>1165</v>
      </c>
      <c r="J12" t="s">
        <v>3491</v>
      </c>
      <c r="K12" t="s">
        <v>3492</v>
      </c>
      <c r="L12">
        <v>3115060130</v>
      </c>
    </row>
    <row r="13" spans="1:12" x14ac:dyDescent="0.25">
      <c r="A13">
        <v>13</v>
      </c>
      <c r="B13" t="s">
        <v>1985</v>
      </c>
      <c r="C13" t="s">
        <v>341</v>
      </c>
      <c r="D13" t="s">
        <v>342</v>
      </c>
      <c r="E13" t="s">
        <v>293</v>
      </c>
      <c r="F13" t="s">
        <v>66</v>
      </c>
      <c r="G13" s="22">
        <v>25676</v>
      </c>
      <c r="H13" s="21">
        <v>51.241095890410961</v>
      </c>
      <c r="I13" t="s">
        <v>535</v>
      </c>
      <c r="J13" t="s">
        <v>2523</v>
      </c>
      <c r="K13" t="s">
        <v>2524</v>
      </c>
      <c r="L13">
        <v>3115060125</v>
      </c>
    </row>
    <row r="14" spans="1:12" x14ac:dyDescent="0.25">
      <c r="A14">
        <v>14</v>
      </c>
      <c r="B14" t="s">
        <v>1443</v>
      </c>
      <c r="C14" t="s">
        <v>217</v>
      </c>
      <c r="D14" t="s">
        <v>7</v>
      </c>
      <c r="E14" t="s">
        <v>136</v>
      </c>
      <c r="F14" t="s">
        <v>2468</v>
      </c>
      <c r="G14" s="22">
        <v>29927</v>
      </c>
      <c r="H14" s="21">
        <v>39.594520547945208</v>
      </c>
      <c r="I14" t="s">
        <v>1166</v>
      </c>
      <c r="J14" t="s">
        <v>3493</v>
      </c>
      <c r="K14" t="s">
        <v>3494</v>
      </c>
      <c r="L14">
        <v>3115060125</v>
      </c>
    </row>
    <row r="15" spans="1:12" x14ac:dyDescent="0.25">
      <c r="A15">
        <v>15</v>
      </c>
      <c r="B15" t="s">
        <v>1986</v>
      </c>
      <c r="C15" t="s">
        <v>343</v>
      </c>
      <c r="D15" t="s">
        <v>448</v>
      </c>
      <c r="E15" t="s">
        <v>251</v>
      </c>
      <c r="F15" t="s">
        <v>344</v>
      </c>
      <c r="G15" s="22">
        <v>36500</v>
      </c>
      <c r="H15" s="21">
        <v>21.586301369863012</v>
      </c>
      <c r="I15" t="s">
        <v>536</v>
      </c>
      <c r="J15" t="s">
        <v>2525</v>
      </c>
      <c r="K15" t="s">
        <v>2526</v>
      </c>
      <c r="L15">
        <v>3115060110</v>
      </c>
    </row>
    <row r="16" spans="1:12" x14ac:dyDescent="0.25">
      <c r="A16">
        <v>16</v>
      </c>
      <c r="B16" t="s">
        <v>1444</v>
      </c>
      <c r="C16" t="s">
        <v>300</v>
      </c>
      <c r="D16" t="s">
        <v>204</v>
      </c>
      <c r="E16" t="s">
        <v>89</v>
      </c>
      <c r="F16" t="s">
        <v>222</v>
      </c>
      <c r="G16" s="22">
        <v>34818</v>
      </c>
      <c r="H16" s="21">
        <v>26.194520547945206</v>
      </c>
      <c r="I16" t="s">
        <v>1167</v>
      </c>
      <c r="J16" t="s">
        <v>3495</v>
      </c>
      <c r="K16" t="s">
        <v>3496</v>
      </c>
      <c r="L16">
        <v>3115060110</v>
      </c>
    </row>
    <row r="17" spans="1:12" x14ac:dyDescent="0.25">
      <c r="A17">
        <v>17</v>
      </c>
      <c r="B17" t="s">
        <v>1987</v>
      </c>
      <c r="C17" t="s">
        <v>421</v>
      </c>
      <c r="D17" t="s">
        <v>446</v>
      </c>
      <c r="E17" t="s">
        <v>153</v>
      </c>
      <c r="F17" t="s">
        <v>117</v>
      </c>
      <c r="G17" s="22">
        <v>29364</v>
      </c>
      <c r="H17" s="21">
        <v>41.136986301369866</v>
      </c>
      <c r="I17" t="s">
        <v>537</v>
      </c>
      <c r="J17" t="s">
        <v>2527</v>
      </c>
      <c r="K17" t="s">
        <v>2528</v>
      </c>
      <c r="L17">
        <v>3115060091</v>
      </c>
    </row>
    <row r="18" spans="1:12" x14ac:dyDescent="0.25">
      <c r="A18">
        <v>18</v>
      </c>
      <c r="B18" t="s">
        <v>1445</v>
      </c>
      <c r="C18" t="s">
        <v>50</v>
      </c>
      <c r="D18" t="s">
        <v>76</v>
      </c>
      <c r="E18" t="s">
        <v>188</v>
      </c>
      <c r="F18" t="s">
        <v>250</v>
      </c>
      <c r="G18" s="22">
        <v>32625</v>
      </c>
      <c r="H18" s="21">
        <v>32.202739726027396</v>
      </c>
      <c r="I18" t="s">
        <v>1168</v>
      </c>
      <c r="J18" t="s">
        <v>3497</v>
      </c>
      <c r="K18" t="s">
        <v>3498</v>
      </c>
      <c r="L18">
        <v>3115060091</v>
      </c>
    </row>
    <row r="19" spans="1:12" x14ac:dyDescent="0.25">
      <c r="A19">
        <v>19</v>
      </c>
      <c r="B19" t="s">
        <v>1988</v>
      </c>
      <c r="C19" t="s">
        <v>345</v>
      </c>
      <c r="D19" t="s">
        <v>397</v>
      </c>
      <c r="E19" t="s">
        <v>346</v>
      </c>
      <c r="F19" t="s">
        <v>443</v>
      </c>
      <c r="G19" s="22">
        <v>25260</v>
      </c>
      <c r="H19" s="21">
        <v>52.38082191780822</v>
      </c>
      <c r="I19" t="s">
        <v>538</v>
      </c>
      <c r="J19" t="s">
        <v>2529</v>
      </c>
      <c r="K19" t="s">
        <v>2530</v>
      </c>
      <c r="L19">
        <v>3115060080</v>
      </c>
    </row>
    <row r="20" spans="1:12" x14ac:dyDescent="0.25">
      <c r="A20">
        <v>20</v>
      </c>
      <c r="B20" t="s">
        <v>1446</v>
      </c>
      <c r="C20" t="s">
        <v>301</v>
      </c>
      <c r="D20" t="s">
        <v>31</v>
      </c>
      <c r="E20" t="s">
        <v>119</v>
      </c>
      <c r="F20" t="s">
        <v>224</v>
      </c>
      <c r="G20" s="22">
        <v>27247</v>
      </c>
      <c r="H20" s="21">
        <v>46.936986301369863</v>
      </c>
      <c r="I20" t="s">
        <v>1169</v>
      </c>
      <c r="J20" t="s">
        <v>3499</v>
      </c>
      <c r="K20" t="s">
        <v>3500</v>
      </c>
      <c r="L20">
        <v>3115060080</v>
      </c>
    </row>
    <row r="21" spans="1:12" x14ac:dyDescent="0.25">
      <c r="A21">
        <v>21</v>
      </c>
      <c r="B21" t="s">
        <v>1989</v>
      </c>
      <c r="C21" t="s">
        <v>347</v>
      </c>
      <c r="D21" t="s">
        <v>432</v>
      </c>
      <c r="E21" t="s">
        <v>348</v>
      </c>
      <c r="F21" t="s">
        <v>278</v>
      </c>
      <c r="G21" s="22">
        <v>23846</v>
      </c>
      <c r="H21" s="21">
        <v>56.254794520547946</v>
      </c>
      <c r="I21" t="s">
        <v>539</v>
      </c>
      <c r="J21" t="s">
        <v>2531</v>
      </c>
      <c r="K21" t="s">
        <v>2532</v>
      </c>
      <c r="L21">
        <v>3115114385</v>
      </c>
    </row>
    <row r="22" spans="1:12" x14ac:dyDescent="0.25">
      <c r="A22">
        <v>22</v>
      </c>
      <c r="B22" t="s">
        <v>1447</v>
      </c>
      <c r="C22" t="s">
        <v>125</v>
      </c>
      <c r="D22" t="s">
        <v>302</v>
      </c>
      <c r="E22" t="s">
        <v>46</v>
      </c>
      <c r="F22" t="s">
        <v>225</v>
      </c>
      <c r="G22" s="22">
        <v>26890</v>
      </c>
      <c r="H22" s="21">
        <v>47.915068493150685</v>
      </c>
      <c r="I22" t="s">
        <v>1170</v>
      </c>
      <c r="J22" t="s">
        <v>3501</v>
      </c>
      <c r="K22" t="s">
        <v>3502</v>
      </c>
      <c r="L22">
        <v>3115114385</v>
      </c>
    </row>
    <row r="23" spans="1:12" x14ac:dyDescent="0.25">
      <c r="A23">
        <v>23</v>
      </c>
      <c r="B23" t="s">
        <v>1990</v>
      </c>
      <c r="C23" t="s">
        <v>349</v>
      </c>
      <c r="D23" t="s">
        <v>330</v>
      </c>
      <c r="E23" t="s">
        <v>94</v>
      </c>
      <c r="F23" t="s">
        <v>406</v>
      </c>
      <c r="G23" s="22">
        <v>35411</v>
      </c>
      <c r="H23" s="21">
        <v>24.56986301369863</v>
      </c>
      <c r="I23" t="s">
        <v>540</v>
      </c>
      <c r="J23" t="s">
        <v>2533</v>
      </c>
      <c r="K23" t="s">
        <v>2534</v>
      </c>
      <c r="L23">
        <v>3115114360</v>
      </c>
    </row>
    <row r="24" spans="1:12" x14ac:dyDescent="0.25">
      <c r="A24">
        <v>24</v>
      </c>
      <c r="B24" t="s">
        <v>1448</v>
      </c>
      <c r="C24" t="s">
        <v>187</v>
      </c>
      <c r="D24" t="s">
        <v>28</v>
      </c>
      <c r="E24" t="s">
        <v>210</v>
      </c>
      <c r="F24" t="s">
        <v>2475</v>
      </c>
      <c r="G24" s="22">
        <v>28118</v>
      </c>
      <c r="H24" s="21">
        <v>44.550684931506851</v>
      </c>
      <c r="I24" t="s">
        <v>1269</v>
      </c>
      <c r="J24" t="s">
        <v>3503</v>
      </c>
      <c r="K24" t="s">
        <v>3504</v>
      </c>
      <c r="L24">
        <v>3115114360</v>
      </c>
    </row>
    <row r="25" spans="1:12" x14ac:dyDescent="0.25">
      <c r="A25">
        <v>25</v>
      </c>
      <c r="B25" t="s">
        <v>1991</v>
      </c>
      <c r="C25" t="s">
        <v>341</v>
      </c>
      <c r="D25" t="s">
        <v>429</v>
      </c>
      <c r="E25" t="s">
        <v>350</v>
      </c>
      <c r="F25" t="s">
        <v>449</v>
      </c>
      <c r="G25" s="22">
        <v>27787</v>
      </c>
      <c r="H25" s="21">
        <v>45.457534246575342</v>
      </c>
      <c r="I25" t="s">
        <v>541</v>
      </c>
      <c r="J25" t="s">
        <v>2535</v>
      </c>
      <c r="K25" t="s">
        <v>2536</v>
      </c>
      <c r="L25">
        <v>3115093653</v>
      </c>
    </row>
    <row r="26" spans="1:12" x14ac:dyDescent="0.25">
      <c r="A26">
        <v>26</v>
      </c>
      <c r="B26" t="s">
        <v>1449</v>
      </c>
      <c r="C26" t="s">
        <v>303</v>
      </c>
      <c r="D26" t="s">
        <v>96</v>
      </c>
      <c r="E26" t="s">
        <v>124</v>
      </c>
      <c r="F26" t="s">
        <v>191</v>
      </c>
      <c r="G26" s="22">
        <v>30098</v>
      </c>
      <c r="H26" s="21">
        <v>39.126027397260273</v>
      </c>
      <c r="I26" t="s">
        <v>1172</v>
      </c>
      <c r="J26" t="s">
        <v>3505</v>
      </c>
      <c r="K26" t="s">
        <v>3506</v>
      </c>
      <c r="L26">
        <v>3115093653</v>
      </c>
    </row>
    <row r="27" spans="1:12" x14ac:dyDescent="0.25">
      <c r="A27">
        <v>27</v>
      </c>
      <c r="B27" t="s">
        <v>1992</v>
      </c>
      <c r="C27" t="s">
        <v>351</v>
      </c>
      <c r="D27" t="s">
        <v>432</v>
      </c>
      <c r="E27" t="s">
        <v>153</v>
      </c>
      <c r="F27" t="s">
        <v>352</v>
      </c>
      <c r="G27" s="22">
        <v>31248</v>
      </c>
      <c r="H27" s="21">
        <v>35.975342465753428</v>
      </c>
      <c r="I27" t="s">
        <v>542</v>
      </c>
      <c r="J27" t="s">
        <v>2537</v>
      </c>
      <c r="K27" t="s">
        <v>2538</v>
      </c>
      <c r="L27">
        <v>3115093598</v>
      </c>
    </row>
    <row r="28" spans="1:12" x14ac:dyDescent="0.25">
      <c r="A28">
        <v>28</v>
      </c>
      <c r="B28" t="s">
        <v>1450</v>
      </c>
      <c r="C28" t="s">
        <v>50</v>
      </c>
      <c r="D28" t="s">
        <v>65</v>
      </c>
      <c r="E28" t="s">
        <v>59</v>
      </c>
      <c r="F28" t="s">
        <v>423</v>
      </c>
      <c r="G28" s="22">
        <v>30517</v>
      </c>
      <c r="H28" s="21">
        <v>37.978082191780821</v>
      </c>
      <c r="I28" t="s">
        <v>1173</v>
      </c>
      <c r="J28" t="s">
        <v>3507</v>
      </c>
      <c r="K28" t="s">
        <v>3508</v>
      </c>
      <c r="L28">
        <v>3115093598</v>
      </c>
    </row>
    <row r="29" spans="1:12" x14ac:dyDescent="0.25">
      <c r="A29">
        <v>29</v>
      </c>
      <c r="B29" t="s">
        <v>1993</v>
      </c>
      <c r="C29" t="s">
        <v>353</v>
      </c>
      <c r="D29" t="s">
        <v>450</v>
      </c>
      <c r="E29" t="s">
        <v>298</v>
      </c>
      <c r="F29" t="s">
        <v>451</v>
      </c>
      <c r="G29" s="22">
        <v>35399</v>
      </c>
      <c r="H29" s="21">
        <v>24.602739726027398</v>
      </c>
      <c r="I29" t="s">
        <v>543</v>
      </c>
      <c r="J29" t="s">
        <v>2539</v>
      </c>
      <c r="K29" t="s">
        <v>2540</v>
      </c>
      <c r="L29">
        <v>3115093583</v>
      </c>
    </row>
    <row r="30" spans="1:12" x14ac:dyDescent="0.25">
      <c r="A30">
        <v>30</v>
      </c>
      <c r="B30" t="s">
        <v>1451</v>
      </c>
      <c r="C30" t="s">
        <v>198</v>
      </c>
      <c r="D30" t="s">
        <v>195</v>
      </c>
      <c r="E30" t="s">
        <v>223</v>
      </c>
      <c r="F30" t="s">
        <v>71</v>
      </c>
      <c r="G30" s="22">
        <v>35538</v>
      </c>
      <c r="H30" s="21">
        <v>24.221917808219178</v>
      </c>
      <c r="I30" t="s">
        <v>1174</v>
      </c>
      <c r="J30" t="s">
        <v>3509</v>
      </c>
      <c r="K30" t="s">
        <v>3510</v>
      </c>
      <c r="L30">
        <v>3115093583</v>
      </c>
    </row>
    <row r="31" spans="1:12" x14ac:dyDescent="0.25">
      <c r="A31">
        <v>31</v>
      </c>
      <c r="B31" t="s">
        <v>1994</v>
      </c>
      <c r="C31" t="s">
        <v>354</v>
      </c>
      <c r="D31" t="s">
        <v>402</v>
      </c>
      <c r="E31" t="s">
        <v>355</v>
      </c>
      <c r="F31" t="s">
        <v>170</v>
      </c>
      <c r="G31" s="22">
        <v>29975</v>
      </c>
      <c r="H31" s="21">
        <v>39.463013698630135</v>
      </c>
      <c r="I31" t="s">
        <v>544</v>
      </c>
      <c r="J31" t="s">
        <v>2541</v>
      </c>
      <c r="K31" t="s">
        <v>2542</v>
      </c>
      <c r="L31">
        <v>3115092386</v>
      </c>
    </row>
    <row r="32" spans="1:12" x14ac:dyDescent="0.25">
      <c r="A32">
        <v>32</v>
      </c>
      <c r="B32" t="s">
        <v>1452</v>
      </c>
      <c r="C32" t="s">
        <v>178</v>
      </c>
      <c r="D32" t="s">
        <v>25</v>
      </c>
      <c r="E32" t="s">
        <v>314</v>
      </c>
      <c r="F32" t="s">
        <v>226</v>
      </c>
      <c r="G32" s="22">
        <v>34993</v>
      </c>
      <c r="H32" s="21">
        <v>25.715068493150685</v>
      </c>
      <c r="I32" t="s">
        <v>1175</v>
      </c>
      <c r="J32" t="s">
        <v>3511</v>
      </c>
      <c r="K32" t="s">
        <v>3512</v>
      </c>
      <c r="L32">
        <v>3115092386</v>
      </c>
    </row>
    <row r="33" spans="1:12" x14ac:dyDescent="0.25">
      <c r="A33">
        <v>33</v>
      </c>
      <c r="B33" t="s">
        <v>1995</v>
      </c>
      <c r="C33" t="s">
        <v>341</v>
      </c>
      <c r="D33" t="s">
        <v>369</v>
      </c>
      <c r="E33" t="s">
        <v>368</v>
      </c>
      <c r="F33" t="s">
        <v>452</v>
      </c>
      <c r="G33" s="22">
        <v>26802</v>
      </c>
      <c r="H33" s="21">
        <v>48.156164383561645</v>
      </c>
      <c r="I33" t="s">
        <v>545</v>
      </c>
      <c r="J33" t="s">
        <v>2543</v>
      </c>
      <c r="K33" t="s">
        <v>2544</v>
      </c>
      <c r="L33">
        <v>3115092375</v>
      </c>
    </row>
    <row r="34" spans="1:12" x14ac:dyDescent="0.25">
      <c r="A34">
        <v>34</v>
      </c>
      <c r="B34" t="s">
        <v>1453</v>
      </c>
      <c r="C34" t="s">
        <v>50</v>
      </c>
      <c r="D34" t="s">
        <v>142</v>
      </c>
      <c r="E34" t="s">
        <v>48</v>
      </c>
      <c r="F34" t="s">
        <v>2474</v>
      </c>
      <c r="G34" s="22">
        <v>31042</v>
      </c>
      <c r="H34" s="21">
        <v>36.539726027397258</v>
      </c>
      <c r="I34" t="s">
        <v>1176</v>
      </c>
      <c r="J34" t="s">
        <v>3513</v>
      </c>
      <c r="K34" t="s">
        <v>3514</v>
      </c>
      <c r="L34">
        <v>3115092375</v>
      </c>
    </row>
    <row r="35" spans="1:12" x14ac:dyDescent="0.25">
      <c r="A35">
        <v>35</v>
      </c>
      <c r="B35" t="s">
        <v>1996</v>
      </c>
      <c r="C35" t="s">
        <v>356</v>
      </c>
      <c r="D35" t="s">
        <v>330</v>
      </c>
      <c r="E35" t="s">
        <v>346</v>
      </c>
      <c r="F35" t="s">
        <v>221</v>
      </c>
      <c r="G35" s="22">
        <v>32291</v>
      </c>
      <c r="H35" s="21">
        <v>33.11780821917808</v>
      </c>
      <c r="I35" t="s">
        <v>921</v>
      </c>
      <c r="J35" t="s">
        <v>2545</v>
      </c>
      <c r="K35" t="s">
        <v>2546</v>
      </c>
      <c r="L35">
        <v>3115092369</v>
      </c>
    </row>
    <row r="36" spans="1:12" x14ac:dyDescent="0.25">
      <c r="A36">
        <v>36</v>
      </c>
      <c r="B36" t="s">
        <v>1454</v>
      </c>
      <c r="C36" t="s">
        <v>93</v>
      </c>
      <c r="D36" t="s">
        <v>45</v>
      </c>
      <c r="E36" t="s">
        <v>182</v>
      </c>
      <c r="F36" t="s">
        <v>2473</v>
      </c>
      <c r="G36" s="22">
        <v>24553</v>
      </c>
      <c r="H36" s="21">
        <v>54.317808219178083</v>
      </c>
      <c r="I36" t="s">
        <v>1177</v>
      </c>
      <c r="J36" t="s">
        <v>3515</v>
      </c>
      <c r="K36" t="s">
        <v>3516</v>
      </c>
      <c r="L36">
        <v>3115092369</v>
      </c>
    </row>
    <row r="37" spans="1:12" x14ac:dyDescent="0.25">
      <c r="A37">
        <v>37</v>
      </c>
      <c r="B37" t="s">
        <v>1997</v>
      </c>
      <c r="C37" t="s">
        <v>442</v>
      </c>
      <c r="D37" t="s">
        <v>330</v>
      </c>
      <c r="E37" t="s">
        <v>443</v>
      </c>
      <c r="F37" t="s">
        <v>444</v>
      </c>
      <c r="G37" s="22">
        <v>34165</v>
      </c>
      <c r="H37" s="21">
        <v>27.983561643835618</v>
      </c>
      <c r="I37" t="s">
        <v>546</v>
      </c>
      <c r="J37" t="s">
        <v>2547</v>
      </c>
      <c r="K37" t="s">
        <v>2548</v>
      </c>
      <c r="L37">
        <v>3115092360</v>
      </c>
    </row>
    <row r="38" spans="1:12" x14ac:dyDescent="0.25">
      <c r="A38">
        <v>38</v>
      </c>
      <c r="B38" t="s">
        <v>1455</v>
      </c>
      <c r="C38" t="s">
        <v>172</v>
      </c>
      <c r="D38" t="s">
        <v>149</v>
      </c>
      <c r="E38" t="s">
        <v>272</v>
      </c>
      <c r="F38" t="s">
        <v>61</v>
      </c>
      <c r="G38" s="22">
        <v>26381</v>
      </c>
      <c r="H38" s="21">
        <v>49.30958904109589</v>
      </c>
      <c r="I38" t="s">
        <v>1178</v>
      </c>
      <c r="J38" t="s">
        <v>3517</v>
      </c>
      <c r="K38" t="s">
        <v>3518</v>
      </c>
      <c r="L38">
        <v>3115092360</v>
      </c>
    </row>
    <row r="39" spans="1:12" x14ac:dyDescent="0.25">
      <c r="A39">
        <v>39</v>
      </c>
      <c r="B39" t="s">
        <v>1998</v>
      </c>
      <c r="C39" t="s">
        <v>453</v>
      </c>
      <c r="D39" t="s">
        <v>371</v>
      </c>
      <c r="E39" t="s">
        <v>357</v>
      </c>
      <c r="F39" t="s">
        <v>72</v>
      </c>
      <c r="G39" s="22">
        <v>26788</v>
      </c>
      <c r="H39" s="21">
        <v>48.194520547945203</v>
      </c>
      <c r="I39" t="s">
        <v>547</v>
      </c>
      <c r="J39" t="s">
        <v>2549</v>
      </c>
      <c r="K39" t="s">
        <v>2550</v>
      </c>
      <c r="L39">
        <v>3115092352</v>
      </c>
    </row>
    <row r="40" spans="1:12" x14ac:dyDescent="0.25">
      <c r="A40">
        <v>40</v>
      </c>
      <c r="B40" t="s">
        <v>1456</v>
      </c>
      <c r="C40" t="s">
        <v>21</v>
      </c>
      <c r="D40" t="s">
        <v>151</v>
      </c>
      <c r="E40" t="s">
        <v>92</v>
      </c>
      <c r="F40" t="s">
        <v>230</v>
      </c>
      <c r="G40" s="22">
        <v>28060</v>
      </c>
      <c r="H40" s="21">
        <v>44.709589041095889</v>
      </c>
      <c r="I40" t="s">
        <v>609</v>
      </c>
      <c r="J40" t="s">
        <v>3519</v>
      </c>
      <c r="K40" t="s">
        <v>3520</v>
      </c>
      <c r="L40">
        <v>3115092352</v>
      </c>
    </row>
    <row r="41" spans="1:12" x14ac:dyDescent="0.25">
      <c r="A41">
        <v>41</v>
      </c>
      <c r="B41" t="s">
        <v>1999</v>
      </c>
      <c r="C41" t="s">
        <v>341</v>
      </c>
      <c r="D41" t="s">
        <v>349</v>
      </c>
      <c r="E41" t="s">
        <v>358</v>
      </c>
      <c r="F41" t="s">
        <v>199</v>
      </c>
      <c r="G41" s="22">
        <v>28797</v>
      </c>
      <c r="H41" s="21">
        <v>42.69041095890411</v>
      </c>
      <c r="I41" t="s">
        <v>548</v>
      </c>
      <c r="J41" t="s">
        <v>2551</v>
      </c>
      <c r="K41" t="s">
        <v>2552</v>
      </c>
      <c r="L41">
        <v>3115114930</v>
      </c>
    </row>
    <row r="42" spans="1:12" x14ac:dyDescent="0.25">
      <c r="A42">
        <v>42</v>
      </c>
      <c r="B42" t="s">
        <v>1457</v>
      </c>
      <c r="C42" t="s">
        <v>112</v>
      </c>
      <c r="D42" t="s">
        <v>23</v>
      </c>
      <c r="E42" t="s">
        <v>97</v>
      </c>
      <c r="F42" t="s">
        <v>346</v>
      </c>
      <c r="G42" s="22">
        <v>28084</v>
      </c>
      <c r="H42" s="21">
        <v>44.643835616438359</v>
      </c>
      <c r="I42" t="s">
        <v>1179</v>
      </c>
      <c r="J42" t="s">
        <v>3521</v>
      </c>
      <c r="K42" t="s">
        <v>3522</v>
      </c>
      <c r="L42">
        <v>3115114930</v>
      </c>
    </row>
    <row r="43" spans="1:12" x14ac:dyDescent="0.25">
      <c r="A43">
        <v>43</v>
      </c>
      <c r="B43" t="s">
        <v>2000</v>
      </c>
      <c r="C43" t="s">
        <v>359</v>
      </c>
      <c r="D43" t="s">
        <v>333</v>
      </c>
      <c r="E43" t="s">
        <v>183</v>
      </c>
      <c r="F43" t="s">
        <v>47</v>
      </c>
      <c r="G43" s="22">
        <v>29376</v>
      </c>
      <c r="H43" s="21">
        <v>41.104109589041094</v>
      </c>
      <c r="I43" t="s">
        <v>546</v>
      </c>
      <c r="J43" t="s">
        <v>2553</v>
      </c>
      <c r="K43" t="s">
        <v>2554</v>
      </c>
      <c r="L43">
        <v>3115114916</v>
      </c>
    </row>
    <row r="44" spans="1:12" x14ac:dyDescent="0.25">
      <c r="A44">
        <v>44</v>
      </c>
      <c r="B44" t="s">
        <v>1458</v>
      </c>
      <c r="C44" t="s">
        <v>26</v>
      </c>
      <c r="D44" t="s">
        <v>304</v>
      </c>
      <c r="E44" t="s">
        <v>161</v>
      </c>
      <c r="F44" t="s">
        <v>43</v>
      </c>
      <c r="G44" s="22">
        <v>27964</v>
      </c>
      <c r="H44" s="21">
        <v>44.972602739726028</v>
      </c>
      <c r="I44" t="s">
        <v>1180</v>
      </c>
      <c r="J44" t="s">
        <v>3523</v>
      </c>
      <c r="K44" t="s">
        <v>3524</v>
      </c>
      <c r="L44">
        <v>3115114916</v>
      </c>
    </row>
    <row r="45" spans="1:12" x14ac:dyDescent="0.25">
      <c r="A45">
        <v>45</v>
      </c>
      <c r="B45" t="s">
        <v>2001</v>
      </c>
      <c r="C45" t="s">
        <v>360</v>
      </c>
      <c r="D45" t="s">
        <v>330</v>
      </c>
      <c r="E45" t="s">
        <v>361</v>
      </c>
      <c r="F45" t="s">
        <v>264</v>
      </c>
      <c r="G45" s="22">
        <v>27098</v>
      </c>
      <c r="H45" s="21">
        <v>47.345205479452055</v>
      </c>
      <c r="I45" t="s">
        <v>549</v>
      </c>
      <c r="J45" t="s">
        <v>2555</v>
      </c>
      <c r="K45" t="s">
        <v>2556</v>
      </c>
      <c r="L45">
        <v>3115114911</v>
      </c>
    </row>
    <row r="46" spans="1:12" x14ac:dyDescent="0.25">
      <c r="A46">
        <v>46</v>
      </c>
      <c r="B46" t="s">
        <v>1459</v>
      </c>
      <c r="C46" t="s">
        <v>7</v>
      </c>
      <c r="D46" t="s">
        <v>204</v>
      </c>
      <c r="E46" t="s">
        <v>138</v>
      </c>
      <c r="F46" t="s">
        <v>779</v>
      </c>
      <c r="G46" s="22">
        <v>24639</v>
      </c>
      <c r="H46" s="21">
        <v>54.082191780821915</v>
      </c>
      <c r="I46" t="s">
        <v>1181</v>
      </c>
      <c r="J46" t="s">
        <v>3525</v>
      </c>
      <c r="K46" t="s">
        <v>3526</v>
      </c>
      <c r="L46">
        <v>3115114911</v>
      </c>
    </row>
    <row r="47" spans="1:12" x14ac:dyDescent="0.25">
      <c r="A47">
        <v>47</v>
      </c>
      <c r="B47" t="s">
        <v>2002</v>
      </c>
      <c r="C47" t="s">
        <v>362</v>
      </c>
      <c r="D47" t="s">
        <v>479</v>
      </c>
      <c r="E47" t="s">
        <v>363</v>
      </c>
      <c r="F47" t="s">
        <v>454</v>
      </c>
      <c r="G47" s="22">
        <v>29361</v>
      </c>
      <c r="H47" s="21">
        <v>41.145205479452052</v>
      </c>
      <c r="I47" t="s">
        <v>550</v>
      </c>
      <c r="J47" t="s">
        <v>2557</v>
      </c>
      <c r="K47" t="s">
        <v>2558</v>
      </c>
      <c r="L47">
        <v>3115114910</v>
      </c>
    </row>
    <row r="48" spans="1:12" x14ac:dyDescent="0.25">
      <c r="A48">
        <v>48</v>
      </c>
      <c r="B48" t="s">
        <v>1460</v>
      </c>
      <c r="C48" t="s">
        <v>305</v>
      </c>
      <c r="D48" t="s">
        <v>134</v>
      </c>
      <c r="E48" t="s">
        <v>212</v>
      </c>
      <c r="F48" t="s">
        <v>138</v>
      </c>
      <c r="G48" s="22">
        <v>23623</v>
      </c>
      <c r="H48" s="21">
        <v>56.865753424657534</v>
      </c>
      <c r="I48" t="s">
        <v>1182</v>
      </c>
      <c r="J48" t="s">
        <v>3527</v>
      </c>
      <c r="K48" t="s">
        <v>3528</v>
      </c>
      <c r="L48">
        <v>3115114910</v>
      </c>
    </row>
    <row r="49" spans="1:12" x14ac:dyDescent="0.25">
      <c r="A49">
        <v>49</v>
      </c>
      <c r="B49" t="s">
        <v>2003</v>
      </c>
      <c r="C49" t="s">
        <v>364</v>
      </c>
      <c r="D49" t="s">
        <v>365</v>
      </c>
      <c r="E49" t="s">
        <v>366</v>
      </c>
      <c r="F49" t="s">
        <v>367</v>
      </c>
      <c r="G49" s="22">
        <v>21589</v>
      </c>
      <c r="H49" s="21">
        <v>62.438356164383563</v>
      </c>
      <c r="I49" t="s">
        <v>551</v>
      </c>
      <c r="J49" t="s">
        <v>2559</v>
      </c>
      <c r="K49" t="s">
        <v>2560</v>
      </c>
      <c r="L49">
        <v>3115114909</v>
      </c>
    </row>
    <row r="50" spans="1:12" x14ac:dyDescent="0.25">
      <c r="A50">
        <v>50</v>
      </c>
      <c r="B50" t="s">
        <v>1461</v>
      </c>
      <c r="C50" t="s">
        <v>137</v>
      </c>
      <c r="D50" t="s">
        <v>98</v>
      </c>
      <c r="E50" t="s">
        <v>214</v>
      </c>
      <c r="F50" t="s">
        <v>2472</v>
      </c>
      <c r="G50" s="22">
        <v>25880</v>
      </c>
      <c r="H50" s="21">
        <v>50.682191780821917</v>
      </c>
      <c r="I50" t="s">
        <v>1183</v>
      </c>
      <c r="J50" t="s">
        <v>3529</v>
      </c>
      <c r="K50" t="s">
        <v>3530</v>
      </c>
      <c r="L50">
        <v>3115114909</v>
      </c>
    </row>
    <row r="51" spans="1:12" x14ac:dyDescent="0.25">
      <c r="A51">
        <v>51</v>
      </c>
      <c r="B51" t="s">
        <v>2004</v>
      </c>
      <c r="C51" t="s">
        <v>480</v>
      </c>
      <c r="D51" t="s">
        <v>335</v>
      </c>
      <c r="E51" t="s">
        <v>117</v>
      </c>
      <c r="F51" t="s">
        <v>368</v>
      </c>
      <c r="G51" s="22">
        <v>36123</v>
      </c>
      <c r="H51" s="21">
        <v>22.61917808219178</v>
      </c>
      <c r="I51" t="s">
        <v>552</v>
      </c>
      <c r="J51" t="s">
        <v>2561</v>
      </c>
      <c r="K51" t="s">
        <v>2562</v>
      </c>
      <c r="L51">
        <v>3115060130</v>
      </c>
    </row>
    <row r="52" spans="1:12" x14ac:dyDescent="0.25">
      <c r="A52">
        <v>52</v>
      </c>
      <c r="B52" t="s">
        <v>1462</v>
      </c>
      <c r="C52" t="s">
        <v>50</v>
      </c>
      <c r="D52" t="s">
        <v>159</v>
      </c>
      <c r="E52" t="s">
        <v>84</v>
      </c>
      <c r="F52" t="s">
        <v>235</v>
      </c>
      <c r="G52" s="22">
        <v>28412</v>
      </c>
      <c r="H52" s="21">
        <v>43.745205479452054</v>
      </c>
      <c r="I52" t="s">
        <v>1184</v>
      </c>
      <c r="J52" t="s">
        <v>3531</v>
      </c>
      <c r="K52" t="s">
        <v>3532</v>
      </c>
      <c r="L52">
        <v>3115060130</v>
      </c>
    </row>
    <row r="53" spans="1:12" x14ac:dyDescent="0.25">
      <c r="A53">
        <v>53</v>
      </c>
      <c r="B53" t="s">
        <v>2005</v>
      </c>
      <c r="C53" t="s">
        <v>341</v>
      </c>
      <c r="D53" t="s">
        <v>481</v>
      </c>
      <c r="E53" t="s">
        <v>369</v>
      </c>
      <c r="F53" t="s">
        <v>337</v>
      </c>
      <c r="G53" s="22">
        <v>23022</v>
      </c>
      <c r="H53" s="21">
        <v>58.512328767123286</v>
      </c>
      <c r="I53" t="s">
        <v>553</v>
      </c>
      <c r="J53" t="s">
        <v>2563</v>
      </c>
      <c r="K53" t="s">
        <v>2564</v>
      </c>
      <c r="L53">
        <v>3115060125</v>
      </c>
    </row>
    <row r="54" spans="1:12" x14ac:dyDescent="0.25">
      <c r="A54">
        <v>54</v>
      </c>
      <c r="B54" t="s">
        <v>1463</v>
      </c>
      <c r="C54" t="s">
        <v>118</v>
      </c>
      <c r="D54" t="s">
        <v>36</v>
      </c>
      <c r="E54" t="s">
        <v>57</v>
      </c>
      <c r="F54" t="s">
        <v>2471</v>
      </c>
      <c r="G54" s="22">
        <v>30048</v>
      </c>
      <c r="H54" s="21">
        <v>39.263013698630139</v>
      </c>
      <c r="I54" t="s">
        <v>1178</v>
      </c>
      <c r="J54" t="s">
        <v>3533</v>
      </c>
      <c r="K54" t="s">
        <v>3534</v>
      </c>
      <c r="L54">
        <v>3115060125</v>
      </c>
    </row>
    <row r="55" spans="1:12" x14ac:dyDescent="0.25">
      <c r="A55">
        <v>55</v>
      </c>
      <c r="B55" t="s">
        <v>2006</v>
      </c>
      <c r="C55" t="s">
        <v>351</v>
      </c>
      <c r="D55" t="s">
        <v>482</v>
      </c>
      <c r="E55" t="s">
        <v>370</v>
      </c>
      <c r="F55" t="s">
        <v>43</v>
      </c>
      <c r="G55" s="22">
        <v>28093</v>
      </c>
      <c r="H55" s="21">
        <v>44.61917808219178</v>
      </c>
      <c r="I55" t="s">
        <v>554</v>
      </c>
      <c r="J55" t="s">
        <v>2565</v>
      </c>
      <c r="K55" t="s">
        <v>2566</v>
      </c>
      <c r="L55">
        <v>3115060110</v>
      </c>
    </row>
    <row r="56" spans="1:12" x14ac:dyDescent="0.25">
      <c r="A56">
        <v>56</v>
      </c>
      <c r="B56" t="s">
        <v>1464</v>
      </c>
      <c r="C56" t="s">
        <v>67</v>
      </c>
      <c r="D56" t="s">
        <v>167</v>
      </c>
      <c r="E56" t="s">
        <v>80</v>
      </c>
      <c r="F56" t="s">
        <v>236</v>
      </c>
      <c r="G56" s="22">
        <v>28361</v>
      </c>
      <c r="H56" s="21">
        <v>43.884931506849313</v>
      </c>
      <c r="I56" t="s">
        <v>569</v>
      </c>
      <c r="J56" t="s">
        <v>3535</v>
      </c>
      <c r="K56" t="s">
        <v>3536</v>
      </c>
      <c r="L56">
        <v>3115060110</v>
      </c>
    </row>
    <row r="57" spans="1:12" x14ac:dyDescent="0.25">
      <c r="A57">
        <v>57</v>
      </c>
      <c r="B57" t="s">
        <v>2007</v>
      </c>
      <c r="C57" t="s">
        <v>342</v>
      </c>
      <c r="D57" t="s">
        <v>371</v>
      </c>
      <c r="E57" t="s">
        <v>372</v>
      </c>
      <c r="F57" t="s">
        <v>373</v>
      </c>
      <c r="G57" s="22">
        <v>29609</v>
      </c>
      <c r="H57" s="21">
        <v>40.465753424657535</v>
      </c>
      <c r="I57" t="s">
        <v>555</v>
      </c>
      <c r="J57" t="s">
        <v>2567</v>
      </c>
      <c r="K57" t="s">
        <v>2568</v>
      </c>
      <c r="L57">
        <v>3115060091</v>
      </c>
    </row>
    <row r="58" spans="1:12" x14ac:dyDescent="0.25">
      <c r="A58">
        <v>58</v>
      </c>
      <c r="B58" t="s">
        <v>1465</v>
      </c>
      <c r="C58" t="s">
        <v>24</v>
      </c>
      <c r="D58" t="s">
        <v>211</v>
      </c>
      <c r="E58" t="s">
        <v>73</v>
      </c>
      <c r="F58" t="s">
        <v>237</v>
      </c>
      <c r="G58" s="22">
        <v>27566</v>
      </c>
      <c r="H58" s="21">
        <v>46.063013698630137</v>
      </c>
      <c r="I58" t="s">
        <v>1185</v>
      </c>
      <c r="J58" t="s">
        <v>3537</v>
      </c>
      <c r="K58" t="s">
        <v>3538</v>
      </c>
      <c r="L58">
        <v>3115060091</v>
      </c>
    </row>
    <row r="59" spans="1:12" x14ac:dyDescent="0.25">
      <c r="A59">
        <v>59</v>
      </c>
      <c r="B59" t="s">
        <v>2008</v>
      </c>
      <c r="C59" t="s">
        <v>374</v>
      </c>
      <c r="D59" t="s">
        <v>375</v>
      </c>
      <c r="E59" t="s">
        <v>376</v>
      </c>
      <c r="F59" t="s">
        <v>145</v>
      </c>
      <c r="G59" s="22">
        <v>27876</v>
      </c>
      <c r="H59" s="21">
        <v>45.213698630136989</v>
      </c>
      <c r="I59" t="s">
        <v>556</v>
      </c>
      <c r="J59" t="s">
        <v>2569</v>
      </c>
      <c r="K59" t="s">
        <v>2570</v>
      </c>
      <c r="L59">
        <v>3115060080</v>
      </c>
    </row>
    <row r="60" spans="1:12" x14ac:dyDescent="0.25">
      <c r="A60">
        <v>60</v>
      </c>
      <c r="B60" t="s">
        <v>1466</v>
      </c>
      <c r="C60" t="s">
        <v>22</v>
      </c>
      <c r="D60" t="s">
        <v>306</v>
      </c>
      <c r="E60" t="s">
        <v>241</v>
      </c>
      <c r="F60" t="s">
        <v>181</v>
      </c>
      <c r="G60" s="22">
        <v>29193</v>
      </c>
      <c r="H60" s="21">
        <v>41.605479452054794</v>
      </c>
      <c r="I60" t="s">
        <v>1186</v>
      </c>
      <c r="J60" t="s">
        <v>3539</v>
      </c>
      <c r="K60" t="s">
        <v>3540</v>
      </c>
      <c r="L60">
        <v>3115060080</v>
      </c>
    </row>
    <row r="61" spans="1:12" x14ac:dyDescent="0.25">
      <c r="A61">
        <v>61</v>
      </c>
      <c r="B61" t="s">
        <v>2009</v>
      </c>
      <c r="C61" t="s">
        <v>377</v>
      </c>
      <c r="D61" t="s">
        <v>450</v>
      </c>
      <c r="E61" t="s">
        <v>378</v>
      </c>
      <c r="F61" t="s">
        <v>272</v>
      </c>
      <c r="G61" s="22">
        <v>28827</v>
      </c>
      <c r="H61" s="21">
        <v>42.608219178082194</v>
      </c>
      <c r="I61" t="s">
        <v>557</v>
      </c>
      <c r="J61" t="s">
        <v>2571</v>
      </c>
      <c r="K61" t="s">
        <v>2572</v>
      </c>
      <c r="L61">
        <v>3115114385</v>
      </c>
    </row>
    <row r="62" spans="1:12" x14ac:dyDescent="0.25">
      <c r="A62">
        <v>62</v>
      </c>
      <c r="B62" t="s">
        <v>1467</v>
      </c>
      <c r="C62" t="s">
        <v>91</v>
      </c>
      <c r="D62" t="s">
        <v>307</v>
      </c>
      <c r="E62" t="s">
        <v>77</v>
      </c>
      <c r="F62" t="s">
        <v>100</v>
      </c>
      <c r="G62" s="22">
        <v>30685</v>
      </c>
      <c r="H62" s="21">
        <v>37.517808219178079</v>
      </c>
      <c r="I62" t="s">
        <v>1187</v>
      </c>
      <c r="J62" t="s">
        <v>3541</v>
      </c>
      <c r="K62" t="s">
        <v>3542</v>
      </c>
      <c r="L62">
        <v>3115114385</v>
      </c>
    </row>
    <row r="63" spans="1:12" x14ac:dyDescent="0.25">
      <c r="A63">
        <v>63</v>
      </c>
      <c r="B63" t="s">
        <v>2010</v>
      </c>
      <c r="C63" t="s">
        <v>341</v>
      </c>
      <c r="D63" t="s">
        <v>369</v>
      </c>
      <c r="E63" t="s">
        <v>55</v>
      </c>
      <c r="F63" t="s">
        <v>177</v>
      </c>
      <c r="G63" s="22">
        <v>29484</v>
      </c>
      <c r="H63" s="21">
        <v>40.80821917808219</v>
      </c>
      <c r="I63" t="s">
        <v>558</v>
      </c>
      <c r="J63" t="s">
        <v>2573</v>
      </c>
      <c r="K63" t="s">
        <v>2574</v>
      </c>
      <c r="L63">
        <v>3115114360</v>
      </c>
    </row>
    <row r="64" spans="1:12" x14ac:dyDescent="0.25">
      <c r="A64">
        <v>64</v>
      </c>
      <c r="B64" t="s">
        <v>1468</v>
      </c>
      <c r="C64" t="s">
        <v>205</v>
      </c>
      <c r="D64" t="s">
        <v>308</v>
      </c>
      <c r="E64" t="s">
        <v>194</v>
      </c>
      <c r="F64" t="s">
        <v>2470</v>
      </c>
      <c r="G64" s="22">
        <v>31004</v>
      </c>
      <c r="H64" s="21">
        <v>36.643835616438359</v>
      </c>
      <c r="I64" t="s">
        <v>1188</v>
      </c>
      <c r="J64" t="s">
        <v>3543</v>
      </c>
      <c r="K64" t="s">
        <v>3544</v>
      </c>
      <c r="L64">
        <v>3115114360</v>
      </c>
    </row>
    <row r="65" spans="1:12" x14ac:dyDescent="0.25">
      <c r="A65">
        <v>65</v>
      </c>
      <c r="B65" t="s">
        <v>2011</v>
      </c>
      <c r="C65" t="s">
        <v>353</v>
      </c>
      <c r="D65" t="s">
        <v>483</v>
      </c>
      <c r="E65" t="s">
        <v>331</v>
      </c>
      <c r="F65" t="s">
        <v>107</v>
      </c>
      <c r="G65" s="22">
        <v>29376</v>
      </c>
      <c r="H65" s="21">
        <v>41.104109589041094</v>
      </c>
      <c r="I65" t="s">
        <v>559</v>
      </c>
      <c r="J65" t="s">
        <v>2575</v>
      </c>
      <c r="K65" t="s">
        <v>2576</v>
      </c>
      <c r="L65">
        <v>3115093653</v>
      </c>
    </row>
    <row r="66" spans="1:12" x14ac:dyDescent="0.25">
      <c r="A66">
        <v>66</v>
      </c>
      <c r="B66" t="s">
        <v>1469</v>
      </c>
      <c r="C66" t="s">
        <v>19</v>
      </c>
      <c r="D66" t="s">
        <v>13</v>
      </c>
      <c r="E66" t="s">
        <v>154</v>
      </c>
      <c r="F66" t="s">
        <v>238</v>
      </c>
      <c r="G66" s="22">
        <v>27526</v>
      </c>
      <c r="H66" s="21">
        <v>46.172602739726024</v>
      </c>
      <c r="I66" t="s">
        <v>575</v>
      </c>
      <c r="J66" t="s">
        <v>3545</v>
      </c>
      <c r="K66" t="s">
        <v>3546</v>
      </c>
      <c r="L66">
        <v>3115093653</v>
      </c>
    </row>
    <row r="67" spans="1:12" x14ac:dyDescent="0.25">
      <c r="A67">
        <v>67</v>
      </c>
      <c r="B67" t="s">
        <v>2012</v>
      </c>
      <c r="C67" t="s">
        <v>379</v>
      </c>
      <c r="D67" t="s">
        <v>402</v>
      </c>
      <c r="E67" t="s">
        <v>262</v>
      </c>
      <c r="F67" t="s">
        <v>348</v>
      </c>
      <c r="G67" s="22">
        <v>29361</v>
      </c>
      <c r="H67" s="21">
        <v>41.145205479452052</v>
      </c>
      <c r="I67" t="s">
        <v>560</v>
      </c>
      <c r="J67" t="s">
        <v>2577</v>
      </c>
      <c r="K67" t="s">
        <v>2578</v>
      </c>
      <c r="L67">
        <v>3115093598</v>
      </c>
    </row>
    <row r="68" spans="1:12" x14ac:dyDescent="0.25">
      <c r="A68">
        <v>68</v>
      </c>
      <c r="B68" t="s">
        <v>1470</v>
      </c>
      <c r="C68" t="s">
        <v>193</v>
      </c>
      <c r="D68" t="s">
        <v>195</v>
      </c>
      <c r="E68" t="s">
        <v>135</v>
      </c>
      <c r="F68" t="s">
        <v>177</v>
      </c>
      <c r="G68" s="22">
        <v>29612</v>
      </c>
      <c r="H68" s="21">
        <v>40.457534246575342</v>
      </c>
      <c r="I68" t="s">
        <v>1189</v>
      </c>
      <c r="J68" t="s">
        <v>3547</v>
      </c>
      <c r="K68" t="s">
        <v>3548</v>
      </c>
      <c r="L68">
        <v>3115093598</v>
      </c>
    </row>
    <row r="69" spans="1:12" x14ac:dyDescent="0.25">
      <c r="A69">
        <v>69</v>
      </c>
      <c r="B69" t="s">
        <v>2013</v>
      </c>
      <c r="C69" t="s">
        <v>391</v>
      </c>
      <c r="D69" t="s">
        <v>380</v>
      </c>
      <c r="E69" t="s">
        <v>381</v>
      </c>
      <c r="F69" t="s">
        <v>455</v>
      </c>
      <c r="G69" s="22">
        <v>23979</v>
      </c>
      <c r="H69" s="21">
        <v>55.890410958904113</v>
      </c>
      <c r="I69" t="s">
        <v>570</v>
      </c>
      <c r="J69" t="s">
        <v>2579</v>
      </c>
      <c r="K69" t="s">
        <v>2580</v>
      </c>
      <c r="L69">
        <v>3115093583</v>
      </c>
    </row>
    <row r="70" spans="1:12" x14ac:dyDescent="0.25">
      <c r="A70">
        <v>70</v>
      </c>
      <c r="B70" t="s">
        <v>1471</v>
      </c>
      <c r="C70" t="s">
        <v>120</v>
      </c>
      <c r="D70" t="s">
        <v>29</v>
      </c>
      <c r="E70" t="s">
        <v>150</v>
      </c>
      <c r="F70" t="s">
        <v>239</v>
      </c>
      <c r="G70" s="22">
        <v>29511</v>
      </c>
      <c r="H70" s="21">
        <v>40.734246575342468</v>
      </c>
      <c r="I70" t="s">
        <v>552</v>
      </c>
      <c r="J70" t="s">
        <v>3549</v>
      </c>
      <c r="K70" t="s">
        <v>3550</v>
      </c>
      <c r="L70">
        <v>3115093583</v>
      </c>
    </row>
    <row r="71" spans="1:12" x14ac:dyDescent="0.25">
      <c r="A71">
        <v>71</v>
      </c>
      <c r="B71" t="s">
        <v>2014</v>
      </c>
      <c r="C71" t="s">
        <v>347</v>
      </c>
      <c r="D71" t="s">
        <v>382</v>
      </c>
      <c r="E71" t="s">
        <v>383</v>
      </c>
      <c r="F71" t="s">
        <v>384</v>
      </c>
      <c r="G71" s="22">
        <v>28797</v>
      </c>
      <c r="H71" s="21">
        <v>42.69041095890411</v>
      </c>
      <c r="I71" t="s">
        <v>561</v>
      </c>
      <c r="J71" t="s">
        <v>2581</v>
      </c>
      <c r="K71" t="s">
        <v>2582</v>
      </c>
      <c r="L71">
        <v>3115092386</v>
      </c>
    </row>
    <row r="72" spans="1:12" x14ac:dyDescent="0.25">
      <c r="A72">
        <v>72</v>
      </c>
      <c r="B72" t="s">
        <v>1472</v>
      </c>
      <c r="C72" t="s">
        <v>62</v>
      </c>
      <c r="D72" t="s">
        <v>50</v>
      </c>
      <c r="E72" t="s">
        <v>152</v>
      </c>
      <c r="F72" t="s">
        <v>516</v>
      </c>
      <c r="G72" s="22">
        <v>26180</v>
      </c>
      <c r="H72" s="21">
        <v>49.860273972602741</v>
      </c>
      <c r="I72" t="s">
        <v>549</v>
      </c>
      <c r="J72" t="s">
        <v>3551</v>
      </c>
      <c r="K72" t="s">
        <v>3552</v>
      </c>
      <c r="L72">
        <v>3115092386</v>
      </c>
    </row>
    <row r="73" spans="1:12" x14ac:dyDescent="0.25">
      <c r="A73">
        <v>73</v>
      </c>
      <c r="B73" t="s">
        <v>2015</v>
      </c>
      <c r="C73" t="s">
        <v>385</v>
      </c>
      <c r="D73" t="s">
        <v>349</v>
      </c>
      <c r="E73" t="s">
        <v>386</v>
      </c>
      <c r="F73" t="s">
        <v>456</v>
      </c>
      <c r="G73" s="22">
        <v>31210</v>
      </c>
      <c r="H73" s="21">
        <v>36.079452054794523</v>
      </c>
      <c r="I73" t="s">
        <v>562</v>
      </c>
      <c r="J73" t="s">
        <v>2583</v>
      </c>
      <c r="K73" t="s">
        <v>2584</v>
      </c>
      <c r="L73">
        <v>3115092375</v>
      </c>
    </row>
    <row r="74" spans="1:12" x14ac:dyDescent="0.25">
      <c r="A74">
        <v>74</v>
      </c>
      <c r="B74" t="s">
        <v>1473</v>
      </c>
      <c r="C74" t="s">
        <v>109</v>
      </c>
      <c r="D74" t="s">
        <v>134</v>
      </c>
      <c r="E74" t="s">
        <v>496</v>
      </c>
      <c r="F74" t="s">
        <v>240</v>
      </c>
      <c r="G74" s="22">
        <v>29009</v>
      </c>
      <c r="H74" s="21">
        <v>42.109589041095887</v>
      </c>
      <c r="I74" t="s">
        <v>1190</v>
      </c>
      <c r="J74" t="s">
        <v>3553</v>
      </c>
      <c r="K74" t="s">
        <v>3554</v>
      </c>
      <c r="L74">
        <v>3115092375</v>
      </c>
    </row>
    <row r="75" spans="1:12" x14ac:dyDescent="0.25">
      <c r="A75">
        <v>75</v>
      </c>
      <c r="B75" t="s">
        <v>2016</v>
      </c>
      <c r="C75" t="s">
        <v>387</v>
      </c>
      <c r="D75" t="s">
        <v>353</v>
      </c>
      <c r="E75" t="s">
        <v>253</v>
      </c>
      <c r="F75" t="s">
        <v>457</v>
      </c>
      <c r="G75" s="22">
        <v>36404</v>
      </c>
      <c r="H75" s="21">
        <v>21.849315068493151</v>
      </c>
      <c r="I75" t="s">
        <v>563</v>
      </c>
      <c r="J75" t="s">
        <v>2585</v>
      </c>
      <c r="K75" t="s">
        <v>2586</v>
      </c>
      <c r="L75">
        <v>3115092369</v>
      </c>
    </row>
    <row r="76" spans="1:12" x14ac:dyDescent="0.25">
      <c r="A76">
        <v>76</v>
      </c>
      <c r="B76" t="s">
        <v>1474</v>
      </c>
      <c r="C76" t="s">
        <v>143</v>
      </c>
      <c r="D76" t="s">
        <v>33</v>
      </c>
      <c r="E76" t="s">
        <v>57</v>
      </c>
      <c r="F76" t="s">
        <v>241</v>
      </c>
      <c r="G76" s="22">
        <v>25457</v>
      </c>
      <c r="H76" s="21">
        <v>51.841095890410962</v>
      </c>
      <c r="I76" t="s">
        <v>569</v>
      </c>
      <c r="J76" t="s">
        <v>3555</v>
      </c>
      <c r="K76" t="s">
        <v>3556</v>
      </c>
      <c r="L76">
        <v>3115092369</v>
      </c>
    </row>
    <row r="77" spans="1:12" x14ac:dyDescent="0.25">
      <c r="A77">
        <v>77</v>
      </c>
      <c r="B77" t="s">
        <v>2017</v>
      </c>
      <c r="C77" t="s">
        <v>484</v>
      </c>
      <c r="D77" t="s">
        <v>388</v>
      </c>
      <c r="E77" t="s">
        <v>127</v>
      </c>
      <c r="F77" t="s">
        <v>458</v>
      </c>
      <c r="G77" s="22">
        <v>27923</v>
      </c>
      <c r="H77" s="21">
        <v>45.084931506849315</v>
      </c>
      <c r="I77" t="s">
        <v>564</v>
      </c>
      <c r="J77" t="s">
        <v>2587</v>
      </c>
      <c r="K77" t="s">
        <v>2588</v>
      </c>
      <c r="L77">
        <v>3115092360</v>
      </c>
    </row>
    <row r="78" spans="1:12" x14ac:dyDescent="0.25">
      <c r="A78">
        <v>78</v>
      </c>
      <c r="B78" t="s">
        <v>1475</v>
      </c>
      <c r="C78" t="s">
        <v>24</v>
      </c>
      <c r="D78" t="s">
        <v>21</v>
      </c>
      <c r="E78" t="s">
        <v>63</v>
      </c>
      <c r="F78" t="s">
        <v>242</v>
      </c>
      <c r="G78" s="22">
        <v>27284</v>
      </c>
      <c r="H78" s="21">
        <v>46.835616438356162</v>
      </c>
      <c r="I78" t="s">
        <v>606</v>
      </c>
      <c r="J78" t="s">
        <v>3557</v>
      </c>
      <c r="K78" t="s">
        <v>3558</v>
      </c>
      <c r="L78">
        <v>3115092360</v>
      </c>
    </row>
    <row r="79" spans="1:12" x14ac:dyDescent="0.25">
      <c r="A79">
        <v>79</v>
      </c>
      <c r="B79" t="s">
        <v>2018</v>
      </c>
      <c r="C79" t="s">
        <v>351</v>
      </c>
      <c r="D79" t="s">
        <v>382</v>
      </c>
      <c r="E79" t="s">
        <v>389</v>
      </c>
      <c r="F79" t="s">
        <v>459</v>
      </c>
      <c r="G79" s="22">
        <v>27923</v>
      </c>
      <c r="H79" s="21">
        <v>45.084931506849315</v>
      </c>
      <c r="I79" t="s">
        <v>565</v>
      </c>
      <c r="J79" t="s">
        <v>2589</v>
      </c>
      <c r="K79" t="s">
        <v>2590</v>
      </c>
      <c r="L79">
        <v>3115092352</v>
      </c>
    </row>
    <row r="80" spans="1:12" x14ac:dyDescent="0.25">
      <c r="A80">
        <v>80</v>
      </c>
      <c r="B80" t="s">
        <v>1476</v>
      </c>
      <c r="C80" t="s">
        <v>122</v>
      </c>
      <c r="D80" t="s">
        <v>13</v>
      </c>
      <c r="E80" t="s">
        <v>53</v>
      </c>
      <c r="F80" t="s">
        <v>2469</v>
      </c>
      <c r="G80" s="22">
        <v>29715</v>
      </c>
      <c r="H80" s="21">
        <v>40.175342465753424</v>
      </c>
      <c r="I80" t="s">
        <v>1167</v>
      </c>
      <c r="J80" t="s">
        <v>3559</v>
      </c>
      <c r="K80" t="s">
        <v>3560</v>
      </c>
      <c r="L80">
        <v>3115092352</v>
      </c>
    </row>
    <row r="81" spans="1:12" x14ac:dyDescent="0.25">
      <c r="A81">
        <v>81</v>
      </c>
      <c r="B81" t="s">
        <v>2019</v>
      </c>
      <c r="C81" t="s">
        <v>332</v>
      </c>
      <c r="D81" t="s">
        <v>446</v>
      </c>
      <c r="E81" t="s">
        <v>127</v>
      </c>
      <c r="F81" t="s">
        <v>157</v>
      </c>
      <c r="G81" s="22">
        <v>25312</v>
      </c>
      <c r="H81" s="21">
        <v>52.238356164383561</v>
      </c>
      <c r="I81" t="s">
        <v>566</v>
      </c>
      <c r="J81" t="s">
        <v>2591</v>
      </c>
      <c r="K81" t="s">
        <v>2592</v>
      </c>
      <c r="L81">
        <v>3115114930</v>
      </c>
    </row>
    <row r="82" spans="1:12" x14ac:dyDescent="0.25">
      <c r="A82">
        <v>82</v>
      </c>
      <c r="B82" t="s">
        <v>1477</v>
      </c>
      <c r="C82" t="s">
        <v>143</v>
      </c>
      <c r="D82" t="s">
        <v>309</v>
      </c>
      <c r="E82" t="s">
        <v>42</v>
      </c>
      <c r="F82" t="s">
        <v>243</v>
      </c>
      <c r="G82" s="22">
        <v>27023</v>
      </c>
      <c r="H82" s="21">
        <v>47.550684931506851</v>
      </c>
      <c r="I82" t="s">
        <v>1191</v>
      </c>
      <c r="J82" t="s">
        <v>3561</v>
      </c>
      <c r="K82" t="s">
        <v>3562</v>
      </c>
      <c r="L82">
        <v>3115114930</v>
      </c>
    </row>
    <row r="83" spans="1:12" x14ac:dyDescent="0.25">
      <c r="A83">
        <v>83</v>
      </c>
      <c r="B83" t="s">
        <v>2020</v>
      </c>
      <c r="C83" t="s">
        <v>332</v>
      </c>
      <c r="D83" t="s">
        <v>387</v>
      </c>
      <c r="E83" t="s">
        <v>47</v>
      </c>
      <c r="F83" t="s">
        <v>390</v>
      </c>
      <c r="G83" s="22">
        <v>22517</v>
      </c>
      <c r="H83" s="21">
        <v>59.895890410958906</v>
      </c>
      <c r="I83" t="s">
        <v>567</v>
      </c>
      <c r="J83" t="s">
        <v>2593</v>
      </c>
      <c r="K83" t="s">
        <v>2594</v>
      </c>
      <c r="L83">
        <v>3115114916</v>
      </c>
    </row>
    <row r="84" spans="1:12" x14ac:dyDescent="0.25">
      <c r="A84">
        <v>84</v>
      </c>
      <c r="B84" t="s">
        <v>1478</v>
      </c>
      <c r="C84" t="s">
        <v>37</v>
      </c>
      <c r="D84" t="s">
        <v>195</v>
      </c>
      <c r="E84" t="s">
        <v>51</v>
      </c>
      <c r="F84" t="s">
        <v>244</v>
      </c>
      <c r="G84" s="22">
        <v>20879</v>
      </c>
      <c r="H84" s="21">
        <v>64.38356164383562</v>
      </c>
      <c r="I84" t="s">
        <v>1183</v>
      </c>
      <c r="J84" t="s">
        <v>3563</v>
      </c>
      <c r="K84" t="s">
        <v>3564</v>
      </c>
      <c r="L84">
        <v>3115114916</v>
      </c>
    </row>
    <row r="85" spans="1:12" x14ac:dyDescent="0.25">
      <c r="A85">
        <v>85</v>
      </c>
      <c r="B85" t="s">
        <v>2021</v>
      </c>
      <c r="C85" t="s">
        <v>332</v>
      </c>
      <c r="D85" t="s">
        <v>365</v>
      </c>
      <c r="E85" t="s">
        <v>56</v>
      </c>
      <c r="F85" t="s">
        <v>273</v>
      </c>
      <c r="G85" s="22">
        <v>23791</v>
      </c>
      <c r="H85" s="21">
        <v>56.405479452054792</v>
      </c>
      <c r="I85" t="s">
        <v>568</v>
      </c>
      <c r="J85" t="s">
        <v>2595</v>
      </c>
      <c r="K85" t="s">
        <v>2596</v>
      </c>
      <c r="L85">
        <v>3115114911</v>
      </c>
    </row>
    <row r="86" spans="1:12" x14ac:dyDescent="0.25">
      <c r="A86">
        <v>86</v>
      </c>
      <c r="B86" t="s">
        <v>1479</v>
      </c>
      <c r="C86" t="s">
        <v>202</v>
      </c>
      <c r="D86" t="s">
        <v>310</v>
      </c>
      <c r="E86" t="s">
        <v>89</v>
      </c>
      <c r="F86" t="s">
        <v>245</v>
      </c>
      <c r="G86" s="22">
        <v>25334</v>
      </c>
      <c r="H86" s="21">
        <v>52.178082191780824</v>
      </c>
      <c r="I86" t="s">
        <v>1236</v>
      </c>
      <c r="J86" t="s">
        <v>3565</v>
      </c>
      <c r="K86" t="s">
        <v>3566</v>
      </c>
      <c r="L86">
        <v>3115114911</v>
      </c>
    </row>
    <row r="87" spans="1:12" x14ac:dyDescent="0.25">
      <c r="A87">
        <v>87</v>
      </c>
      <c r="B87" t="s">
        <v>2022</v>
      </c>
      <c r="C87" t="s">
        <v>391</v>
      </c>
      <c r="D87" t="s">
        <v>330</v>
      </c>
      <c r="E87" t="s">
        <v>392</v>
      </c>
      <c r="F87" t="s">
        <v>460</v>
      </c>
      <c r="G87" s="22">
        <v>34552</v>
      </c>
      <c r="H87" s="21">
        <v>26.923287671232877</v>
      </c>
      <c r="I87" t="s">
        <v>569</v>
      </c>
      <c r="J87" t="s">
        <v>2597</v>
      </c>
      <c r="K87" t="s">
        <v>2598</v>
      </c>
      <c r="L87">
        <v>3115114910</v>
      </c>
    </row>
    <row r="88" spans="1:12" x14ac:dyDescent="0.25">
      <c r="A88">
        <v>88</v>
      </c>
      <c r="B88" t="s">
        <v>1480</v>
      </c>
      <c r="C88" t="s">
        <v>50</v>
      </c>
      <c r="D88" t="s">
        <v>311</v>
      </c>
      <c r="E88" t="s">
        <v>141</v>
      </c>
      <c r="F88" t="s">
        <v>246</v>
      </c>
      <c r="G88" s="22">
        <v>22911</v>
      </c>
      <c r="H88" s="21">
        <v>58.816438356164383</v>
      </c>
      <c r="I88" t="s">
        <v>1193</v>
      </c>
      <c r="J88" t="s">
        <v>3567</v>
      </c>
      <c r="K88" t="s">
        <v>3568</v>
      </c>
      <c r="L88">
        <v>3115114910</v>
      </c>
    </row>
    <row r="89" spans="1:12" x14ac:dyDescent="0.25">
      <c r="A89">
        <v>89</v>
      </c>
      <c r="B89" t="s">
        <v>2023</v>
      </c>
      <c r="C89" t="s">
        <v>330</v>
      </c>
      <c r="D89" t="s">
        <v>339</v>
      </c>
      <c r="E89" t="s">
        <v>393</v>
      </c>
      <c r="F89" t="s">
        <v>355</v>
      </c>
      <c r="G89" s="22">
        <v>26230</v>
      </c>
      <c r="H89" s="21">
        <v>49.723287671232875</v>
      </c>
      <c r="I89" t="s">
        <v>532</v>
      </c>
      <c r="J89" t="s">
        <v>2599</v>
      </c>
      <c r="K89" t="s">
        <v>2600</v>
      </c>
      <c r="L89">
        <v>3115114909</v>
      </c>
    </row>
    <row r="90" spans="1:12" x14ac:dyDescent="0.25">
      <c r="A90">
        <v>90</v>
      </c>
      <c r="B90" t="s">
        <v>1481</v>
      </c>
      <c r="C90" t="s">
        <v>208</v>
      </c>
      <c r="D90" t="s">
        <v>31</v>
      </c>
      <c r="E90" t="s">
        <v>54</v>
      </c>
      <c r="F90" t="s">
        <v>247</v>
      </c>
      <c r="G90" s="22">
        <v>33848</v>
      </c>
      <c r="H90" s="21">
        <v>28.852054794520548</v>
      </c>
      <c r="I90" t="s">
        <v>1163</v>
      </c>
      <c r="J90" t="s">
        <v>3569</v>
      </c>
      <c r="K90" t="s">
        <v>3570</v>
      </c>
      <c r="L90">
        <v>3115114909</v>
      </c>
    </row>
    <row r="91" spans="1:12" x14ac:dyDescent="0.25">
      <c r="A91">
        <v>91</v>
      </c>
      <c r="B91" t="s">
        <v>2024</v>
      </c>
      <c r="C91" t="s">
        <v>394</v>
      </c>
      <c r="D91" t="s">
        <v>330</v>
      </c>
      <c r="E91" t="s">
        <v>44</v>
      </c>
      <c r="F91" t="s">
        <v>273</v>
      </c>
      <c r="G91" s="22">
        <v>34280</v>
      </c>
      <c r="H91" s="21">
        <v>27.668493150684931</v>
      </c>
      <c r="I91" t="s">
        <v>567</v>
      </c>
      <c r="J91" t="s">
        <v>2601</v>
      </c>
      <c r="K91" t="s">
        <v>2602</v>
      </c>
      <c r="L91">
        <v>3115060130</v>
      </c>
    </row>
    <row r="92" spans="1:12" x14ac:dyDescent="0.25">
      <c r="A92">
        <v>92</v>
      </c>
      <c r="B92" t="s">
        <v>1482</v>
      </c>
      <c r="C92" t="s">
        <v>162</v>
      </c>
      <c r="D92" t="s">
        <v>8</v>
      </c>
      <c r="E92" t="s">
        <v>95</v>
      </c>
      <c r="F92" t="s">
        <v>248</v>
      </c>
      <c r="G92" s="22">
        <v>28424</v>
      </c>
      <c r="H92" s="21">
        <v>43.712328767123289</v>
      </c>
      <c r="I92" t="s">
        <v>1194</v>
      </c>
      <c r="J92" t="s">
        <v>3571</v>
      </c>
      <c r="K92" t="s">
        <v>3572</v>
      </c>
      <c r="L92">
        <v>3115060130</v>
      </c>
    </row>
    <row r="93" spans="1:12" x14ac:dyDescent="0.25">
      <c r="A93">
        <v>93</v>
      </c>
      <c r="B93" t="s">
        <v>2025</v>
      </c>
      <c r="C93" t="s">
        <v>341</v>
      </c>
      <c r="D93" t="s">
        <v>387</v>
      </c>
      <c r="E93" t="s">
        <v>395</v>
      </c>
      <c r="F93" t="s">
        <v>461</v>
      </c>
      <c r="G93" s="22">
        <v>29979</v>
      </c>
      <c r="H93" s="21">
        <v>39.452054794520549</v>
      </c>
      <c r="I93" t="s">
        <v>530</v>
      </c>
      <c r="J93" t="s">
        <v>2603</v>
      </c>
      <c r="K93" t="s">
        <v>2604</v>
      </c>
      <c r="L93">
        <v>3115060125</v>
      </c>
    </row>
    <row r="94" spans="1:12" x14ac:dyDescent="0.25">
      <c r="A94">
        <v>94</v>
      </c>
      <c r="B94" t="s">
        <v>1483</v>
      </c>
      <c r="C94" t="s">
        <v>312</v>
      </c>
      <c r="D94" t="s">
        <v>174</v>
      </c>
      <c r="E94" t="s">
        <v>289</v>
      </c>
      <c r="F94" t="s">
        <v>249</v>
      </c>
      <c r="G94" s="22">
        <v>26168</v>
      </c>
      <c r="H94" s="21">
        <v>49.893150684931506</v>
      </c>
      <c r="I94" t="s">
        <v>575</v>
      </c>
      <c r="J94" t="s">
        <v>3573</v>
      </c>
      <c r="K94" t="s">
        <v>3574</v>
      </c>
      <c r="L94">
        <v>3115060125</v>
      </c>
    </row>
    <row r="95" spans="1:12" x14ac:dyDescent="0.25">
      <c r="A95">
        <v>95</v>
      </c>
      <c r="B95" t="s">
        <v>2026</v>
      </c>
      <c r="C95" t="s">
        <v>396</v>
      </c>
      <c r="D95" t="s">
        <v>485</v>
      </c>
      <c r="E95" t="s">
        <v>157</v>
      </c>
      <c r="F95" t="s">
        <v>462</v>
      </c>
      <c r="G95" s="22">
        <v>27371</v>
      </c>
      <c r="H95" s="21">
        <v>46.597260273972601</v>
      </c>
      <c r="I95" t="s">
        <v>571</v>
      </c>
      <c r="J95" t="s">
        <v>2605</v>
      </c>
      <c r="K95" t="s">
        <v>2606</v>
      </c>
      <c r="L95">
        <v>3115060110</v>
      </c>
    </row>
    <row r="96" spans="1:12" x14ac:dyDescent="0.25">
      <c r="A96">
        <v>96</v>
      </c>
      <c r="B96" t="s">
        <v>1484</v>
      </c>
      <c r="C96" t="s">
        <v>178</v>
      </c>
      <c r="D96" t="s">
        <v>122</v>
      </c>
      <c r="E96" t="s">
        <v>175</v>
      </c>
      <c r="F96" t="s">
        <v>47</v>
      </c>
      <c r="G96" s="22">
        <v>36452</v>
      </c>
      <c r="H96" s="21">
        <v>21.717808219178082</v>
      </c>
      <c r="I96" t="s">
        <v>1189</v>
      </c>
      <c r="J96" t="s">
        <v>3575</v>
      </c>
      <c r="K96" t="s">
        <v>3576</v>
      </c>
      <c r="L96">
        <v>3115060110</v>
      </c>
    </row>
    <row r="97" spans="1:12" x14ac:dyDescent="0.25">
      <c r="A97">
        <v>97</v>
      </c>
      <c r="B97" t="s">
        <v>2027</v>
      </c>
      <c r="C97" t="s">
        <v>397</v>
      </c>
      <c r="D97" t="s">
        <v>50</v>
      </c>
      <c r="E97" t="s">
        <v>398</v>
      </c>
      <c r="F97" t="s">
        <v>463</v>
      </c>
      <c r="G97" s="22">
        <v>27510</v>
      </c>
      <c r="H97" s="21">
        <v>46.216438356164382</v>
      </c>
      <c r="I97" t="s">
        <v>572</v>
      </c>
      <c r="J97" t="s">
        <v>2607</v>
      </c>
      <c r="K97" t="s">
        <v>2608</v>
      </c>
      <c r="L97">
        <v>3115060091</v>
      </c>
    </row>
    <row r="98" spans="1:12" x14ac:dyDescent="0.25">
      <c r="A98">
        <v>98</v>
      </c>
      <c r="B98" t="s">
        <v>1485</v>
      </c>
      <c r="C98" t="s">
        <v>130</v>
      </c>
      <c r="D98" t="s">
        <v>313</v>
      </c>
      <c r="E98" t="s">
        <v>66</v>
      </c>
      <c r="F98" t="s">
        <v>106</v>
      </c>
      <c r="G98" s="22">
        <v>36633</v>
      </c>
      <c r="H98" s="21">
        <v>21.221917808219178</v>
      </c>
      <c r="I98" t="s">
        <v>1195</v>
      </c>
      <c r="J98" t="s">
        <v>3577</v>
      </c>
      <c r="K98" t="s">
        <v>3578</v>
      </c>
      <c r="L98">
        <v>3115060091</v>
      </c>
    </row>
    <row r="99" spans="1:12" x14ac:dyDescent="0.25">
      <c r="A99">
        <v>99</v>
      </c>
      <c r="B99" t="s">
        <v>2028</v>
      </c>
      <c r="C99" t="s">
        <v>431</v>
      </c>
      <c r="D99" t="s">
        <v>339</v>
      </c>
      <c r="E99" t="s">
        <v>57</v>
      </c>
      <c r="F99" t="s">
        <v>350</v>
      </c>
      <c r="G99" s="22">
        <v>27098</v>
      </c>
      <c r="H99" s="21">
        <v>47.345205479452055</v>
      </c>
      <c r="I99" t="s">
        <v>573</v>
      </c>
      <c r="J99" t="s">
        <v>2609</v>
      </c>
      <c r="K99" t="s">
        <v>2610</v>
      </c>
      <c r="L99">
        <v>3115060080</v>
      </c>
    </row>
    <row r="100" spans="1:12" x14ac:dyDescent="0.25">
      <c r="A100">
        <v>100</v>
      </c>
      <c r="B100" t="s">
        <v>1486</v>
      </c>
      <c r="C100" t="s">
        <v>37</v>
      </c>
      <c r="D100" t="s">
        <v>50</v>
      </c>
      <c r="E100" t="s">
        <v>315</v>
      </c>
      <c r="F100" t="s">
        <v>89</v>
      </c>
      <c r="G100" s="22">
        <v>36349</v>
      </c>
      <c r="H100" s="21">
        <v>22</v>
      </c>
      <c r="I100" t="s">
        <v>1196</v>
      </c>
      <c r="J100" t="s">
        <v>3579</v>
      </c>
      <c r="K100" t="s">
        <v>3580</v>
      </c>
      <c r="L100">
        <v>3115060080</v>
      </c>
    </row>
    <row r="101" spans="1:12" x14ac:dyDescent="0.25">
      <c r="A101">
        <v>101</v>
      </c>
      <c r="B101" t="s">
        <v>2029</v>
      </c>
      <c r="C101" t="s">
        <v>399</v>
      </c>
      <c r="D101" t="s">
        <v>400</v>
      </c>
      <c r="E101" t="s">
        <v>43</v>
      </c>
      <c r="F101" t="s">
        <v>358</v>
      </c>
      <c r="G101" s="22">
        <v>26052</v>
      </c>
      <c r="H101" s="21">
        <v>50.210958904109589</v>
      </c>
      <c r="I101" t="s">
        <v>559</v>
      </c>
      <c r="J101" t="s">
        <v>2611</v>
      </c>
      <c r="K101" t="s">
        <v>2612</v>
      </c>
      <c r="L101">
        <v>3115114385</v>
      </c>
    </row>
    <row r="102" spans="1:12" x14ac:dyDescent="0.25">
      <c r="A102">
        <v>102</v>
      </c>
      <c r="B102" t="s">
        <v>1487</v>
      </c>
      <c r="C102" t="s">
        <v>165</v>
      </c>
      <c r="D102" t="s">
        <v>76</v>
      </c>
      <c r="E102" t="s">
        <v>88</v>
      </c>
      <c r="F102" t="s">
        <v>136</v>
      </c>
      <c r="G102" s="22">
        <v>35411</v>
      </c>
      <c r="H102" s="21">
        <v>24.56986301369863</v>
      </c>
      <c r="I102" t="s">
        <v>1197</v>
      </c>
      <c r="J102" t="s">
        <v>3581</v>
      </c>
      <c r="K102" t="s">
        <v>3582</v>
      </c>
      <c r="L102">
        <v>3115114385</v>
      </c>
    </row>
    <row r="103" spans="1:12" x14ac:dyDescent="0.25">
      <c r="A103">
        <v>103</v>
      </c>
      <c r="B103" t="s">
        <v>2030</v>
      </c>
      <c r="C103" t="s">
        <v>341</v>
      </c>
      <c r="D103" t="s">
        <v>387</v>
      </c>
      <c r="E103" t="s">
        <v>47</v>
      </c>
      <c r="F103" t="s">
        <v>464</v>
      </c>
      <c r="G103" s="22">
        <v>30878</v>
      </c>
      <c r="H103" s="21">
        <v>36.989041095890414</v>
      </c>
      <c r="I103" t="s">
        <v>574</v>
      </c>
      <c r="J103" t="s">
        <v>2613</v>
      </c>
      <c r="K103" t="s">
        <v>2614</v>
      </c>
      <c r="L103">
        <v>3115114360</v>
      </c>
    </row>
    <row r="104" spans="1:12" x14ac:dyDescent="0.25">
      <c r="A104">
        <v>104</v>
      </c>
      <c r="B104" t="s">
        <v>1488</v>
      </c>
      <c r="C104" t="s">
        <v>134</v>
      </c>
      <c r="D104" t="s">
        <v>616</v>
      </c>
      <c r="E104" t="s">
        <v>77</v>
      </c>
      <c r="F104" t="s">
        <v>220</v>
      </c>
      <c r="G104" s="22">
        <v>34280</v>
      </c>
      <c r="H104" s="21">
        <v>27.668493150684931</v>
      </c>
      <c r="I104" t="s">
        <v>1189</v>
      </c>
      <c r="J104" t="s">
        <v>3583</v>
      </c>
      <c r="K104" t="s">
        <v>3584</v>
      </c>
      <c r="L104">
        <v>3115114360</v>
      </c>
    </row>
    <row r="105" spans="1:12" x14ac:dyDescent="0.25">
      <c r="A105">
        <v>105</v>
      </c>
      <c r="B105" t="s">
        <v>2031</v>
      </c>
      <c r="C105" t="s">
        <v>401</v>
      </c>
      <c r="D105" t="s">
        <v>360</v>
      </c>
      <c r="E105" t="s">
        <v>107</v>
      </c>
      <c r="F105" t="s">
        <v>465</v>
      </c>
      <c r="G105" s="22">
        <v>31330</v>
      </c>
      <c r="H105" s="21">
        <v>35.750684931506846</v>
      </c>
      <c r="I105" t="s">
        <v>561</v>
      </c>
      <c r="J105" t="s">
        <v>2615</v>
      </c>
      <c r="K105" t="s">
        <v>2616</v>
      </c>
      <c r="L105">
        <v>3115093653</v>
      </c>
    </row>
    <row r="106" spans="1:12" x14ac:dyDescent="0.25">
      <c r="A106">
        <v>106</v>
      </c>
      <c r="B106" t="s">
        <v>1489</v>
      </c>
      <c r="C106" t="s">
        <v>125</v>
      </c>
      <c r="D106" t="s">
        <v>7</v>
      </c>
      <c r="E106" t="s">
        <v>170</v>
      </c>
      <c r="F106" t="s">
        <v>124</v>
      </c>
      <c r="G106" s="22">
        <v>35084</v>
      </c>
      <c r="H106" s="21">
        <v>25.465753424657535</v>
      </c>
      <c r="I106" t="s">
        <v>1198</v>
      </c>
      <c r="J106" t="s">
        <v>3585</v>
      </c>
      <c r="K106" t="s">
        <v>3586</v>
      </c>
      <c r="L106">
        <v>3115093653</v>
      </c>
    </row>
    <row r="107" spans="1:12" x14ac:dyDescent="0.25">
      <c r="A107">
        <v>107</v>
      </c>
      <c r="B107" t="s">
        <v>2032</v>
      </c>
      <c r="C107" t="s">
        <v>379</v>
      </c>
      <c r="D107" t="s">
        <v>402</v>
      </c>
      <c r="E107" t="s">
        <v>403</v>
      </c>
      <c r="F107" t="s">
        <v>404</v>
      </c>
      <c r="G107" s="22">
        <v>22517</v>
      </c>
      <c r="H107" s="21">
        <v>59.895890410958906</v>
      </c>
      <c r="I107" t="s">
        <v>575</v>
      </c>
      <c r="J107" t="s">
        <v>2617</v>
      </c>
      <c r="K107" t="s">
        <v>2618</v>
      </c>
      <c r="L107">
        <v>3115093598</v>
      </c>
    </row>
    <row r="108" spans="1:12" x14ac:dyDescent="0.25">
      <c r="A108">
        <v>108</v>
      </c>
      <c r="B108" t="s">
        <v>1490</v>
      </c>
      <c r="C108" t="s">
        <v>108</v>
      </c>
      <c r="D108" t="s">
        <v>123</v>
      </c>
      <c r="E108" t="s">
        <v>81</v>
      </c>
      <c r="F108" t="s">
        <v>85</v>
      </c>
      <c r="G108" s="22">
        <v>33835</v>
      </c>
      <c r="H108" s="21">
        <v>28.887671232876713</v>
      </c>
      <c r="I108" t="s">
        <v>1183</v>
      </c>
      <c r="J108" t="s">
        <v>3587</v>
      </c>
      <c r="K108" t="s">
        <v>3588</v>
      </c>
      <c r="L108">
        <v>3115093598</v>
      </c>
    </row>
    <row r="109" spans="1:12" x14ac:dyDescent="0.25">
      <c r="A109">
        <v>109</v>
      </c>
      <c r="B109" t="s">
        <v>2033</v>
      </c>
      <c r="C109" t="s">
        <v>382</v>
      </c>
      <c r="D109" t="s">
        <v>486</v>
      </c>
      <c r="E109" t="s">
        <v>405</v>
      </c>
      <c r="F109" t="s">
        <v>466</v>
      </c>
      <c r="G109" s="22">
        <v>36666</v>
      </c>
      <c r="H109" s="21">
        <v>21.13150684931507</v>
      </c>
      <c r="I109" t="s">
        <v>576</v>
      </c>
      <c r="J109" t="s">
        <v>2619</v>
      </c>
      <c r="K109" t="s">
        <v>2620</v>
      </c>
      <c r="L109">
        <v>3115093583</v>
      </c>
    </row>
    <row r="110" spans="1:12" x14ac:dyDescent="0.25">
      <c r="A110">
        <v>110</v>
      </c>
      <c r="B110" t="s">
        <v>1491</v>
      </c>
      <c r="C110" t="s">
        <v>133</v>
      </c>
      <c r="D110" t="s">
        <v>9</v>
      </c>
      <c r="E110" t="s">
        <v>113</v>
      </c>
      <c r="F110" t="s">
        <v>164</v>
      </c>
      <c r="G110" s="22">
        <v>35977</v>
      </c>
      <c r="H110" s="21">
        <v>23.019178082191782</v>
      </c>
      <c r="I110" t="s">
        <v>1183</v>
      </c>
      <c r="J110" t="s">
        <v>3589</v>
      </c>
      <c r="K110" t="s">
        <v>3590</v>
      </c>
      <c r="L110">
        <v>3115093583</v>
      </c>
    </row>
    <row r="111" spans="1:12" x14ac:dyDescent="0.25">
      <c r="A111">
        <v>111</v>
      </c>
      <c r="B111" t="s">
        <v>2034</v>
      </c>
      <c r="C111" t="s">
        <v>333</v>
      </c>
      <c r="D111" t="s">
        <v>483</v>
      </c>
      <c r="E111" t="s">
        <v>406</v>
      </c>
      <c r="F111" t="s">
        <v>117</v>
      </c>
      <c r="G111" s="22">
        <v>28504</v>
      </c>
      <c r="H111" s="21">
        <v>43.493150684931507</v>
      </c>
      <c r="I111" t="s">
        <v>562</v>
      </c>
      <c r="J111" t="s">
        <v>2621</v>
      </c>
      <c r="K111" t="s">
        <v>2622</v>
      </c>
      <c r="L111">
        <v>3115092386</v>
      </c>
    </row>
    <row r="112" spans="1:12" x14ac:dyDescent="0.25">
      <c r="A112">
        <v>112</v>
      </c>
      <c r="B112" t="s">
        <v>1492</v>
      </c>
      <c r="C112" t="s">
        <v>19</v>
      </c>
      <c r="D112" t="s">
        <v>13</v>
      </c>
      <c r="E112" t="s">
        <v>55</v>
      </c>
      <c r="F112" t="s">
        <v>223</v>
      </c>
      <c r="G112" s="22">
        <v>36500</v>
      </c>
      <c r="H112" s="21">
        <v>21.586301369863012</v>
      </c>
      <c r="I112" t="s">
        <v>1199</v>
      </c>
      <c r="J112" t="s">
        <v>3591</v>
      </c>
      <c r="K112" t="s">
        <v>3592</v>
      </c>
      <c r="L112">
        <v>3115092386</v>
      </c>
    </row>
    <row r="113" spans="1:12" x14ac:dyDescent="0.25">
      <c r="A113">
        <v>113</v>
      </c>
      <c r="B113" t="s">
        <v>2035</v>
      </c>
      <c r="C113" t="s">
        <v>341</v>
      </c>
      <c r="D113" t="s">
        <v>369</v>
      </c>
      <c r="E113" t="s">
        <v>407</v>
      </c>
      <c r="F113" t="s">
        <v>273</v>
      </c>
      <c r="G113" s="22">
        <v>36452</v>
      </c>
      <c r="H113" s="21">
        <v>21.717808219178082</v>
      </c>
      <c r="I113" t="s">
        <v>922</v>
      </c>
      <c r="J113" t="s">
        <v>2623</v>
      </c>
      <c r="K113" t="s">
        <v>2624</v>
      </c>
      <c r="L113">
        <v>3115092375</v>
      </c>
    </row>
    <row r="114" spans="1:12" x14ac:dyDescent="0.25">
      <c r="A114">
        <v>114</v>
      </c>
      <c r="B114" t="s">
        <v>1493</v>
      </c>
      <c r="C114" t="s">
        <v>200</v>
      </c>
      <c r="D114" t="s">
        <v>78</v>
      </c>
      <c r="E114" t="s">
        <v>316</v>
      </c>
      <c r="F114" t="s">
        <v>46</v>
      </c>
      <c r="G114" s="22">
        <v>33858</v>
      </c>
      <c r="H114" s="21">
        <v>28.824657534246576</v>
      </c>
      <c r="I114" t="s">
        <v>1186</v>
      </c>
      <c r="J114" t="s">
        <v>3593</v>
      </c>
      <c r="K114" t="s">
        <v>3594</v>
      </c>
      <c r="L114">
        <v>3115092375</v>
      </c>
    </row>
    <row r="115" spans="1:12" x14ac:dyDescent="0.25">
      <c r="A115">
        <v>115</v>
      </c>
      <c r="B115" t="s">
        <v>2036</v>
      </c>
      <c r="C115" t="s">
        <v>342</v>
      </c>
      <c r="D115" t="s">
        <v>402</v>
      </c>
      <c r="E115" t="s">
        <v>408</v>
      </c>
      <c r="F115" t="s">
        <v>447</v>
      </c>
      <c r="G115" s="22">
        <v>29609</v>
      </c>
      <c r="H115" s="21">
        <v>40.465753424657535</v>
      </c>
      <c r="I115" t="s">
        <v>549</v>
      </c>
      <c r="J115" t="s">
        <v>2625</v>
      </c>
      <c r="K115" t="s">
        <v>2626</v>
      </c>
      <c r="L115">
        <v>3115092369</v>
      </c>
    </row>
    <row r="116" spans="1:12" x14ac:dyDescent="0.25">
      <c r="A116">
        <v>116</v>
      </c>
      <c r="B116" t="s">
        <v>1494</v>
      </c>
      <c r="C116" t="s">
        <v>122</v>
      </c>
      <c r="D116" t="s">
        <v>7</v>
      </c>
      <c r="E116" t="s">
        <v>177</v>
      </c>
      <c r="F116" t="s">
        <v>119</v>
      </c>
      <c r="G116" s="22">
        <v>36198</v>
      </c>
      <c r="H116" s="21">
        <v>22.413698630136988</v>
      </c>
      <c r="I116" t="s">
        <v>1200</v>
      </c>
      <c r="J116" t="s">
        <v>3595</v>
      </c>
      <c r="K116" t="s">
        <v>3596</v>
      </c>
      <c r="L116">
        <v>3115092369</v>
      </c>
    </row>
    <row r="117" spans="1:12" x14ac:dyDescent="0.25">
      <c r="A117">
        <v>117</v>
      </c>
      <c r="B117" t="s">
        <v>2037</v>
      </c>
      <c r="C117" t="s">
        <v>409</v>
      </c>
      <c r="D117" t="s">
        <v>379</v>
      </c>
      <c r="E117" t="s">
        <v>410</v>
      </c>
      <c r="F117" t="s">
        <v>411</v>
      </c>
      <c r="G117" s="22">
        <v>27602</v>
      </c>
      <c r="H117" s="21">
        <v>45.964383561643835</v>
      </c>
      <c r="I117" t="s">
        <v>577</v>
      </c>
      <c r="J117" t="s">
        <v>2627</v>
      </c>
      <c r="K117" t="s">
        <v>2628</v>
      </c>
      <c r="L117">
        <v>3115092360</v>
      </c>
    </row>
    <row r="118" spans="1:12" x14ac:dyDescent="0.25">
      <c r="A118">
        <v>118</v>
      </c>
      <c r="B118" t="s">
        <v>1495</v>
      </c>
      <c r="C118" t="s">
        <v>30</v>
      </c>
      <c r="D118" t="s">
        <v>195</v>
      </c>
      <c r="E118" t="s">
        <v>203</v>
      </c>
      <c r="F118" t="s">
        <v>59</v>
      </c>
      <c r="G118" s="22">
        <v>29530</v>
      </c>
      <c r="H118" s="21">
        <v>40.682191780821917</v>
      </c>
      <c r="I118" t="s">
        <v>1201</v>
      </c>
      <c r="J118" t="s">
        <v>3597</v>
      </c>
      <c r="K118" t="s">
        <v>3598</v>
      </c>
      <c r="L118">
        <v>3115092360</v>
      </c>
    </row>
    <row r="119" spans="1:12" x14ac:dyDescent="0.25">
      <c r="A119">
        <v>119</v>
      </c>
      <c r="B119" t="s">
        <v>2038</v>
      </c>
      <c r="C119" t="s">
        <v>330</v>
      </c>
      <c r="D119" t="s">
        <v>487</v>
      </c>
      <c r="E119" t="s">
        <v>94</v>
      </c>
      <c r="F119" t="s">
        <v>467</v>
      </c>
      <c r="G119" s="22">
        <v>33577</v>
      </c>
      <c r="H119" s="21">
        <v>29.594520547945205</v>
      </c>
      <c r="I119" t="s">
        <v>578</v>
      </c>
      <c r="J119" t="s">
        <v>2629</v>
      </c>
      <c r="K119" t="s">
        <v>2630</v>
      </c>
      <c r="L119">
        <v>3115092352</v>
      </c>
    </row>
    <row r="120" spans="1:12" x14ac:dyDescent="0.25">
      <c r="A120">
        <v>120</v>
      </c>
      <c r="B120" t="s">
        <v>1496</v>
      </c>
      <c r="C120" t="s">
        <v>35</v>
      </c>
      <c r="D120" t="s">
        <v>317</v>
      </c>
      <c r="E120" t="s">
        <v>39</v>
      </c>
      <c r="F120" t="s">
        <v>188</v>
      </c>
      <c r="G120" s="22">
        <v>26715</v>
      </c>
      <c r="H120" s="21">
        <v>48.394520547945206</v>
      </c>
      <c r="I120" t="s">
        <v>1188</v>
      </c>
      <c r="J120" t="s">
        <v>3599</v>
      </c>
      <c r="K120" t="s">
        <v>3600</v>
      </c>
      <c r="L120">
        <v>3115092352</v>
      </c>
    </row>
    <row r="121" spans="1:12" x14ac:dyDescent="0.25">
      <c r="A121">
        <v>121</v>
      </c>
      <c r="B121" t="s">
        <v>2039</v>
      </c>
      <c r="C121" t="s">
        <v>387</v>
      </c>
      <c r="D121" t="s">
        <v>488</v>
      </c>
      <c r="E121" t="s">
        <v>412</v>
      </c>
      <c r="F121" t="s">
        <v>138</v>
      </c>
      <c r="G121" s="22">
        <v>32291</v>
      </c>
      <c r="H121" s="21">
        <v>33.11780821917808</v>
      </c>
      <c r="I121" t="s">
        <v>579</v>
      </c>
      <c r="J121" t="s">
        <v>2631</v>
      </c>
      <c r="K121" t="s">
        <v>2632</v>
      </c>
      <c r="L121">
        <v>3115114930</v>
      </c>
    </row>
    <row r="122" spans="1:12" x14ac:dyDescent="0.25">
      <c r="A122">
        <v>122</v>
      </c>
      <c r="B122" t="s">
        <v>1497</v>
      </c>
      <c r="C122" t="s">
        <v>617</v>
      </c>
      <c r="D122" t="s">
        <v>134</v>
      </c>
      <c r="E122" t="s">
        <v>206</v>
      </c>
      <c r="F122" t="s">
        <v>87</v>
      </c>
      <c r="G122" s="22">
        <v>35772</v>
      </c>
      <c r="H122" s="21">
        <v>23.580821917808219</v>
      </c>
      <c r="I122" t="s">
        <v>1202</v>
      </c>
      <c r="J122" t="s">
        <v>3601</v>
      </c>
      <c r="K122" t="s">
        <v>3602</v>
      </c>
      <c r="L122">
        <v>3115114930</v>
      </c>
    </row>
    <row r="123" spans="1:12" x14ac:dyDescent="0.25">
      <c r="A123">
        <v>123</v>
      </c>
      <c r="B123" t="s">
        <v>2040</v>
      </c>
      <c r="C123" t="s">
        <v>382</v>
      </c>
      <c r="D123" t="s">
        <v>413</v>
      </c>
      <c r="E123" t="s">
        <v>414</v>
      </c>
      <c r="F123" t="s">
        <v>415</v>
      </c>
      <c r="G123" s="22">
        <v>24110</v>
      </c>
      <c r="H123" s="21">
        <v>55.531506849315072</v>
      </c>
      <c r="I123" t="s">
        <v>540</v>
      </c>
      <c r="J123" t="s">
        <v>2633</v>
      </c>
      <c r="K123" t="s">
        <v>2634</v>
      </c>
      <c r="L123">
        <v>3115114916</v>
      </c>
    </row>
    <row r="124" spans="1:12" x14ac:dyDescent="0.25">
      <c r="A124">
        <v>124</v>
      </c>
      <c r="B124" t="s">
        <v>1498</v>
      </c>
      <c r="C124" t="s">
        <v>139</v>
      </c>
      <c r="D124" t="s">
        <v>76</v>
      </c>
      <c r="E124" t="s">
        <v>148</v>
      </c>
      <c r="F124" t="s">
        <v>251</v>
      </c>
      <c r="G124" s="22">
        <v>36475</v>
      </c>
      <c r="H124" s="21">
        <v>21.654794520547945</v>
      </c>
      <c r="I124" t="s">
        <v>1203</v>
      </c>
      <c r="J124" t="s">
        <v>3603</v>
      </c>
      <c r="K124" t="s">
        <v>3604</v>
      </c>
      <c r="L124">
        <v>3115114916</v>
      </c>
    </row>
    <row r="125" spans="1:12" x14ac:dyDescent="0.25">
      <c r="A125">
        <v>125</v>
      </c>
      <c r="B125" t="s">
        <v>2041</v>
      </c>
      <c r="C125" t="s">
        <v>416</v>
      </c>
      <c r="D125" t="s">
        <v>333</v>
      </c>
      <c r="E125" t="s">
        <v>404</v>
      </c>
      <c r="F125" t="s">
        <v>468</v>
      </c>
      <c r="G125" s="22">
        <v>24453</v>
      </c>
      <c r="H125" s="21">
        <v>54.591780821917808</v>
      </c>
      <c r="I125" t="s">
        <v>555</v>
      </c>
      <c r="J125" t="s">
        <v>2635</v>
      </c>
      <c r="K125" t="s">
        <v>2636</v>
      </c>
      <c r="L125">
        <v>3115114911</v>
      </c>
    </row>
    <row r="126" spans="1:12" x14ac:dyDescent="0.25">
      <c r="A126">
        <v>126</v>
      </c>
      <c r="B126" t="s">
        <v>1499</v>
      </c>
      <c r="C126" t="s">
        <v>41</v>
      </c>
      <c r="D126" t="s">
        <v>618</v>
      </c>
      <c r="E126" t="s">
        <v>55</v>
      </c>
      <c r="F126" t="s">
        <v>63</v>
      </c>
      <c r="G126" s="22">
        <v>35448</v>
      </c>
      <c r="H126" s="21">
        <v>24.468493150684932</v>
      </c>
      <c r="I126" t="s">
        <v>1204</v>
      </c>
      <c r="J126" t="s">
        <v>3605</v>
      </c>
      <c r="K126" t="s">
        <v>3606</v>
      </c>
      <c r="L126">
        <v>3115114911</v>
      </c>
    </row>
    <row r="127" spans="1:12" x14ac:dyDescent="0.25">
      <c r="A127">
        <v>127</v>
      </c>
      <c r="B127" t="s">
        <v>2042</v>
      </c>
      <c r="C127" t="s">
        <v>341</v>
      </c>
      <c r="D127" t="s">
        <v>446</v>
      </c>
      <c r="E127" t="s">
        <v>417</v>
      </c>
      <c r="F127" t="s">
        <v>89</v>
      </c>
      <c r="G127" s="22">
        <v>27602</v>
      </c>
      <c r="H127" s="21">
        <v>45.964383561643835</v>
      </c>
      <c r="I127" t="s">
        <v>580</v>
      </c>
      <c r="J127" t="s">
        <v>2637</v>
      </c>
      <c r="K127" t="s">
        <v>2638</v>
      </c>
      <c r="L127">
        <v>3115114910</v>
      </c>
    </row>
    <row r="128" spans="1:12" x14ac:dyDescent="0.25">
      <c r="A128">
        <v>128</v>
      </c>
      <c r="B128" t="s">
        <v>1500</v>
      </c>
      <c r="C128" t="s">
        <v>129</v>
      </c>
      <c r="D128" t="s">
        <v>619</v>
      </c>
      <c r="E128" t="s">
        <v>75</v>
      </c>
      <c r="F128" t="s">
        <v>117</v>
      </c>
      <c r="G128" s="22">
        <v>36404</v>
      </c>
      <c r="H128" s="21">
        <v>21.849315068493151</v>
      </c>
      <c r="I128" t="s">
        <v>1189</v>
      </c>
      <c r="J128" t="s">
        <v>3607</v>
      </c>
      <c r="K128" t="s">
        <v>3608</v>
      </c>
      <c r="L128">
        <v>3115114910</v>
      </c>
    </row>
    <row r="129" spans="1:12" x14ac:dyDescent="0.25">
      <c r="A129">
        <v>129</v>
      </c>
      <c r="B129" t="s">
        <v>2043</v>
      </c>
      <c r="C129" t="s">
        <v>418</v>
      </c>
      <c r="D129" t="s">
        <v>387</v>
      </c>
      <c r="E129" t="s">
        <v>419</v>
      </c>
      <c r="F129" t="s">
        <v>469</v>
      </c>
      <c r="G129" s="22">
        <v>34829</v>
      </c>
      <c r="H129" s="21">
        <v>26.164383561643834</v>
      </c>
      <c r="I129" t="s">
        <v>581</v>
      </c>
      <c r="J129" t="s">
        <v>2639</v>
      </c>
      <c r="K129" t="s">
        <v>2640</v>
      </c>
      <c r="L129">
        <v>3115114909</v>
      </c>
    </row>
    <row r="130" spans="1:12" x14ac:dyDescent="0.25">
      <c r="A130">
        <v>130</v>
      </c>
      <c r="B130" t="s">
        <v>1501</v>
      </c>
      <c r="C130" t="s">
        <v>13</v>
      </c>
      <c r="D130" t="s">
        <v>29</v>
      </c>
      <c r="E130" t="s">
        <v>132</v>
      </c>
      <c r="F130" t="s">
        <v>186</v>
      </c>
      <c r="G130" s="22">
        <v>36666</v>
      </c>
      <c r="H130" s="21">
        <v>21.13150684931507</v>
      </c>
      <c r="I130" t="s">
        <v>1205</v>
      </c>
      <c r="J130" t="s">
        <v>3609</v>
      </c>
      <c r="K130" t="s">
        <v>3610</v>
      </c>
      <c r="L130">
        <v>3115114909</v>
      </c>
    </row>
    <row r="131" spans="1:12" x14ac:dyDescent="0.25">
      <c r="A131">
        <v>131</v>
      </c>
      <c r="B131" t="s">
        <v>2044</v>
      </c>
      <c r="C131" t="s">
        <v>413</v>
      </c>
      <c r="D131" t="s">
        <v>483</v>
      </c>
      <c r="E131" t="s">
        <v>420</v>
      </c>
      <c r="F131" t="s">
        <v>279</v>
      </c>
      <c r="G131" s="22">
        <v>26715</v>
      </c>
      <c r="H131" s="21">
        <v>48.394520547945206</v>
      </c>
      <c r="I131" t="s">
        <v>582</v>
      </c>
      <c r="J131" t="s">
        <v>2641</v>
      </c>
      <c r="K131" t="s">
        <v>2642</v>
      </c>
      <c r="L131">
        <v>3115060130</v>
      </c>
    </row>
    <row r="132" spans="1:12" x14ac:dyDescent="0.25">
      <c r="A132">
        <v>132</v>
      </c>
      <c r="B132" t="s">
        <v>1502</v>
      </c>
      <c r="C132" t="s">
        <v>12</v>
      </c>
      <c r="D132" t="s">
        <v>311</v>
      </c>
      <c r="E132" t="s">
        <v>58</v>
      </c>
      <c r="F132" t="s">
        <v>199</v>
      </c>
      <c r="G132" s="22">
        <v>35926</v>
      </c>
      <c r="H132" s="21">
        <v>23.158904109589042</v>
      </c>
      <c r="I132" t="s">
        <v>1180</v>
      </c>
      <c r="J132" t="s">
        <v>3611</v>
      </c>
      <c r="K132" t="s">
        <v>3612</v>
      </c>
      <c r="L132">
        <v>3115060130</v>
      </c>
    </row>
    <row r="133" spans="1:12" x14ac:dyDescent="0.25">
      <c r="A133">
        <v>133</v>
      </c>
      <c r="B133" t="s">
        <v>2045</v>
      </c>
      <c r="C133" t="s">
        <v>421</v>
      </c>
      <c r="D133" t="s">
        <v>479</v>
      </c>
      <c r="E133" t="s">
        <v>422</v>
      </c>
      <c r="F133" t="s">
        <v>94</v>
      </c>
      <c r="G133" s="22">
        <v>21777</v>
      </c>
      <c r="H133" s="21">
        <v>61.923287671232877</v>
      </c>
      <c r="I133" t="s">
        <v>583</v>
      </c>
      <c r="J133" t="s">
        <v>2643</v>
      </c>
      <c r="K133" t="s">
        <v>2644</v>
      </c>
      <c r="L133">
        <v>3115060125</v>
      </c>
    </row>
    <row r="134" spans="1:12" x14ac:dyDescent="0.25">
      <c r="A134">
        <v>134</v>
      </c>
      <c r="B134" t="s">
        <v>1503</v>
      </c>
      <c r="C134" t="s">
        <v>165</v>
      </c>
      <c r="D134" t="s">
        <v>167</v>
      </c>
      <c r="E134" t="s">
        <v>60</v>
      </c>
      <c r="F134" t="s">
        <v>252</v>
      </c>
      <c r="G134" s="22">
        <v>32586</v>
      </c>
      <c r="H134" s="21">
        <v>32</v>
      </c>
      <c r="I134" t="s">
        <v>1183</v>
      </c>
      <c r="J134" t="s">
        <v>3613</v>
      </c>
      <c r="K134" t="s">
        <v>3614</v>
      </c>
      <c r="L134">
        <v>3115060125</v>
      </c>
    </row>
    <row r="135" spans="1:12" x14ac:dyDescent="0.25">
      <c r="A135">
        <v>135</v>
      </c>
      <c r="B135" t="s">
        <v>2046</v>
      </c>
      <c r="C135" t="s">
        <v>397</v>
      </c>
      <c r="D135" t="s">
        <v>489</v>
      </c>
      <c r="E135" t="s">
        <v>103</v>
      </c>
      <c r="F135" t="s">
        <v>470</v>
      </c>
      <c r="G135" s="22">
        <v>26789</v>
      </c>
      <c r="H135" s="21">
        <v>48.19178082191781</v>
      </c>
      <c r="I135" t="s">
        <v>564</v>
      </c>
      <c r="J135" t="s">
        <v>2645</v>
      </c>
      <c r="K135" t="s">
        <v>2646</v>
      </c>
      <c r="L135">
        <v>3115060110</v>
      </c>
    </row>
    <row r="136" spans="1:12" x14ac:dyDescent="0.25">
      <c r="A136">
        <v>136</v>
      </c>
      <c r="B136" t="s">
        <v>1504</v>
      </c>
      <c r="C136" t="s">
        <v>2506</v>
      </c>
      <c r="D136" t="s">
        <v>217</v>
      </c>
      <c r="E136" t="s">
        <v>99</v>
      </c>
      <c r="F136" t="s">
        <v>253</v>
      </c>
      <c r="G136" s="22">
        <v>36441</v>
      </c>
      <c r="H136" s="21">
        <v>21.747945205479454</v>
      </c>
      <c r="I136" t="s">
        <v>1206</v>
      </c>
      <c r="J136" t="s">
        <v>3615</v>
      </c>
      <c r="K136" t="s">
        <v>3616</v>
      </c>
      <c r="L136">
        <v>3115060110</v>
      </c>
    </row>
    <row r="137" spans="1:12" x14ac:dyDescent="0.25">
      <c r="A137">
        <v>137</v>
      </c>
      <c r="B137" t="s">
        <v>2047</v>
      </c>
      <c r="C137" t="s">
        <v>342</v>
      </c>
      <c r="D137" t="s">
        <v>490</v>
      </c>
      <c r="E137" t="s">
        <v>423</v>
      </c>
      <c r="F137" t="s">
        <v>471</v>
      </c>
      <c r="G137" s="22">
        <v>28930</v>
      </c>
      <c r="H137" s="21">
        <v>42.326027397260276</v>
      </c>
      <c r="I137" t="s">
        <v>584</v>
      </c>
      <c r="J137" t="s">
        <v>2647</v>
      </c>
      <c r="K137" t="s">
        <v>2648</v>
      </c>
      <c r="L137">
        <v>3115060091</v>
      </c>
    </row>
    <row r="138" spans="1:12" x14ac:dyDescent="0.25">
      <c r="A138">
        <v>138</v>
      </c>
      <c r="B138" t="s">
        <v>1505</v>
      </c>
      <c r="C138" t="s">
        <v>184</v>
      </c>
      <c r="D138" t="s">
        <v>29</v>
      </c>
      <c r="E138" t="s">
        <v>196</v>
      </c>
      <c r="F138" t="s">
        <v>254</v>
      </c>
      <c r="G138" s="22">
        <v>36452</v>
      </c>
      <c r="H138" s="21">
        <v>21.717808219178082</v>
      </c>
      <c r="I138" t="s">
        <v>1207</v>
      </c>
      <c r="J138" t="s">
        <v>3617</v>
      </c>
      <c r="K138" t="s">
        <v>3618</v>
      </c>
      <c r="L138">
        <v>3115060091</v>
      </c>
    </row>
    <row r="139" spans="1:12" x14ac:dyDescent="0.25">
      <c r="A139">
        <v>139</v>
      </c>
      <c r="B139" t="s">
        <v>2048</v>
      </c>
      <c r="C139" t="s">
        <v>364</v>
      </c>
      <c r="D139" t="s">
        <v>365</v>
      </c>
      <c r="E139" t="s">
        <v>169</v>
      </c>
      <c r="F139" t="s">
        <v>472</v>
      </c>
      <c r="G139" s="22">
        <v>35084</v>
      </c>
      <c r="H139" s="21">
        <v>25.465753424657535</v>
      </c>
      <c r="I139" t="s">
        <v>585</v>
      </c>
      <c r="J139" t="s">
        <v>2649</v>
      </c>
      <c r="K139" t="s">
        <v>2650</v>
      </c>
      <c r="L139">
        <v>3115060080</v>
      </c>
    </row>
    <row r="140" spans="1:12" x14ac:dyDescent="0.25">
      <c r="A140">
        <v>140</v>
      </c>
      <c r="B140" t="s">
        <v>1506</v>
      </c>
      <c r="C140" t="s">
        <v>101</v>
      </c>
      <c r="D140" t="s">
        <v>9</v>
      </c>
      <c r="E140" t="s">
        <v>110</v>
      </c>
      <c r="F140" t="s">
        <v>255</v>
      </c>
      <c r="G140" s="22">
        <v>36633</v>
      </c>
      <c r="H140" s="21">
        <v>21.221917808219178</v>
      </c>
      <c r="I140" t="s">
        <v>566</v>
      </c>
      <c r="J140" t="s">
        <v>3619</v>
      </c>
      <c r="K140" t="s">
        <v>3620</v>
      </c>
      <c r="L140">
        <v>3115060080</v>
      </c>
    </row>
    <row r="141" spans="1:12" x14ac:dyDescent="0.25">
      <c r="A141">
        <v>141</v>
      </c>
      <c r="B141" t="s">
        <v>2049</v>
      </c>
      <c r="C141" t="s">
        <v>371</v>
      </c>
      <c r="D141" t="s">
        <v>391</v>
      </c>
      <c r="E141" t="s">
        <v>440</v>
      </c>
      <c r="F141" t="s">
        <v>441</v>
      </c>
      <c r="G141" s="22">
        <v>32149</v>
      </c>
      <c r="H141" s="21">
        <v>33.506849315068493</v>
      </c>
      <c r="I141" t="s">
        <v>586</v>
      </c>
      <c r="J141" t="s">
        <v>2651</v>
      </c>
      <c r="K141" t="s">
        <v>2652</v>
      </c>
      <c r="L141">
        <v>3115114385</v>
      </c>
    </row>
    <row r="142" spans="1:12" x14ac:dyDescent="0.25">
      <c r="A142">
        <v>142</v>
      </c>
      <c r="B142" t="s">
        <v>1507</v>
      </c>
      <c r="C142" t="s">
        <v>10</v>
      </c>
      <c r="D142" t="s">
        <v>620</v>
      </c>
      <c r="E142" t="s">
        <v>110</v>
      </c>
      <c r="F142" t="s">
        <v>256</v>
      </c>
      <c r="G142" s="22">
        <v>36349</v>
      </c>
      <c r="H142" s="21">
        <v>22</v>
      </c>
      <c r="I142" t="s">
        <v>589</v>
      </c>
      <c r="J142" t="s">
        <v>3621</v>
      </c>
      <c r="K142" t="s">
        <v>3622</v>
      </c>
      <c r="L142">
        <v>3115114385</v>
      </c>
    </row>
    <row r="143" spans="1:12" x14ac:dyDescent="0.25">
      <c r="A143">
        <v>143</v>
      </c>
      <c r="B143" t="s">
        <v>2050</v>
      </c>
      <c r="C143" t="s">
        <v>424</v>
      </c>
      <c r="D143" t="s">
        <v>491</v>
      </c>
      <c r="E143" t="s">
        <v>277</v>
      </c>
      <c r="F143" t="s">
        <v>473</v>
      </c>
      <c r="G143" s="22">
        <v>33835</v>
      </c>
      <c r="H143" s="21">
        <v>28.887671232876713</v>
      </c>
      <c r="I143" t="s">
        <v>563</v>
      </c>
      <c r="J143" t="s">
        <v>2653</v>
      </c>
      <c r="K143" t="s">
        <v>2654</v>
      </c>
      <c r="L143">
        <v>3115114360</v>
      </c>
    </row>
    <row r="144" spans="1:12" x14ac:dyDescent="0.25">
      <c r="A144">
        <v>144</v>
      </c>
      <c r="B144" t="s">
        <v>1508</v>
      </c>
      <c r="C144" t="s">
        <v>37</v>
      </c>
      <c r="D144" t="s">
        <v>621</v>
      </c>
      <c r="E144" t="s">
        <v>100</v>
      </c>
      <c r="F144" t="s">
        <v>257</v>
      </c>
      <c r="G144" s="22">
        <v>35411</v>
      </c>
      <c r="H144" s="21">
        <v>24.56986301369863</v>
      </c>
      <c r="I144" t="s">
        <v>1208</v>
      </c>
      <c r="J144" t="s">
        <v>3623</v>
      </c>
      <c r="K144" t="s">
        <v>3624</v>
      </c>
      <c r="L144">
        <v>3115114360</v>
      </c>
    </row>
    <row r="145" spans="1:12" x14ac:dyDescent="0.25">
      <c r="A145">
        <v>145</v>
      </c>
      <c r="B145" t="s">
        <v>2051</v>
      </c>
      <c r="C145" t="s">
        <v>349</v>
      </c>
      <c r="D145" t="s">
        <v>382</v>
      </c>
      <c r="E145" t="s">
        <v>57</v>
      </c>
      <c r="F145" t="s">
        <v>474</v>
      </c>
      <c r="G145" s="22">
        <v>26322</v>
      </c>
      <c r="H145" s="21">
        <v>49.471232876712328</v>
      </c>
      <c r="I145" t="s">
        <v>587</v>
      </c>
      <c r="J145" t="s">
        <v>2655</v>
      </c>
      <c r="K145" t="s">
        <v>2656</v>
      </c>
      <c r="L145">
        <v>3115093653</v>
      </c>
    </row>
    <row r="146" spans="1:12" x14ac:dyDescent="0.25">
      <c r="A146">
        <v>146</v>
      </c>
      <c r="B146" t="s">
        <v>1509</v>
      </c>
      <c r="C146" t="s">
        <v>35</v>
      </c>
      <c r="D146" t="s">
        <v>299</v>
      </c>
      <c r="E146" t="s">
        <v>258</v>
      </c>
      <c r="F146" t="s">
        <v>259</v>
      </c>
      <c r="G146" s="22">
        <v>34280</v>
      </c>
      <c r="H146" s="21">
        <v>27.668493150684931</v>
      </c>
      <c r="I146" t="s">
        <v>609</v>
      </c>
      <c r="J146" t="s">
        <v>3625</v>
      </c>
      <c r="K146" t="s">
        <v>3626</v>
      </c>
      <c r="L146">
        <v>3115093653</v>
      </c>
    </row>
    <row r="147" spans="1:12" x14ac:dyDescent="0.25">
      <c r="A147">
        <v>147</v>
      </c>
      <c r="B147" t="s">
        <v>2052</v>
      </c>
      <c r="C147" t="s">
        <v>425</v>
      </c>
      <c r="D147" t="s">
        <v>426</v>
      </c>
      <c r="E147" t="s">
        <v>427</v>
      </c>
      <c r="F147" t="s">
        <v>428</v>
      </c>
      <c r="G147" s="22">
        <v>29364</v>
      </c>
      <c r="H147" s="21">
        <v>41.136986301369866</v>
      </c>
      <c r="I147" t="s">
        <v>588</v>
      </c>
      <c r="J147" t="s">
        <v>2657</v>
      </c>
      <c r="K147" t="s">
        <v>2658</v>
      </c>
      <c r="L147">
        <v>3115093598</v>
      </c>
    </row>
    <row r="148" spans="1:12" x14ac:dyDescent="0.25">
      <c r="A148">
        <v>148</v>
      </c>
      <c r="B148" t="s">
        <v>1510</v>
      </c>
      <c r="C148" t="s">
        <v>192</v>
      </c>
      <c r="D148" t="s">
        <v>622</v>
      </c>
      <c r="E148" t="s">
        <v>126</v>
      </c>
      <c r="F148" t="s">
        <v>227</v>
      </c>
      <c r="G148" s="22">
        <v>35084</v>
      </c>
      <c r="H148" s="21">
        <v>25.465753424657535</v>
      </c>
      <c r="I148" t="s">
        <v>1209</v>
      </c>
      <c r="J148" t="s">
        <v>3627</v>
      </c>
      <c r="K148" t="s">
        <v>3628</v>
      </c>
      <c r="L148">
        <v>3115093598</v>
      </c>
    </row>
    <row r="149" spans="1:12" x14ac:dyDescent="0.25">
      <c r="A149">
        <v>149</v>
      </c>
      <c r="B149" t="s">
        <v>2053</v>
      </c>
      <c r="C149" t="s">
        <v>429</v>
      </c>
      <c r="D149" t="s">
        <v>492</v>
      </c>
      <c r="E149" t="s">
        <v>430</v>
      </c>
      <c r="F149" t="s">
        <v>286</v>
      </c>
      <c r="G149" s="22">
        <v>32227</v>
      </c>
      <c r="H149" s="21">
        <v>33.293150684931504</v>
      </c>
      <c r="I149" t="s">
        <v>589</v>
      </c>
      <c r="J149" t="s">
        <v>2659</v>
      </c>
      <c r="K149" t="s">
        <v>2660</v>
      </c>
      <c r="L149">
        <v>3115093583</v>
      </c>
    </row>
    <row r="150" spans="1:12" x14ac:dyDescent="0.25">
      <c r="A150">
        <v>150</v>
      </c>
      <c r="B150" t="s">
        <v>1511</v>
      </c>
      <c r="C150" t="s">
        <v>329</v>
      </c>
      <c r="D150" t="s">
        <v>67</v>
      </c>
      <c r="E150" t="s">
        <v>127</v>
      </c>
      <c r="F150" t="s">
        <v>260</v>
      </c>
      <c r="G150" s="22">
        <v>33835</v>
      </c>
      <c r="H150" s="21">
        <v>28.887671232876713</v>
      </c>
      <c r="I150" t="s">
        <v>1210</v>
      </c>
      <c r="J150" t="s">
        <v>3629</v>
      </c>
      <c r="K150" t="s">
        <v>3630</v>
      </c>
      <c r="L150">
        <v>3115093583</v>
      </c>
    </row>
    <row r="151" spans="1:12" x14ac:dyDescent="0.25">
      <c r="A151">
        <v>151</v>
      </c>
      <c r="B151" t="s">
        <v>2054</v>
      </c>
      <c r="C151" t="s">
        <v>431</v>
      </c>
      <c r="D151" t="s">
        <v>432</v>
      </c>
      <c r="E151" t="s">
        <v>433</v>
      </c>
      <c r="F151" t="s">
        <v>110</v>
      </c>
      <c r="G151" s="22">
        <v>23791</v>
      </c>
      <c r="H151" s="21">
        <v>56.405479452054792</v>
      </c>
      <c r="I151" t="s">
        <v>590</v>
      </c>
      <c r="J151" t="s">
        <v>2661</v>
      </c>
      <c r="K151" t="s">
        <v>2662</v>
      </c>
      <c r="L151">
        <v>3115092386</v>
      </c>
    </row>
    <row r="152" spans="1:12" x14ac:dyDescent="0.25">
      <c r="A152">
        <v>152</v>
      </c>
      <c r="B152" t="s">
        <v>1512</v>
      </c>
      <c r="C152" t="s">
        <v>215</v>
      </c>
      <c r="D152" t="s">
        <v>195</v>
      </c>
      <c r="E152" t="s">
        <v>44</v>
      </c>
      <c r="F152" t="s">
        <v>261</v>
      </c>
      <c r="G152" s="22">
        <v>35977</v>
      </c>
      <c r="H152" s="21">
        <v>23.019178082191782</v>
      </c>
      <c r="I152" t="s">
        <v>566</v>
      </c>
      <c r="J152" t="s">
        <v>3631</v>
      </c>
      <c r="K152" t="s">
        <v>3632</v>
      </c>
      <c r="L152">
        <v>3115092386</v>
      </c>
    </row>
    <row r="153" spans="1:12" x14ac:dyDescent="0.25">
      <c r="A153">
        <v>153</v>
      </c>
      <c r="B153" t="s">
        <v>2055</v>
      </c>
      <c r="C153" t="s">
        <v>397</v>
      </c>
      <c r="D153" t="s">
        <v>434</v>
      </c>
      <c r="E153" t="s">
        <v>435</v>
      </c>
      <c r="F153" t="s">
        <v>47</v>
      </c>
      <c r="G153" s="22">
        <v>26802</v>
      </c>
      <c r="H153" s="21">
        <v>48.156164383561645</v>
      </c>
      <c r="I153" t="s">
        <v>591</v>
      </c>
      <c r="J153" t="s">
        <v>2663</v>
      </c>
      <c r="K153" t="s">
        <v>2664</v>
      </c>
      <c r="L153">
        <v>3115092375</v>
      </c>
    </row>
    <row r="154" spans="1:12" x14ac:dyDescent="0.25">
      <c r="A154">
        <v>154</v>
      </c>
      <c r="B154" t="s">
        <v>1513</v>
      </c>
      <c r="C154" t="s">
        <v>21</v>
      </c>
      <c r="D154" t="s">
        <v>623</v>
      </c>
      <c r="E154" t="s">
        <v>89</v>
      </c>
      <c r="F154" t="s">
        <v>43</v>
      </c>
      <c r="G154" s="22">
        <v>36500</v>
      </c>
      <c r="H154" s="21">
        <v>21.586301369863012</v>
      </c>
      <c r="I154" t="s">
        <v>1211</v>
      </c>
      <c r="J154" t="s">
        <v>3633</v>
      </c>
      <c r="K154" t="s">
        <v>3634</v>
      </c>
      <c r="L154">
        <v>3115092375</v>
      </c>
    </row>
    <row r="155" spans="1:12" x14ac:dyDescent="0.25">
      <c r="A155">
        <v>155</v>
      </c>
      <c r="B155" t="s">
        <v>2056</v>
      </c>
      <c r="C155" t="s">
        <v>399</v>
      </c>
      <c r="D155" t="s">
        <v>483</v>
      </c>
      <c r="E155" t="s">
        <v>436</v>
      </c>
      <c r="F155" t="s">
        <v>54</v>
      </c>
      <c r="G155" s="22">
        <v>26880</v>
      </c>
      <c r="H155" s="21">
        <v>47.942465753424656</v>
      </c>
      <c r="I155" t="s">
        <v>568</v>
      </c>
      <c r="J155" t="s">
        <v>2665</v>
      </c>
      <c r="K155" t="s">
        <v>2666</v>
      </c>
      <c r="L155">
        <v>3115092369</v>
      </c>
    </row>
    <row r="156" spans="1:12" x14ac:dyDescent="0.25">
      <c r="A156">
        <v>156</v>
      </c>
      <c r="B156" t="s">
        <v>1514</v>
      </c>
      <c r="C156" t="s">
        <v>14</v>
      </c>
      <c r="D156" t="s">
        <v>624</v>
      </c>
      <c r="E156" t="s">
        <v>160</v>
      </c>
      <c r="F156" t="s">
        <v>255</v>
      </c>
      <c r="G156" s="22">
        <v>33858</v>
      </c>
      <c r="H156" s="21">
        <v>28.824657534246576</v>
      </c>
      <c r="I156" t="s">
        <v>1212</v>
      </c>
      <c r="J156" t="s">
        <v>3635</v>
      </c>
      <c r="K156" t="s">
        <v>3636</v>
      </c>
      <c r="L156">
        <v>3115092369</v>
      </c>
    </row>
    <row r="157" spans="1:12" x14ac:dyDescent="0.25">
      <c r="A157">
        <v>157</v>
      </c>
      <c r="B157" t="s">
        <v>2057</v>
      </c>
      <c r="C157" t="s">
        <v>341</v>
      </c>
      <c r="D157" t="s">
        <v>339</v>
      </c>
      <c r="E157" t="s">
        <v>437</v>
      </c>
      <c r="F157" t="s">
        <v>255</v>
      </c>
      <c r="G157" s="22">
        <v>36628</v>
      </c>
      <c r="H157" s="21">
        <v>21.235616438356164</v>
      </c>
      <c r="I157" t="s">
        <v>560</v>
      </c>
      <c r="J157" t="s">
        <v>2667</v>
      </c>
      <c r="K157" t="s">
        <v>2668</v>
      </c>
      <c r="L157">
        <v>3115092360</v>
      </c>
    </row>
    <row r="158" spans="1:12" x14ac:dyDescent="0.25">
      <c r="A158">
        <v>158</v>
      </c>
      <c r="B158" t="s">
        <v>1515</v>
      </c>
      <c r="C158" t="s">
        <v>50</v>
      </c>
      <c r="D158" t="s">
        <v>625</v>
      </c>
      <c r="E158" t="s">
        <v>115</v>
      </c>
      <c r="F158" t="s">
        <v>157</v>
      </c>
      <c r="G158" s="22">
        <v>36198</v>
      </c>
      <c r="H158" s="21">
        <v>22.413698630136988</v>
      </c>
      <c r="I158" t="s">
        <v>1213</v>
      </c>
      <c r="J158" t="s">
        <v>3637</v>
      </c>
      <c r="K158" t="s">
        <v>3638</v>
      </c>
      <c r="L158">
        <v>3115092360</v>
      </c>
    </row>
    <row r="159" spans="1:12" x14ac:dyDescent="0.25">
      <c r="A159">
        <v>159</v>
      </c>
      <c r="B159" t="s">
        <v>2058</v>
      </c>
      <c r="C159" t="s">
        <v>353</v>
      </c>
      <c r="D159" t="s">
        <v>448</v>
      </c>
      <c r="E159" t="s">
        <v>438</v>
      </c>
      <c r="F159" t="s">
        <v>475</v>
      </c>
      <c r="G159" s="22">
        <v>26322</v>
      </c>
      <c r="H159" s="21">
        <v>49.471232876712328</v>
      </c>
      <c r="I159" t="s">
        <v>592</v>
      </c>
      <c r="J159" t="s">
        <v>2669</v>
      </c>
      <c r="K159" t="s">
        <v>2670</v>
      </c>
      <c r="L159">
        <v>3115092352</v>
      </c>
    </row>
    <row r="160" spans="1:12" x14ac:dyDescent="0.25">
      <c r="A160">
        <v>160</v>
      </c>
      <c r="B160" t="s">
        <v>1516</v>
      </c>
      <c r="C160" t="s">
        <v>93</v>
      </c>
      <c r="D160" t="s">
        <v>18</v>
      </c>
      <c r="E160" t="s">
        <v>72</v>
      </c>
      <c r="F160" t="s">
        <v>247</v>
      </c>
      <c r="G160" s="22">
        <v>29530</v>
      </c>
      <c r="H160" s="21">
        <v>40.682191780821917</v>
      </c>
      <c r="I160" t="s">
        <v>1200</v>
      </c>
      <c r="J160" t="s">
        <v>3639</v>
      </c>
      <c r="K160" t="s">
        <v>3640</v>
      </c>
      <c r="L160">
        <v>3115092352</v>
      </c>
    </row>
    <row r="161" spans="1:12" x14ac:dyDescent="0.25">
      <c r="A161">
        <v>161</v>
      </c>
      <c r="B161" t="s">
        <v>2059</v>
      </c>
      <c r="C161" t="s">
        <v>439</v>
      </c>
      <c r="D161" t="s">
        <v>330</v>
      </c>
      <c r="E161" t="s">
        <v>68</v>
      </c>
      <c r="F161" t="s">
        <v>476</v>
      </c>
      <c r="G161" s="22">
        <v>25556</v>
      </c>
      <c r="H161" s="21">
        <v>51.56986301369863</v>
      </c>
      <c r="I161" t="s">
        <v>593</v>
      </c>
      <c r="J161" t="s">
        <v>2671</v>
      </c>
      <c r="K161" t="s">
        <v>2672</v>
      </c>
      <c r="L161">
        <v>3115114930</v>
      </c>
    </row>
    <row r="162" spans="1:12" x14ac:dyDescent="0.25">
      <c r="A162">
        <v>162</v>
      </c>
      <c r="B162" t="s">
        <v>1517</v>
      </c>
      <c r="C162" t="s">
        <v>165</v>
      </c>
      <c r="D162" t="s">
        <v>626</v>
      </c>
      <c r="E162" t="s">
        <v>263</v>
      </c>
      <c r="F162" t="s">
        <v>262</v>
      </c>
      <c r="G162" s="22">
        <v>26715</v>
      </c>
      <c r="H162" s="21">
        <v>48.394520547945206</v>
      </c>
      <c r="I162" t="s">
        <v>1214</v>
      </c>
      <c r="J162" t="s">
        <v>3641</v>
      </c>
      <c r="K162" t="s">
        <v>3642</v>
      </c>
      <c r="L162">
        <v>3115114930</v>
      </c>
    </row>
    <row r="163" spans="1:12" x14ac:dyDescent="0.25">
      <c r="A163">
        <v>163</v>
      </c>
      <c r="B163" t="s">
        <v>2060</v>
      </c>
      <c r="C163" t="s">
        <v>425</v>
      </c>
      <c r="D163" t="s">
        <v>426</v>
      </c>
      <c r="E163" t="s">
        <v>427</v>
      </c>
      <c r="F163" t="s">
        <v>428</v>
      </c>
      <c r="G163" s="22">
        <v>36198</v>
      </c>
      <c r="H163" s="21">
        <v>22.413698630136988</v>
      </c>
      <c r="I163" t="s">
        <v>566</v>
      </c>
      <c r="J163" t="s">
        <v>2673</v>
      </c>
      <c r="K163" t="s">
        <v>2674</v>
      </c>
      <c r="L163">
        <v>3115114916</v>
      </c>
    </row>
    <row r="164" spans="1:12" x14ac:dyDescent="0.25">
      <c r="A164">
        <v>164</v>
      </c>
      <c r="B164" t="s">
        <v>1518</v>
      </c>
      <c r="C164" t="s">
        <v>30</v>
      </c>
      <c r="D164" t="s">
        <v>52</v>
      </c>
      <c r="E164" t="s">
        <v>155</v>
      </c>
      <c r="F164" t="s">
        <v>264</v>
      </c>
      <c r="G164" s="22">
        <v>35772</v>
      </c>
      <c r="H164" s="21">
        <v>23.580821917808219</v>
      </c>
      <c r="I164" t="s">
        <v>1183</v>
      </c>
      <c r="J164" t="s">
        <v>3643</v>
      </c>
      <c r="K164" t="s">
        <v>3644</v>
      </c>
      <c r="L164">
        <v>3115114916</v>
      </c>
    </row>
    <row r="165" spans="1:12" x14ac:dyDescent="0.25">
      <c r="A165">
        <v>165</v>
      </c>
      <c r="B165" t="s">
        <v>2061</v>
      </c>
      <c r="C165" t="s">
        <v>429</v>
      </c>
      <c r="D165" t="s">
        <v>493</v>
      </c>
      <c r="E165" t="s">
        <v>430</v>
      </c>
      <c r="F165" t="s">
        <v>477</v>
      </c>
      <c r="G165" s="22">
        <v>36170</v>
      </c>
      <c r="H165" s="21">
        <v>22.490410958904111</v>
      </c>
      <c r="I165" t="s">
        <v>569</v>
      </c>
      <c r="J165" t="s">
        <v>2675</v>
      </c>
      <c r="K165" t="s">
        <v>2676</v>
      </c>
      <c r="L165">
        <v>3115114911</v>
      </c>
    </row>
    <row r="166" spans="1:12" x14ac:dyDescent="0.25">
      <c r="A166">
        <v>166</v>
      </c>
      <c r="B166" t="s">
        <v>1519</v>
      </c>
      <c r="C166" t="s">
        <v>122</v>
      </c>
      <c r="D166" t="s">
        <v>159</v>
      </c>
      <c r="E166" t="s">
        <v>71</v>
      </c>
      <c r="F166" t="s">
        <v>55</v>
      </c>
      <c r="G166" s="22">
        <v>36475</v>
      </c>
      <c r="H166" s="21">
        <v>21.654794520547945</v>
      </c>
      <c r="I166" t="s">
        <v>1186</v>
      </c>
      <c r="J166" t="s">
        <v>3645</v>
      </c>
      <c r="K166" t="s">
        <v>3646</v>
      </c>
      <c r="L166">
        <v>3115114911</v>
      </c>
    </row>
    <row r="167" spans="1:12" x14ac:dyDescent="0.25">
      <c r="A167">
        <v>167</v>
      </c>
      <c r="B167" t="s">
        <v>2062</v>
      </c>
      <c r="C167" t="s">
        <v>431</v>
      </c>
      <c r="D167" t="s">
        <v>432</v>
      </c>
      <c r="E167" t="s">
        <v>433</v>
      </c>
      <c r="F167" t="s">
        <v>107</v>
      </c>
      <c r="G167" s="22">
        <v>24611</v>
      </c>
      <c r="H167" s="21">
        <v>54.158904109589038</v>
      </c>
      <c r="I167" t="s">
        <v>594</v>
      </c>
      <c r="J167" t="s">
        <v>2677</v>
      </c>
      <c r="K167" t="s">
        <v>2678</v>
      </c>
      <c r="L167">
        <v>3115114910</v>
      </c>
    </row>
    <row r="168" spans="1:12" x14ac:dyDescent="0.25">
      <c r="A168">
        <v>168</v>
      </c>
      <c r="B168" t="s">
        <v>1520</v>
      </c>
      <c r="C168" t="s">
        <v>17</v>
      </c>
      <c r="D168" t="s">
        <v>76</v>
      </c>
      <c r="E168" t="s">
        <v>68</v>
      </c>
      <c r="F168" t="s">
        <v>239</v>
      </c>
      <c r="G168" s="22">
        <v>27166</v>
      </c>
      <c r="H168" s="21">
        <v>47.158904109589038</v>
      </c>
      <c r="I168" t="s">
        <v>1174</v>
      </c>
      <c r="J168" t="s">
        <v>3647</v>
      </c>
      <c r="K168" t="s">
        <v>3648</v>
      </c>
      <c r="L168">
        <v>3115114910</v>
      </c>
    </row>
    <row r="169" spans="1:12" x14ac:dyDescent="0.25">
      <c r="A169">
        <v>169</v>
      </c>
      <c r="B169" t="s">
        <v>2063</v>
      </c>
      <c r="C169" t="s">
        <v>397</v>
      </c>
      <c r="D169" t="s">
        <v>434</v>
      </c>
      <c r="E169" t="s">
        <v>435</v>
      </c>
      <c r="F169" t="s">
        <v>47</v>
      </c>
      <c r="G169" s="22">
        <v>29806</v>
      </c>
      <c r="H169" s="21">
        <v>39.926027397260277</v>
      </c>
      <c r="I169" t="s">
        <v>565</v>
      </c>
      <c r="J169" t="s">
        <v>2679</v>
      </c>
      <c r="K169" t="s">
        <v>2680</v>
      </c>
      <c r="L169">
        <v>3115114909</v>
      </c>
    </row>
    <row r="170" spans="1:12" x14ac:dyDescent="0.25">
      <c r="A170">
        <v>170</v>
      </c>
      <c r="B170" t="s">
        <v>1521</v>
      </c>
      <c r="C170" t="s">
        <v>198</v>
      </c>
      <c r="D170" t="s">
        <v>627</v>
      </c>
      <c r="E170" t="s">
        <v>72</v>
      </c>
      <c r="F170" t="s">
        <v>225</v>
      </c>
      <c r="G170" s="22">
        <v>26573</v>
      </c>
      <c r="H170" s="21">
        <v>48.783561643835618</v>
      </c>
      <c r="I170" t="s">
        <v>1215</v>
      </c>
      <c r="J170" t="s">
        <v>3649</v>
      </c>
      <c r="K170" t="s">
        <v>3650</v>
      </c>
      <c r="L170">
        <v>3115114909</v>
      </c>
    </row>
    <row r="171" spans="1:12" x14ac:dyDescent="0.25">
      <c r="A171">
        <v>171</v>
      </c>
      <c r="B171" t="s">
        <v>2064</v>
      </c>
      <c r="C171" t="s">
        <v>399</v>
      </c>
      <c r="D171" t="s">
        <v>494</v>
      </c>
      <c r="E171" t="s">
        <v>436</v>
      </c>
      <c r="F171" t="s">
        <v>363</v>
      </c>
      <c r="G171" s="22">
        <v>30741</v>
      </c>
      <c r="H171" s="21">
        <v>37.364383561643834</v>
      </c>
      <c r="I171" t="s">
        <v>595</v>
      </c>
      <c r="J171" t="s">
        <v>2681</v>
      </c>
      <c r="K171" t="s">
        <v>2682</v>
      </c>
      <c r="L171">
        <v>3115060130</v>
      </c>
    </row>
    <row r="172" spans="1:12" x14ac:dyDescent="0.25">
      <c r="A172">
        <v>172</v>
      </c>
      <c r="B172" t="s">
        <v>1522</v>
      </c>
      <c r="C172" t="s">
        <v>146</v>
      </c>
      <c r="D172" t="s">
        <v>13</v>
      </c>
      <c r="E172" t="s">
        <v>265</v>
      </c>
      <c r="F172" t="s">
        <v>168</v>
      </c>
      <c r="G172" s="22">
        <v>29816</v>
      </c>
      <c r="H172" s="21">
        <v>39.898630136986299</v>
      </c>
      <c r="I172" t="s">
        <v>1216</v>
      </c>
      <c r="J172" t="s">
        <v>3651</v>
      </c>
      <c r="K172" t="s">
        <v>3652</v>
      </c>
      <c r="L172">
        <v>3115060130</v>
      </c>
    </row>
    <row r="173" spans="1:12" x14ac:dyDescent="0.25">
      <c r="A173">
        <v>173</v>
      </c>
      <c r="B173" t="s">
        <v>2065</v>
      </c>
      <c r="C173" t="s">
        <v>341</v>
      </c>
      <c r="D173" t="s">
        <v>339</v>
      </c>
      <c r="E173" t="s">
        <v>437</v>
      </c>
      <c r="F173" t="s">
        <v>478</v>
      </c>
      <c r="G173" s="22">
        <v>26298</v>
      </c>
      <c r="H173" s="21">
        <v>49.536986301369865</v>
      </c>
      <c r="I173" t="s">
        <v>596</v>
      </c>
      <c r="J173" t="s">
        <v>2683</v>
      </c>
      <c r="K173" t="s">
        <v>2684</v>
      </c>
      <c r="L173">
        <v>3115060125</v>
      </c>
    </row>
    <row r="174" spans="1:12" x14ac:dyDescent="0.25">
      <c r="A174">
        <v>174</v>
      </c>
      <c r="B174" t="s">
        <v>1523</v>
      </c>
      <c r="C174" t="s">
        <v>13</v>
      </c>
      <c r="D174" t="s">
        <v>218</v>
      </c>
      <c r="E174" t="s">
        <v>103</v>
      </c>
      <c r="F174" t="s">
        <v>267</v>
      </c>
      <c r="G174" s="22">
        <v>27539</v>
      </c>
      <c r="H174" s="21">
        <v>46.136986301369866</v>
      </c>
      <c r="I174" t="s">
        <v>1217</v>
      </c>
      <c r="J174" t="s">
        <v>3653</v>
      </c>
      <c r="K174" t="s">
        <v>3654</v>
      </c>
      <c r="L174">
        <v>3115060125</v>
      </c>
    </row>
    <row r="175" spans="1:12" x14ac:dyDescent="0.25">
      <c r="A175">
        <v>175</v>
      </c>
      <c r="B175" t="s">
        <v>2066</v>
      </c>
      <c r="C175" t="s">
        <v>342</v>
      </c>
      <c r="D175" t="s">
        <v>330</v>
      </c>
      <c r="E175" t="s">
        <v>127</v>
      </c>
      <c r="F175" t="s">
        <v>526</v>
      </c>
      <c r="G175" s="22">
        <v>36441</v>
      </c>
      <c r="H175" s="21">
        <v>21.747945205479454</v>
      </c>
      <c r="I175" t="s">
        <v>597</v>
      </c>
      <c r="J175" t="s">
        <v>2685</v>
      </c>
      <c r="K175" t="s">
        <v>2686</v>
      </c>
      <c r="L175">
        <v>3115060110</v>
      </c>
    </row>
    <row r="176" spans="1:12" x14ac:dyDescent="0.25">
      <c r="A176">
        <v>176</v>
      </c>
      <c r="B176" t="s">
        <v>1524</v>
      </c>
      <c r="C176" t="s">
        <v>13</v>
      </c>
      <c r="D176" t="s">
        <v>304</v>
      </c>
      <c r="E176" t="s">
        <v>89</v>
      </c>
      <c r="F176" t="s">
        <v>266</v>
      </c>
      <c r="G176" s="22">
        <v>30823</v>
      </c>
      <c r="H176" s="21">
        <v>37.139726027397259</v>
      </c>
      <c r="I176" t="s">
        <v>1197</v>
      </c>
      <c r="J176" t="s">
        <v>3655</v>
      </c>
      <c r="K176" t="s">
        <v>3656</v>
      </c>
      <c r="L176">
        <v>3115060110</v>
      </c>
    </row>
    <row r="177" spans="1:12" x14ac:dyDescent="0.25">
      <c r="A177">
        <v>177</v>
      </c>
      <c r="B177" t="s">
        <v>2067</v>
      </c>
      <c r="C177" t="s">
        <v>341</v>
      </c>
      <c r="D177" t="s">
        <v>450</v>
      </c>
      <c r="E177" t="s">
        <v>497</v>
      </c>
      <c r="F177" t="s">
        <v>527</v>
      </c>
      <c r="G177" s="22">
        <v>35926</v>
      </c>
      <c r="H177" s="21">
        <v>23.158904109589042</v>
      </c>
      <c r="I177" t="s">
        <v>533</v>
      </c>
      <c r="J177" t="s">
        <v>2687</v>
      </c>
      <c r="K177" t="s">
        <v>2688</v>
      </c>
      <c r="L177">
        <v>3115060091</v>
      </c>
    </row>
    <row r="178" spans="1:12" x14ac:dyDescent="0.25">
      <c r="A178">
        <v>178</v>
      </c>
      <c r="B178" t="s">
        <v>1525</v>
      </c>
      <c r="C178" t="s">
        <v>35</v>
      </c>
      <c r="D178" t="s">
        <v>628</v>
      </c>
      <c r="E178" t="s">
        <v>68</v>
      </c>
      <c r="F178" t="s">
        <v>79</v>
      </c>
      <c r="G178" s="22">
        <v>30824</v>
      </c>
      <c r="H178" s="21">
        <v>37.136986301369866</v>
      </c>
      <c r="I178" t="s">
        <v>575</v>
      </c>
      <c r="J178" t="s">
        <v>3657</v>
      </c>
      <c r="K178" t="s">
        <v>3658</v>
      </c>
      <c r="L178">
        <v>3115060091</v>
      </c>
    </row>
    <row r="179" spans="1:12" x14ac:dyDescent="0.25">
      <c r="A179">
        <v>179</v>
      </c>
      <c r="B179" t="s">
        <v>2068</v>
      </c>
      <c r="C179" t="s">
        <v>486</v>
      </c>
      <c r="D179" t="s">
        <v>498</v>
      </c>
      <c r="E179" t="s">
        <v>110</v>
      </c>
      <c r="F179" t="s">
        <v>499</v>
      </c>
      <c r="G179" s="22">
        <v>28641</v>
      </c>
      <c r="H179" s="21">
        <v>43.11780821917808</v>
      </c>
      <c r="I179" t="s">
        <v>598</v>
      </c>
      <c r="J179" t="s">
        <v>2689</v>
      </c>
      <c r="K179" t="s">
        <v>2690</v>
      </c>
      <c r="L179">
        <v>3115060080</v>
      </c>
    </row>
    <row r="180" spans="1:12" x14ac:dyDescent="0.25">
      <c r="A180">
        <v>180</v>
      </c>
      <c r="B180" t="s">
        <v>1526</v>
      </c>
      <c r="C180" t="s">
        <v>16</v>
      </c>
      <c r="D180" t="s">
        <v>483</v>
      </c>
      <c r="E180" t="s">
        <v>47</v>
      </c>
      <c r="F180" t="s">
        <v>275</v>
      </c>
      <c r="G180" s="22">
        <v>28200</v>
      </c>
      <c r="H180" s="21">
        <v>44.326027397260276</v>
      </c>
      <c r="I180" t="s">
        <v>1177</v>
      </c>
      <c r="J180" t="s">
        <v>3659</v>
      </c>
      <c r="K180" t="s">
        <v>3660</v>
      </c>
      <c r="L180">
        <v>3115060080</v>
      </c>
    </row>
    <row r="181" spans="1:12" x14ac:dyDescent="0.25">
      <c r="A181">
        <v>181</v>
      </c>
      <c r="B181" t="s">
        <v>2069</v>
      </c>
      <c r="C181" t="s">
        <v>341</v>
      </c>
      <c r="D181" t="s">
        <v>369</v>
      </c>
      <c r="E181" t="s">
        <v>253</v>
      </c>
      <c r="F181" t="s">
        <v>500</v>
      </c>
      <c r="G181" s="22">
        <v>26052</v>
      </c>
      <c r="H181" s="21">
        <v>50.210958904109589</v>
      </c>
      <c r="I181" t="s">
        <v>580</v>
      </c>
      <c r="J181" t="s">
        <v>2691</v>
      </c>
      <c r="K181" t="s">
        <v>2692</v>
      </c>
      <c r="L181">
        <v>3115114385</v>
      </c>
    </row>
    <row r="182" spans="1:12" x14ac:dyDescent="0.25">
      <c r="A182">
        <v>182</v>
      </c>
      <c r="B182" t="s">
        <v>1527</v>
      </c>
      <c r="C182" t="s">
        <v>50</v>
      </c>
      <c r="D182" t="s">
        <v>25</v>
      </c>
      <c r="E182" t="s">
        <v>40</v>
      </c>
      <c r="F182" t="s">
        <v>107</v>
      </c>
      <c r="G182" s="22">
        <v>28213</v>
      </c>
      <c r="H182" s="21">
        <v>44.290410958904111</v>
      </c>
      <c r="I182" t="s">
        <v>1218</v>
      </c>
      <c r="J182" t="s">
        <v>3661</v>
      </c>
      <c r="K182" t="s">
        <v>3662</v>
      </c>
      <c r="L182">
        <v>3115114385</v>
      </c>
    </row>
    <row r="183" spans="1:12" x14ac:dyDescent="0.25">
      <c r="A183">
        <v>183</v>
      </c>
      <c r="B183" t="s">
        <v>2070</v>
      </c>
      <c r="C183" t="s">
        <v>394</v>
      </c>
      <c r="D183" t="s">
        <v>333</v>
      </c>
      <c r="E183" t="s">
        <v>501</v>
      </c>
      <c r="F183" t="s">
        <v>468</v>
      </c>
      <c r="G183" s="22">
        <v>36475</v>
      </c>
      <c r="H183" s="21">
        <v>21.654794520547945</v>
      </c>
      <c r="I183" t="s">
        <v>532</v>
      </c>
      <c r="J183" t="s">
        <v>2693</v>
      </c>
      <c r="K183" t="s">
        <v>2694</v>
      </c>
      <c r="L183">
        <v>3115114360</v>
      </c>
    </row>
    <row r="184" spans="1:12" x14ac:dyDescent="0.25">
      <c r="A184">
        <v>184</v>
      </c>
      <c r="B184" t="s">
        <v>1528</v>
      </c>
      <c r="C184" t="s">
        <v>91</v>
      </c>
      <c r="D184" t="s">
        <v>629</v>
      </c>
      <c r="E184" t="s">
        <v>276</v>
      </c>
      <c r="F184" t="s">
        <v>277</v>
      </c>
      <c r="G184" s="22">
        <v>32255</v>
      </c>
      <c r="H184" s="21">
        <v>33.216438356164382</v>
      </c>
      <c r="I184" t="s">
        <v>544</v>
      </c>
      <c r="J184" t="s">
        <v>3663</v>
      </c>
      <c r="K184" t="s">
        <v>3664</v>
      </c>
      <c r="L184">
        <v>3115114360</v>
      </c>
    </row>
    <row r="185" spans="1:12" x14ac:dyDescent="0.25">
      <c r="A185">
        <v>185</v>
      </c>
      <c r="B185" t="s">
        <v>2071</v>
      </c>
      <c r="C185" t="s">
        <v>176</v>
      </c>
      <c r="D185" t="s">
        <v>73</v>
      </c>
      <c r="E185" t="s">
        <v>502</v>
      </c>
      <c r="F185" t="s">
        <v>463</v>
      </c>
      <c r="G185" s="22">
        <v>32511</v>
      </c>
      <c r="H185" s="21">
        <v>32.515068493150686</v>
      </c>
      <c r="I185" t="s">
        <v>599</v>
      </c>
      <c r="J185" t="s">
        <v>2695</v>
      </c>
      <c r="K185" t="s">
        <v>2696</v>
      </c>
      <c r="L185">
        <v>3115093653</v>
      </c>
    </row>
    <row r="186" spans="1:12" x14ac:dyDescent="0.25">
      <c r="A186">
        <v>186</v>
      </c>
      <c r="B186" t="s">
        <v>1529</v>
      </c>
      <c r="C186" t="s">
        <v>128</v>
      </c>
      <c r="D186" t="s">
        <v>304</v>
      </c>
      <c r="E186" t="s">
        <v>145</v>
      </c>
      <c r="F186" t="s">
        <v>268</v>
      </c>
      <c r="G186" s="22">
        <v>32196</v>
      </c>
      <c r="H186" s="21">
        <v>33.37808219178082</v>
      </c>
      <c r="I186" t="s">
        <v>1188</v>
      </c>
      <c r="J186" t="s">
        <v>3665</v>
      </c>
      <c r="K186" t="s">
        <v>3666</v>
      </c>
      <c r="L186">
        <v>3115093653</v>
      </c>
    </row>
    <row r="187" spans="1:12" x14ac:dyDescent="0.25">
      <c r="A187">
        <v>187</v>
      </c>
      <c r="B187" t="s">
        <v>2072</v>
      </c>
      <c r="C187" t="s">
        <v>353</v>
      </c>
      <c r="D187" t="s">
        <v>387</v>
      </c>
      <c r="E187" t="s">
        <v>528</v>
      </c>
      <c r="F187" t="s">
        <v>516</v>
      </c>
      <c r="G187" s="22">
        <v>27003</v>
      </c>
      <c r="H187" s="21">
        <v>47.605479452054794</v>
      </c>
      <c r="I187" t="s">
        <v>564</v>
      </c>
      <c r="J187" t="s">
        <v>2697</v>
      </c>
      <c r="K187" t="s">
        <v>2698</v>
      </c>
      <c r="L187">
        <v>3115093598</v>
      </c>
    </row>
    <row r="188" spans="1:12" x14ac:dyDescent="0.25">
      <c r="A188">
        <v>188</v>
      </c>
      <c r="B188" t="s">
        <v>1530</v>
      </c>
      <c r="C188" t="s">
        <v>98</v>
      </c>
      <c r="D188" t="s">
        <v>630</v>
      </c>
      <c r="E188" t="s">
        <v>73</v>
      </c>
      <c r="F188" t="s">
        <v>216</v>
      </c>
      <c r="G188" s="22">
        <v>30199</v>
      </c>
      <c r="H188" s="21">
        <v>38.849315068493148</v>
      </c>
      <c r="I188" t="s">
        <v>1202</v>
      </c>
      <c r="J188" t="s">
        <v>3667</v>
      </c>
      <c r="K188" t="s">
        <v>3668</v>
      </c>
      <c r="L188">
        <v>3115093598</v>
      </c>
    </row>
    <row r="189" spans="1:12" x14ac:dyDescent="0.25">
      <c r="A189">
        <v>189</v>
      </c>
      <c r="B189" t="s">
        <v>2073</v>
      </c>
      <c r="C189" t="s">
        <v>442</v>
      </c>
      <c r="D189" t="s">
        <v>488</v>
      </c>
      <c r="E189" t="s">
        <v>164</v>
      </c>
      <c r="F189" t="s">
        <v>164</v>
      </c>
      <c r="G189" s="22">
        <v>37358</v>
      </c>
      <c r="H189" s="21">
        <v>19.235616438356164</v>
      </c>
      <c r="I189" t="s">
        <v>574</v>
      </c>
      <c r="J189" t="s">
        <v>2699</v>
      </c>
      <c r="K189" t="s">
        <v>2700</v>
      </c>
      <c r="L189">
        <v>3115093583</v>
      </c>
    </row>
    <row r="190" spans="1:12" x14ac:dyDescent="0.25">
      <c r="A190">
        <v>190</v>
      </c>
      <c r="B190" t="s">
        <v>1531</v>
      </c>
      <c r="C190" t="s">
        <v>9</v>
      </c>
      <c r="D190" t="s">
        <v>631</v>
      </c>
      <c r="E190" t="s">
        <v>69</v>
      </c>
      <c r="F190" t="s">
        <v>250</v>
      </c>
      <c r="G190" s="22">
        <v>31268</v>
      </c>
      <c r="H190" s="21">
        <v>35.920547945205477</v>
      </c>
      <c r="I190" t="s">
        <v>1219</v>
      </c>
      <c r="J190" t="s">
        <v>3669</v>
      </c>
      <c r="K190" t="s">
        <v>3670</v>
      </c>
      <c r="L190">
        <v>3115093583</v>
      </c>
    </row>
    <row r="191" spans="1:12" x14ac:dyDescent="0.25">
      <c r="A191">
        <v>191</v>
      </c>
      <c r="B191" t="s">
        <v>2074</v>
      </c>
      <c r="C191" t="s">
        <v>503</v>
      </c>
      <c r="D191" t="s">
        <v>60</v>
      </c>
      <c r="E191" t="s">
        <v>504</v>
      </c>
      <c r="F191" t="s">
        <v>264</v>
      </c>
      <c r="G191" s="22">
        <v>36349</v>
      </c>
      <c r="H191" s="21">
        <v>22</v>
      </c>
      <c r="I191" t="s">
        <v>594</v>
      </c>
      <c r="J191" t="s">
        <v>2701</v>
      </c>
      <c r="K191" t="s">
        <v>2702</v>
      </c>
      <c r="L191">
        <v>3115092386</v>
      </c>
    </row>
    <row r="192" spans="1:12" x14ac:dyDescent="0.25">
      <c r="A192">
        <v>192</v>
      </c>
      <c r="B192" t="s">
        <v>1532</v>
      </c>
      <c r="C192" t="s">
        <v>325</v>
      </c>
      <c r="D192" t="s">
        <v>67</v>
      </c>
      <c r="E192" t="s">
        <v>79</v>
      </c>
      <c r="F192" t="s">
        <v>278</v>
      </c>
      <c r="G192" s="22">
        <v>29165</v>
      </c>
      <c r="H192" s="21">
        <v>41.682191780821917</v>
      </c>
      <c r="I192" t="s">
        <v>1173</v>
      </c>
      <c r="J192" t="s">
        <v>3671</v>
      </c>
      <c r="K192" t="s">
        <v>3672</v>
      </c>
      <c r="L192">
        <v>3115092386</v>
      </c>
    </row>
    <row r="193" spans="1:12" x14ac:dyDescent="0.25">
      <c r="A193">
        <v>193</v>
      </c>
      <c r="B193" t="s">
        <v>2075</v>
      </c>
      <c r="C193" t="s">
        <v>409</v>
      </c>
      <c r="D193" t="s">
        <v>505</v>
      </c>
      <c r="E193" t="s">
        <v>273</v>
      </c>
      <c r="F193" t="s">
        <v>237</v>
      </c>
      <c r="G193" s="22">
        <v>25312</v>
      </c>
      <c r="H193" s="21">
        <v>52.238356164383561</v>
      </c>
      <c r="I193" t="s">
        <v>573</v>
      </c>
      <c r="J193" t="s">
        <v>2703</v>
      </c>
      <c r="K193" t="s">
        <v>2704</v>
      </c>
      <c r="L193">
        <v>3115092375</v>
      </c>
    </row>
    <row r="194" spans="1:12" x14ac:dyDescent="0.25">
      <c r="A194">
        <v>194</v>
      </c>
      <c r="B194" t="s">
        <v>1533</v>
      </c>
      <c r="C194" t="s">
        <v>98</v>
      </c>
      <c r="D194" t="s">
        <v>28</v>
      </c>
      <c r="E194" t="s">
        <v>173</v>
      </c>
      <c r="F194" t="s">
        <v>269</v>
      </c>
      <c r="G194" s="22">
        <v>30321</v>
      </c>
      <c r="H194" s="21">
        <v>38.515068493150686</v>
      </c>
      <c r="I194" t="s">
        <v>580</v>
      </c>
      <c r="J194" t="s">
        <v>3673</v>
      </c>
      <c r="K194" t="s">
        <v>3674</v>
      </c>
      <c r="L194">
        <v>3115092375</v>
      </c>
    </row>
    <row r="195" spans="1:12" x14ac:dyDescent="0.25">
      <c r="A195">
        <v>195</v>
      </c>
      <c r="B195" t="s">
        <v>2076</v>
      </c>
      <c r="C195" t="s">
        <v>439</v>
      </c>
      <c r="D195" t="s">
        <v>483</v>
      </c>
      <c r="E195" t="s">
        <v>456</v>
      </c>
      <c r="F195" t="s">
        <v>293</v>
      </c>
      <c r="G195" s="22">
        <v>22665</v>
      </c>
      <c r="H195" s="21">
        <v>59.490410958904107</v>
      </c>
      <c r="I195" t="s">
        <v>583</v>
      </c>
      <c r="J195" t="s">
        <v>2705</v>
      </c>
      <c r="K195" t="s">
        <v>2706</v>
      </c>
      <c r="L195">
        <v>3115092369</v>
      </c>
    </row>
    <row r="196" spans="1:12" x14ac:dyDescent="0.25">
      <c r="A196">
        <v>196</v>
      </c>
      <c r="B196" t="s">
        <v>1534</v>
      </c>
      <c r="C196" t="s">
        <v>30</v>
      </c>
      <c r="D196" t="s">
        <v>632</v>
      </c>
      <c r="E196" t="s">
        <v>83</v>
      </c>
      <c r="F196" t="s">
        <v>270</v>
      </c>
      <c r="G196" s="22">
        <v>25079</v>
      </c>
      <c r="H196" s="21">
        <v>52.876712328767127</v>
      </c>
      <c r="I196" t="s">
        <v>606</v>
      </c>
      <c r="J196" t="s">
        <v>3675</v>
      </c>
      <c r="K196" t="s">
        <v>3676</v>
      </c>
      <c r="L196">
        <v>3115092369</v>
      </c>
    </row>
    <row r="197" spans="1:12" x14ac:dyDescent="0.25">
      <c r="A197">
        <v>197</v>
      </c>
      <c r="B197" t="s">
        <v>2077</v>
      </c>
      <c r="C197" t="s">
        <v>507</v>
      </c>
      <c r="D197" t="s">
        <v>508</v>
      </c>
      <c r="E197" t="s">
        <v>509</v>
      </c>
      <c r="F197" t="s">
        <v>506</v>
      </c>
      <c r="G197" s="22">
        <v>29620</v>
      </c>
      <c r="H197" s="21">
        <v>40.435616438356163</v>
      </c>
      <c r="I197" t="s">
        <v>575</v>
      </c>
      <c r="J197" t="s">
        <v>2707</v>
      </c>
      <c r="K197" t="s">
        <v>2708</v>
      </c>
      <c r="L197">
        <v>3115092360</v>
      </c>
    </row>
    <row r="198" spans="1:12" x14ac:dyDescent="0.25">
      <c r="A198">
        <v>198</v>
      </c>
      <c r="B198" t="s">
        <v>1535</v>
      </c>
      <c r="C198" t="s">
        <v>174</v>
      </c>
      <c r="D198" t="s">
        <v>35</v>
      </c>
      <c r="E198" t="s">
        <v>131</v>
      </c>
      <c r="F198" t="s">
        <v>94</v>
      </c>
      <c r="G198" s="22">
        <v>27642</v>
      </c>
      <c r="H198" s="21">
        <v>45.854794520547948</v>
      </c>
      <c r="I198" t="s">
        <v>1188</v>
      </c>
      <c r="J198" t="s">
        <v>3677</v>
      </c>
      <c r="K198" t="s">
        <v>3678</v>
      </c>
      <c r="L198">
        <v>3115092360</v>
      </c>
    </row>
    <row r="199" spans="1:12" x14ac:dyDescent="0.25">
      <c r="A199">
        <v>199</v>
      </c>
      <c r="B199" t="s">
        <v>2078</v>
      </c>
      <c r="C199" t="s">
        <v>511</v>
      </c>
      <c r="D199" t="s">
        <v>360</v>
      </c>
      <c r="E199" t="s">
        <v>94</v>
      </c>
      <c r="F199" t="s">
        <v>510</v>
      </c>
      <c r="G199" s="22">
        <v>30230</v>
      </c>
      <c r="H199" s="21">
        <v>38.764383561643832</v>
      </c>
      <c r="I199" t="s">
        <v>600</v>
      </c>
      <c r="J199" t="s">
        <v>2709</v>
      </c>
      <c r="K199" t="s">
        <v>2710</v>
      </c>
      <c r="L199">
        <v>3115092352</v>
      </c>
    </row>
    <row r="200" spans="1:12" x14ac:dyDescent="0.25">
      <c r="A200">
        <v>200</v>
      </c>
      <c r="B200" t="s">
        <v>1536</v>
      </c>
      <c r="C200" t="s">
        <v>165</v>
      </c>
      <c r="D200" t="s">
        <v>628</v>
      </c>
      <c r="E200" t="s">
        <v>279</v>
      </c>
      <c r="F200" t="s">
        <v>280</v>
      </c>
      <c r="G200" s="22">
        <v>27179</v>
      </c>
      <c r="H200" s="21">
        <v>47.123287671232873</v>
      </c>
      <c r="I200" t="s">
        <v>1167</v>
      </c>
      <c r="J200" t="s">
        <v>3679</v>
      </c>
      <c r="K200" t="s">
        <v>3680</v>
      </c>
      <c r="L200">
        <v>3115092352</v>
      </c>
    </row>
    <row r="201" spans="1:12" x14ac:dyDescent="0.25">
      <c r="A201">
        <v>201</v>
      </c>
      <c r="B201" t="s">
        <v>2079</v>
      </c>
      <c r="C201" t="s">
        <v>513</v>
      </c>
      <c r="D201" t="s">
        <v>439</v>
      </c>
      <c r="E201" t="s">
        <v>470</v>
      </c>
      <c r="F201" t="s">
        <v>476</v>
      </c>
      <c r="G201" s="22">
        <v>29279</v>
      </c>
      <c r="H201" s="21">
        <v>41.369863013698627</v>
      </c>
      <c r="I201" t="s">
        <v>592</v>
      </c>
      <c r="J201" t="s">
        <v>2711</v>
      </c>
      <c r="K201" t="s">
        <v>2712</v>
      </c>
      <c r="L201">
        <v>3115114930</v>
      </c>
    </row>
    <row r="202" spans="1:12" x14ac:dyDescent="0.25">
      <c r="A202">
        <v>202</v>
      </c>
      <c r="B202" t="s">
        <v>1537</v>
      </c>
      <c r="C202" t="s">
        <v>190</v>
      </c>
      <c r="D202" t="s">
        <v>15</v>
      </c>
      <c r="E202" t="s">
        <v>144</v>
      </c>
      <c r="F202" t="s">
        <v>156</v>
      </c>
      <c r="G202" s="22">
        <v>26287</v>
      </c>
      <c r="H202" s="21">
        <v>49.56712328767123</v>
      </c>
      <c r="I202" t="s">
        <v>1199</v>
      </c>
      <c r="J202" t="s">
        <v>3681</v>
      </c>
      <c r="K202" t="s">
        <v>3682</v>
      </c>
      <c r="L202">
        <v>3115114930</v>
      </c>
    </row>
    <row r="203" spans="1:12" x14ac:dyDescent="0.25">
      <c r="A203">
        <v>203</v>
      </c>
      <c r="B203" t="s">
        <v>2080</v>
      </c>
      <c r="C203" t="s">
        <v>345</v>
      </c>
      <c r="D203" t="s">
        <v>450</v>
      </c>
      <c r="E203" t="s">
        <v>471</v>
      </c>
      <c r="F203" t="s">
        <v>514</v>
      </c>
      <c r="G203" s="22">
        <v>31973</v>
      </c>
      <c r="H203" s="21">
        <v>33.989041095890414</v>
      </c>
      <c r="I203" t="s">
        <v>584</v>
      </c>
      <c r="J203" t="s">
        <v>2713</v>
      </c>
      <c r="K203" t="s">
        <v>2714</v>
      </c>
      <c r="L203">
        <v>3115114916</v>
      </c>
    </row>
    <row r="204" spans="1:12" x14ac:dyDescent="0.25">
      <c r="A204">
        <v>204</v>
      </c>
      <c r="B204" t="s">
        <v>1538</v>
      </c>
      <c r="C204" t="s">
        <v>165</v>
      </c>
      <c r="D204" t="s">
        <v>74</v>
      </c>
      <c r="E204" t="s">
        <v>251</v>
      </c>
      <c r="F204" t="s">
        <v>46</v>
      </c>
      <c r="G204" s="22">
        <v>27107</v>
      </c>
      <c r="H204" s="21">
        <v>47.320547945205476</v>
      </c>
      <c r="I204" t="s">
        <v>1220</v>
      </c>
      <c r="J204" t="s">
        <v>3683</v>
      </c>
      <c r="K204" t="s">
        <v>3684</v>
      </c>
      <c r="L204">
        <v>3115114916</v>
      </c>
    </row>
    <row r="205" spans="1:12" x14ac:dyDescent="0.25">
      <c r="A205">
        <v>205</v>
      </c>
      <c r="B205" t="s">
        <v>2081</v>
      </c>
      <c r="C205" t="s">
        <v>394</v>
      </c>
      <c r="D205" t="s">
        <v>264</v>
      </c>
      <c r="E205" t="s">
        <v>472</v>
      </c>
      <c r="F205" t="s">
        <v>512</v>
      </c>
      <c r="G205" s="22">
        <v>31366</v>
      </c>
      <c r="H205" s="21">
        <v>35.652054794520545</v>
      </c>
      <c r="I205" t="s">
        <v>572</v>
      </c>
      <c r="J205" t="s">
        <v>2715</v>
      </c>
      <c r="K205" t="s">
        <v>2716</v>
      </c>
      <c r="L205">
        <v>3115114911</v>
      </c>
    </row>
    <row r="206" spans="1:12" x14ac:dyDescent="0.25">
      <c r="A206">
        <v>206</v>
      </c>
      <c r="B206" t="s">
        <v>1539</v>
      </c>
      <c r="C206" t="s">
        <v>50</v>
      </c>
      <c r="D206" t="s">
        <v>12</v>
      </c>
      <c r="E206" t="s">
        <v>153</v>
      </c>
      <c r="F206" t="s">
        <v>241</v>
      </c>
      <c r="G206" s="22">
        <v>34975</v>
      </c>
      <c r="H206" s="21">
        <v>25.764383561643836</v>
      </c>
      <c r="I206" t="s">
        <v>1221</v>
      </c>
      <c r="J206" t="s">
        <v>3685</v>
      </c>
      <c r="K206" t="s">
        <v>3686</v>
      </c>
      <c r="L206">
        <v>3115114911</v>
      </c>
    </row>
    <row r="207" spans="1:12" x14ac:dyDescent="0.25">
      <c r="A207">
        <v>207</v>
      </c>
      <c r="B207" t="s">
        <v>2082</v>
      </c>
      <c r="C207" t="s">
        <v>387</v>
      </c>
      <c r="D207" t="s">
        <v>475</v>
      </c>
      <c r="E207" t="s">
        <v>441</v>
      </c>
      <c r="F207" t="s">
        <v>436</v>
      </c>
      <c r="G207" s="22">
        <v>21796</v>
      </c>
      <c r="H207" s="21">
        <v>61.871232876712327</v>
      </c>
      <c r="I207" t="s">
        <v>601</v>
      </c>
      <c r="J207" t="s">
        <v>2717</v>
      </c>
      <c r="K207" t="s">
        <v>2718</v>
      </c>
      <c r="L207">
        <v>3115114910</v>
      </c>
    </row>
    <row r="208" spans="1:12" x14ac:dyDescent="0.25">
      <c r="A208">
        <v>208</v>
      </c>
      <c r="B208" t="s">
        <v>1540</v>
      </c>
      <c r="C208" t="s">
        <v>13</v>
      </c>
      <c r="D208" t="s">
        <v>633</v>
      </c>
      <c r="E208" t="s">
        <v>166</v>
      </c>
      <c r="F208" t="s">
        <v>157</v>
      </c>
      <c r="G208" s="22">
        <v>23361</v>
      </c>
      <c r="H208" s="21">
        <v>57.583561643835615</v>
      </c>
      <c r="I208" t="s">
        <v>566</v>
      </c>
      <c r="J208" t="s">
        <v>3687</v>
      </c>
      <c r="K208" t="s">
        <v>3688</v>
      </c>
      <c r="L208">
        <v>3115114910</v>
      </c>
    </row>
    <row r="209" spans="1:12" x14ac:dyDescent="0.25">
      <c r="A209">
        <v>209</v>
      </c>
      <c r="B209" t="s">
        <v>2083</v>
      </c>
      <c r="C209" t="s">
        <v>511</v>
      </c>
      <c r="D209" t="s">
        <v>516</v>
      </c>
      <c r="E209" t="s">
        <v>517</v>
      </c>
      <c r="F209" t="s">
        <v>166</v>
      </c>
      <c r="G209" s="22">
        <v>27510</v>
      </c>
      <c r="H209" s="21">
        <v>46.216438356164382</v>
      </c>
      <c r="I209" t="s">
        <v>602</v>
      </c>
      <c r="J209" t="s">
        <v>2719</v>
      </c>
      <c r="K209" t="s">
        <v>2720</v>
      </c>
      <c r="L209">
        <v>3115114909</v>
      </c>
    </row>
    <row r="210" spans="1:12" x14ac:dyDescent="0.25">
      <c r="A210">
        <v>210</v>
      </c>
      <c r="B210" t="s">
        <v>1541</v>
      </c>
      <c r="C210" t="s">
        <v>50</v>
      </c>
      <c r="D210" t="s">
        <v>634</v>
      </c>
      <c r="E210" t="s">
        <v>121</v>
      </c>
      <c r="F210" t="s">
        <v>274</v>
      </c>
      <c r="G210" s="22">
        <v>28829</v>
      </c>
      <c r="H210" s="21">
        <v>42.602739726027394</v>
      </c>
      <c r="I210" t="s">
        <v>547</v>
      </c>
      <c r="J210" t="s">
        <v>3689</v>
      </c>
      <c r="K210" t="s">
        <v>3690</v>
      </c>
      <c r="L210">
        <v>3115114909</v>
      </c>
    </row>
    <row r="211" spans="1:12" x14ac:dyDescent="0.25">
      <c r="A211">
        <v>211</v>
      </c>
      <c r="B211" t="s">
        <v>2084</v>
      </c>
      <c r="C211" t="s">
        <v>518</v>
      </c>
      <c r="D211" t="s">
        <v>519</v>
      </c>
      <c r="E211" t="s">
        <v>157</v>
      </c>
      <c r="F211" t="s">
        <v>515</v>
      </c>
      <c r="G211" s="22">
        <v>28064</v>
      </c>
      <c r="H211" s="21">
        <v>44.698630136986303</v>
      </c>
      <c r="I211" t="s">
        <v>587</v>
      </c>
      <c r="J211" t="s">
        <v>2721</v>
      </c>
      <c r="K211" t="s">
        <v>2722</v>
      </c>
      <c r="L211">
        <v>3115060130</v>
      </c>
    </row>
    <row r="212" spans="1:12" x14ac:dyDescent="0.25">
      <c r="A212">
        <v>212</v>
      </c>
      <c r="B212" t="s">
        <v>1542</v>
      </c>
      <c r="C212" t="s">
        <v>13</v>
      </c>
      <c r="D212" t="s">
        <v>32</v>
      </c>
      <c r="E212" t="s">
        <v>104</v>
      </c>
      <c r="F212" t="s">
        <v>271</v>
      </c>
      <c r="G212" s="22">
        <v>26278</v>
      </c>
      <c r="H212" s="21">
        <v>49.591780821917808</v>
      </c>
      <c r="I212" t="s">
        <v>1222</v>
      </c>
      <c r="J212" t="s">
        <v>3691</v>
      </c>
      <c r="K212" t="s">
        <v>3692</v>
      </c>
      <c r="L212">
        <v>3115060130</v>
      </c>
    </row>
    <row r="213" spans="1:12" x14ac:dyDescent="0.25">
      <c r="A213">
        <v>213</v>
      </c>
      <c r="B213" t="s">
        <v>2085</v>
      </c>
      <c r="C213" t="s">
        <v>503</v>
      </c>
      <c r="D213" t="s">
        <v>520</v>
      </c>
      <c r="E213" t="s">
        <v>398</v>
      </c>
      <c r="F213" t="s">
        <v>94</v>
      </c>
      <c r="G213" s="22">
        <v>34454</v>
      </c>
      <c r="H213" s="21">
        <v>27.19178082191781</v>
      </c>
      <c r="I213" t="s">
        <v>549</v>
      </c>
      <c r="J213" t="s">
        <v>2723</v>
      </c>
      <c r="K213" t="s">
        <v>2724</v>
      </c>
      <c r="L213">
        <v>3115060125</v>
      </c>
    </row>
    <row r="214" spans="1:12" x14ac:dyDescent="0.25">
      <c r="A214">
        <v>214</v>
      </c>
      <c r="B214" t="s">
        <v>1543</v>
      </c>
      <c r="C214" t="s">
        <v>16</v>
      </c>
      <c r="D214" t="s">
        <v>159</v>
      </c>
      <c r="E214" t="s">
        <v>40</v>
      </c>
      <c r="F214" t="s">
        <v>290</v>
      </c>
      <c r="G214" s="22">
        <v>25676</v>
      </c>
      <c r="H214" s="21">
        <v>51.241095890410961</v>
      </c>
      <c r="I214" t="s">
        <v>1223</v>
      </c>
      <c r="J214" t="s">
        <v>3693</v>
      </c>
      <c r="K214" t="s">
        <v>3694</v>
      </c>
      <c r="L214">
        <v>3115060125</v>
      </c>
    </row>
    <row r="215" spans="1:12" x14ac:dyDescent="0.25">
      <c r="A215">
        <v>215</v>
      </c>
      <c r="B215" t="s">
        <v>2086</v>
      </c>
      <c r="C215" t="s">
        <v>401</v>
      </c>
      <c r="D215" t="s">
        <v>339</v>
      </c>
      <c r="E215" t="s">
        <v>57</v>
      </c>
      <c r="F215" t="s">
        <v>57</v>
      </c>
      <c r="G215" s="22">
        <v>35772</v>
      </c>
      <c r="H215" s="21">
        <v>23.580821917808219</v>
      </c>
      <c r="I215" t="s">
        <v>603</v>
      </c>
      <c r="J215" t="s">
        <v>2725</v>
      </c>
      <c r="K215" t="s">
        <v>2726</v>
      </c>
      <c r="L215">
        <v>3115060110</v>
      </c>
    </row>
    <row r="216" spans="1:12" x14ac:dyDescent="0.25">
      <c r="A216">
        <v>216</v>
      </c>
      <c r="B216" t="s">
        <v>1544</v>
      </c>
      <c r="C216" t="s">
        <v>635</v>
      </c>
      <c r="D216" t="s">
        <v>50</v>
      </c>
      <c r="E216" t="s">
        <v>291</v>
      </c>
      <c r="F216" t="s">
        <v>272</v>
      </c>
      <c r="G216" s="22">
        <v>36500</v>
      </c>
      <c r="H216" s="21">
        <v>21.586301369863012</v>
      </c>
      <c r="I216" t="s">
        <v>1176</v>
      </c>
      <c r="J216" t="s">
        <v>3695</v>
      </c>
      <c r="K216" t="s">
        <v>3696</v>
      </c>
      <c r="L216">
        <v>3115060110</v>
      </c>
    </row>
    <row r="217" spans="1:12" x14ac:dyDescent="0.25">
      <c r="A217">
        <v>217</v>
      </c>
      <c r="B217" t="s">
        <v>2087</v>
      </c>
      <c r="C217" t="s">
        <v>521</v>
      </c>
      <c r="D217" t="s">
        <v>522</v>
      </c>
      <c r="E217" t="s">
        <v>43</v>
      </c>
      <c r="F217" t="s">
        <v>170</v>
      </c>
      <c r="G217" s="22">
        <v>27968</v>
      </c>
      <c r="H217" s="21">
        <v>44.961643835616435</v>
      </c>
      <c r="I217" t="s">
        <v>585</v>
      </c>
      <c r="J217" t="s">
        <v>2727</v>
      </c>
      <c r="K217" t="s">
        <v>2728</v>
      </c>
      <c r="L217">
        <v>3115060091</v>
      </c>
    </row>
    <row r="218" spans="1:12" x14ac:dyDescent="0.25">
      <c r="A218">
        <v>218</v>
      </c>
      <c r="B218" t="s">
        <v>1545</v>
      </c>
      <c r="C218" t="s">
        <v>143</v>
      </c>
      <c r="D218" t="s">
        <v>636</v>
      </c>
      <c r="E218" t="s">
        <v>180</v>
      </c>
      <c r="F218" t="s">
        <v>273</v>
      </c>
      <c r="G218" s="22">
        <v>29364</v>
      </c>
      <c r="H218" s="21">
        <v>41.136986301369866</v>
      </c>
      <c r="I218" t="s">
        <v>1198</v>
      </c>
      <c r="J218" t="s">
        <v>3697</v>
      </c>
      <c r="K218" t="s">
        <v>3698</v>
      </c>
      <c r="L218">
        <v>3115060091</v>
      </c>
    </row>
    <row r="219" spans="1:12" x14ac:dyDescent="0.25">
      <c r="A219">
        <v>219</v>
      </c>
      <c r="B219" t="s">
        <v>2088</v>
      </c>
      <c r="C219" t="s">
        <v>523</v>
      </c>
      <c r="D219" t="s">
        <v>524</v>
      </c>
      <c r="E219" t="s">
        <v>47</v>
      </c>
      <c r="F219" t="s">
        <v>88</v>
      </c>
      <c r="G219" s="22">
        <v>28775</v>
      </c>
      <c r="H219" s="21">
        <v>42.750684931506846</v>
      </c>
      <c r="I219" t="s">
        <v>581</v>
      </c>
      <c r="J219" t="s">
        <v>2729</v>
      </c>
      <c r="K219" t="s">
        <v>2730</v>
      </c>
      <c r="L219">
        <v>3115060080</v>
      </c>
    </row>
    <row r="220" spans="1:12" x14ac:dyDescent="0.25">
      <c r="A220">
        <v>220</v>
      </c>
      <c r="B220" t="s">
        <v>1546</v>
      </c>
      <c r="C220" t="s">
        <v>29</v>
      </c>
      <c r="D220" t="s">
        <v>637</v>
      </c>
      <c r="E220" t="s">
        <v>171</v>
      </c>
      <c r="F220" t="s">
        <v>197</v>
      </c>
      <c r="G220" s="22">
        <v>25260</v>
      </c>
      <c r="H220" s="21">
        <v>52.38082191780822</v>
      </c>
      <c r="I220" t="s">
        <v>1219</v>
      </c>
      <c r="J220" t="s">
        <v>3699</v>
      </c>
      <c r="K220" t="s">
        <v>3700</v>
      </c>
      <c r="L220">
        <v>3115060080</v>
      </c>
    </row>
    <row r="221" spans="1:12" x14ac:dyDescent="0.25">
      <c r="A221">
        <v>221</v>
      </c>
      <c r="B221" t="s">
        <v>2089</v>
      </c>
      <c r="C221" t="s">
        <v>448</v>
      </c>
      <c r="D221" t="s">
        <v>89</v>
      </c>
      <c r="E221" t="s">
        <v>447</v>
      </c>
      <c r="F221" t="s">
        <v>276</v>
      </c>
      <c r="G221" s="22">
        <v>36830</v>
      </c>
      <c r="H221" s="21">
        <v>20.682191780821917</v>
      </c>
      <c r="I221" t="s">
        <v>542</v>
      </c>
      <c r="J221" t="s">
        <v>2731</v>
      </c>
      <c r="K221" t="s">
        <v>2732</v>
      </c>
      <c r="L221">
        <v>3115114385</v>
      </c>
    </row>
    <row r="222" spans="1:12" x14ac:dyDescent="0.25">
      <c r="A222">
        <v>222</v>
      </c>
      <c r="B222" t="s">
        <v>1547</v>
      </c>
      <c r="C222" t="s">
        <v>20</v>
      </c>
      <c r="D222" t="s">
        <v>62</v>
      </c>
      <c r="E222" t="s">
        <v>183</v>
      </c>
      <c r="F222" t="s">
        <v>281</v>
      </c>
      <c r="G222" s="22">
        <v>23846</v>
      </c>
      <c r="H222" s="21">
        <v>56.254794520547946</v>
      </c>
      <c r="I222" t="s">
        <v>1201</v>
      </c>
      <c r="J222" t="s">
        <v>3701</v>
      </c>
      <c r="K222" t="s">
        <v>3702</v>
      </c>
      <c r="L222">
        <v>3115114385</v>
      </c>
    </row>
    <row r="223" spans="1:12" x14ac:dyDescent="0.25">
      <c r="A223">
        <v>223</v>
      </c>
      <c r="B223" t="s">
        <v>2090</v>
      </c>
      <c r="C223" t="s">
        <v>332</v>
      </c>
      <c r="D223" t="s">
        <v>330</v>
      </c>
      <c r="E223" t="s">
        <v>272</v>
      </c>
      <c r="F223" t="s">
        <v>267</v>
      </c>
      <c r="G223" s="22">
        <v>28930</v>
      </c>
      <c r="H223" s="21">
        <v>42.326027397260276</v>
      </c>
      <c r="I223" t="s">
        <v>595</v>
      </c>
      <c r="J223" t="s">
        <v>2733</v>
      </c>
      <c r="K223" t="s">
        <v>2734</v>
      </c>
      <c r="L223">
        <v>3115114360</v>
      </c>
    </row>
    <row r="224" spans="1:12" x14ac:dyDescent="0.25">
      <c r="A224">
        <v>224</v>
      </c>
      <c r="B224" t="s">
        <v>1548</v>
      </c>
      <c r="C224" t="s">
        <v>114</v>
      </c>
      <c r="D224" t="s">
        <v>34</v>
      </c>
      <c r="E224" t="s">
        <v>292</v>
      </c>
      <c r="F224" t="s">
        <v>42</v>
      </c>
      <c r="G224" s="22">
        <v>35411</v>
      </c>
      <c r="H224" s="21">
        <v>24.56986301369863</v>
      </c>
      <c r="I224" t="s">
        <v>1224</v>
      </c>
      <c r="J224" t="s">
        <v>3703</v>
      </c>
      <c r="K224" t="s">
        <v>3704</v>
      </c>
      <c r="L224">
        <v>3115114360</v>
      </c>
    </row>
    <row r="225" spans="1:12" x14ac:dyDescent="0.25">
      <c r="A225">
        <v>225</v>
      </c>
      <c r="B225" t="s">
        <v>2091</v>
      </c>
      <c r="C225" t="s">
        <v>525</v>
      </c>
      <c r="D225" t="s">
        <v>450</v>
      </c>
      <c r="E225" t="s">
        <v>443</v>
      </c>
      <c r="F225" t="s">
        <v>272</v>
      </c>
      <c r="G225" s="22">
        <v>29828</v>
      </c>
      <c r="H225" s="21">
        <v>39.865753424657534</v>
      </c>
      <c r="I225" t="s">
        <v>604</v>
      </c>
      <c r="J225" t="s">
        <v>2735</v>
      </c>
      <c r="K225" t="s">
        <v>2736</v>
      </c>
      <c r="L225">
        <v>3115093653</v>
      </c>
    </row>
    <row r="226" spans="1:12" x14ac:dyDescent="0.25">
      <c r="A226">
        <v>226</v>
      </c>
      <c r="B226" t="s">
        <v>1549</v>
      </c>
      <c r="C226" t="s">
        <v>11</v>
      </c>
      <c r="D226" t="s">
        <v>32</v>
      </c>
      <c r="E226" t="s">
        <v>201</v>
      </c>
      <c r="F226" t="s">
        <v>282</v>
      </c>
      <c r="G226" s="22">
        <v>27787</v>
      </c>
      <c r="H226" s="21">
        <v>45.457534246575342</v>
      </c>
      <c r="I226" t="s">
        <v>1173</v>
      </c>
      <c r="J226" t="s">
        <v>3705</v>
      </c>
      <c r="K226" t="s">
        <v>3706</v>
      </c>
      <c r="L226">
        <v>3115093653</v>
      </c>
    </row>
    <row r="227" spans="1:12" x14ac:dyDescent="0.25">
      <c r="A227">
        <v>227</v>
      </c>
      <c r="B227" t="s">
        <v>2092</v>
      </c>
      <c r="C227" t="s">
        <v>640</v>
      </c>
      <c r="D227" t="s">
        <v>641</v>
      </c>
      <c r="E227" t="s">
        <v>642</v>
      </c>
      <c r="F227" t="s">
        <v>55</v>
      </c>
      <c r="G227" s="22">
        <v>29789</v>
      </c>
      <c r="H227" s="21">
        <v>39.972602739726028</v>
      </c>
      <c r="I227" t="s">
        <v>555</v>
      </c>
      <c r="J227" t="s">
        <v>2737</v>
      </c>
      <c r="K227" t="s">
        <v>2738</v>
      </c>
      <c r="L227">
        <v>3115093598</v>
      </c>
    </row>
    <row r="228" spans="1:12" x14ac:dyDescent="0.25">
      <c r="A228">
        <v>228</v>
      </c>
      <c r="B228" t="s">
        <v>1550</v>
      </c>
      <c r="C228" t="s">
        <v>82</v>
      </c>
      <c r="D228" t="s">
        <v>638</v>
      </c>
      <c r="E228" t="s">
        <v>186</v>
      </c>
      <c r="F228" t="s">
        <v>283</v>
      </c>
      <c r="G228" s="22">
        <v>31248</v>
      </c>
      <c r="H228" s="21">
        <v>35.975342465753428</v>
      </c>
      <c r="I228" t="s">
        <v>1201</v>
      </c>
      <c r="J228" t="s">
        <v>3707</v>
      </c>
      <c r="K228" t="s">
        <v>3708</v>
      </c>
      <c r="L228">
        <v>3115093598</v>
      </c>
    </row>
    <row r="229" spans="1:12" x14ac:dyDescent="0.25">
      <c r="A229">
        <v>229</v>
      </c>
      <c r="B229" t="s">
        <v>2093</v>
      </c>
      <c r="C229" t="s">
        <v>643</v>
      </c>
      <c r="D229" t="s">
        <v>644</v>
      </c>
      <c r="E229" t="s">
        <v>645</v>
      </c>
      <c r="F229" t="s">
        <v>441</v>
      </c>
      <c r="G229" s="22">
        <v>36238</v>
      </c>
      <c r="H229" s="21">
        <v>22.304109589041097</v>
      </c>
      <c r="I229" t="s">
        <v>586</v>
      </c>
      <c r="J229" t="s">
        <v>2739</v>
      </c>
      <c r="K229" t="s">
        <v>2740</v>
      </c>
      <c r="L229">
        <v>3115093583</v>
      </c>
    </row>
    <row r="230" spans="1:12" x14ac:dyDescent="0.25">
      <c r="A230">
        <v>230</v>
      </c>
      <c r="B230" t="s">
        <v>1551</v>
      </c>
      <c r="C230" t="s">
        <v>130</v>
      </c>
      <c r="D230" t="s">
        <v>15</v>
      </c>
      <c r="E230" t="s">
        <v>180</v>
      </c>
      <c r="F230" t="s">
        <v>54</v>
      </c>
      <c r="G230" s="22">
        <v>35399</v>
      </c>
      <c r="H230" s="21">
        <v>24.602739726027398</v>
      </c>
      <c r="I230" t="s">
        <v>1225</v>
      </c>
      <c r="J230" t="s">
        <v>3709</v>
      </c>
      <c r="K230" t="s">
        <v>3710</v>
      </c>
      <c r="L230">
        <v>3115093583</v>
      </c>
    </row>
    <row r="231" spans="1:12" x14ac:dyDescent="0.25">
      <c r="A231">
        <v>231</v>
      </c>
      <c r="B231" t="s">
        <v>2094</v>
      </c>
      <c r="C231" t="s">
        <v>646</v>
      </c>
      <c r="D231" t="s">
        <v>349</v>
      </c>
      <c r="E231" t="s">
        <v>107</v>
      </c>
      <c r="F231" t="s">
        <v>647</v>
      </c>
      <c r="G231" s="22">
        <v>35448</v>
      </c>
      <c r="H231" s="21">
        <v>24.468493150684932</v>
      </c>
      <c r="I231" t="s">
        <v>605</v>
      </c>
      <c r="J231" t="s">
        <v>2741</v>
      </c>
      <c r="K231" t="s">
        <v>2742</v>
      </c>
      <c r="L231">
        <v>3115092386</v>
      </c>
    </row>
    <row r="232" spans="1:12" x14ac:dyDescent="0.25">
      <c r="A232">
        <v>232</v>
      </c>
      <c r="B232" t="s">
        <v>1552</v>
      </c>
      <c r="C232" t="s">
        <v>24</v>
      </c>
      <c r="D232" t="s">
        <v>23</v>
      </c>
      <c r="E232" t="s">
        <v>158</v>
      </c>
      <c r="F232" t="s">
        <v>284</v>
      </c>
      <c r="G232" s="22">
        <v>29975</v>
      </c>
      <c r="H232" s="21">
        <v>39.463013698630135</v>
      </c>
      <c r="I232" t="s">
        <v>1226</v>
      </c>
      <c r="J232" t="s">
        <v>3711</v>
      </c>
      <c r="K232" t="s">
        <v>3712</v>
      </c>
      <c r="L232">
        <v>3115092386</v>
      </c>
    </row>
    <row r="233" spans="1:12" x14ac:dyDescent="0.25">
      <c r="A233">
        <v>233</v>
      </c>
      <c r="B233" t="s">
        <v>2095</v>
      </c>
      <c r="C233" t="s">
        <v>648</v>
      </c>
      <c r="D233" t="s">
        <v>397</v>
      </c>
      <c r="E233" t="s">
        <v>43</v>
      </c>
      <c r="F233" t="s">
        <v>68</v>
      </c>
      <c r="G233" s="22">
        <v>22218</v>
      </c>
      <c r="H233" s="21">
        <v>60.715068493150682</v>
      </c>
      <c r="I233" t="s">
        <v>577</v>
      </c>
      <c r="J233" t="s">
        <v>2743</v>
      </c>
      <c r="K233" t="s">
        <v>2744</v>
      </c>
      <c r="L233">
        <v>3115092375</v>
      </c>
    </row>
    <row r="234" spans="1:12" x14ac:dyDescent="0.25">
      <c r="A234">
        <v>234</v>
      </c>
      <c r="B234" t="s">
        <v>1553</v>
      </c>
      <c r="C234" t="s">
        <v>90</v>
      </c>
      <c r="D234" t="s">
        <v>146</v>
      </c>
      <c r="E234" t="s">
        <v>168</v>
      </c>
      <c r="F234" t="s">
        <v>267</v>
      </c>
      <c r="G234" s="22">
        <v>26802</v>
      </c>
      <c r="H234" s="21">
        <v>48.156164383561645</v>
      </c>
      <c r="I234" t="s">
        <v>1179</v>
      </c>
      <c r="J234" t="s">
        <v>3713</v>
      </c>
      <c r="K234" t="s">
        <v>3714</v>
      </c>
      <c r="L234">
        <v>3115092375</v>
      </c>
    </row>
    <row r="235" spans="1:12" x14ac:dyDescent="0.25">
      <c r="A235">
        <v>235</v>
      </c>
      <c r="B235" t="s">
        <v>2096</v>
      </c>
      <c r="C235" t="s">
        <v>439</v>
      </c>
      <c r="D235" t="s">
        <v>649</v>
      </c>
      <c r="E235" t="s">
        <v>468</v>
      </c>
      <c r="F235" t="s">
        <v>650</v>
      </c>
      <c r="G235" s="22">
        <v>25450</v>
      </c>
      <c r="H235" s="21">
        <v>51.860273972602741</v>
      </c>
      <c r="I235" t="s">
        <v>533</v>
      </c>
      <c r="J235" t="s">
        <v>2745</v>
      </c>
      <c r="K235" t="s">
        <v>2746</v>
      </c>
      <c r="L235">
        <v>3115092369</v>
      </c>
    </row>
    <row r="236" spans="1:12" x14ac:dyDescent="0.25">
      <c r="A236">
        <v>236</v>
      </c>
      <c r="B236" t="s">
        <v>1554</v>
      </c>
      <c r="C236" t="s">
        <v>143</v>
      </c>
      <c r="D236" t="s">
        <v>102</v>
      </c>
      <c r="E236" t="s">
        <v>293</v>
      </c>
      <c r="F236" t="s">
        <v>170</v>
      </c>
      <c r="G236" s="22">
        <v>24249</v>
      </c>
      <c r="H236" s="21">
        <v>55.150684931506852</v>
      </c>
      <c r="I236" t="s">
        <v>1227</v>
      </c>
      <c r="J236" t="s">
        <v>3715</v>
      </c>
      <c r="K236" t="s">
        <v>3716</v>
      </c>
      <c r="L236">
        <v>3115092369</v>
      </c>
    </row>
    <row r="237" spans="1:12" x14ac:dyDescent="0.25">
      <c r="A237">
        <v>237</v>
      </c>
      <c r="B237" t="s">
        <v>2097</v>
      </c>
      <c r="C237" t="s">
        <v>651</v>
      </c>
      <c r="D237" t="s">
        <v>450</v>
      </c>
      <c r="E237" t="s">
        <v>652</v>
      </c>
      <c r="F237" t="s">
        <v>653</v>
      </c>
      <c r="G237" s="22">
        <v>36296</v>
      </c>
      <c r="H237" s="21">
        <v>22.145205479452056</v>
      </c>
      <c r="I237" t="s">
        <v>606</v>
      </c>
      <c r="J237" t="s">
        <v>2747</v>
      </c>
      <c r="K237" t="s">
        <v>2748</v>
      </c>
      <c r="L237">
        <v>3115092360</v>
      </c>
    </row>
    <row r="238" spans="1:12" x14ac:dyDescent="0.25">
      <c r="A238">
        <v>238</v>
      </c>
      <c r="B238" t="s">
        <v>1555</v>
      </c>
      <c r="C238" t="s">
        <v>70</v>
      </c>
      <c r="D238" t="s">
        <v>620</v>
      </c>
      <c r="E238" t="s">
        <v>197</v>
      </c>
      <c r="F238" t="s">
        <v>258</v>
      </c>
      <c r="G238" s="22">
        <v>27423</v>
      </c>
      <c r="H238" s="21">
        <v>46.454794520547942</v>
      </c>
      <c r="I238" t="s">
        <v>1167</v>
      </c>
      <c r="J238" t="s">
        <v>3717</v>
      </c>
      <c r="K238" t="s">
        <v>3718</v>
      </c>
      <c r="L238">
        <v>3115092360</v>
      </c>
    </row>
    <row r="239" spans="1:12" x14ac:dyDescent="0.25">
      <c r="A239">
        <v>239</v>
      </c>
      <c r="B239" t="s">
        <v>2098</v>
      </c>
      <c r="C239" t="s">
        <v>345</v>
      </c>
      <c r="D239" t="s">
        <v>341</v>
      </c>
      <c r="E239" t="s">
        <v>670</v>
      </c>
      <c r="F239" t="s">
        <v>331</v>
      </c>
      <c r="G239" s="22">
        <v>28943</v>
      </c>
      <c r="H239" s="21">
        <v>42.290410958904111</v>
      </c>
      <c r="I239" t="s">
        <v>596</v>
      </c>
      <c r="J239" t="s">
        <v>2749</v>
      </c>
      <c r="K239" t="s">
        <v>2750</v>
      </c>
      <c r="L239">
        <v>3115092352</v>
      </c>
    </row>
    <row r="240" spans="1:12" x14ac:dyDescent="0.25">
      <c r="A240">
        <v>240</v>
      </c>
      <c r="B240" t="s">
        <v>1556</v>
      </c>
      <c r="C240" t="s">
        <v>189</v>
      </c>
      <c r="D240" t="s">
        <v>50</v>
      </c>
      <c r="E240" t="s">
        <v>56</v>
      </c>
      <c r="F240" t="s">
        <v>294</v>
      </c>
      <c r="G240" s="22">
        <v>28140</v>
      </c>
      <c r="H240" s="21">
        <v>44.490410958904107</v>
      </c>
      <c r="I240" t="s">
        <v>1228</v>
      </c>
      <c r="J240" t="s">
        <v>3719</v>
      </c>
      <c r="K240" t="s">
        <v>3720</v>
      </c>
      <c r="L240">
        <v>3115092352</v>
      </c>
    </row>
    <row r="241" spans="1:12" x14ac:dyDescent="0.25">
      <c r="A241">
        <v>241</v>
      </c>
      <c r="B241" t="s">
        <v>2099</v>
      </c>
      <c r="C241" t="s">
        <v>432</v>
      </c>
      <c r="D241" t="s">
        <v>343</v>
      </c>
      <c r="E241" t="s">
        <v>671</v>
      </c>
      <c r="F241" t="s">
        <v>55</v>
      </c>
      <c r="G241" s="22">
        <v>22665</v>
      </c>
      <c r="H241" s="21">
        <v>59.490410958904107</v>
      </c>
      <c r="I241" t="s">
        <v>576</v>
      </c>
      <c r="J241" t="s">
        <v>2751</v>
      </c>
      <c r="K241" t="s">
        <v>2752</v>
      </c>
      <c r="L241">
        <v>3115114930</v>
      </c>
    </row>
    <row r="242" spans="1:12" x14ac:dyDescent="0.25">
      <c r="A242">
        <v>242</v>
      </c>
      <c r="B242" t="s">
        <v>1557</v>
      </c>
      <c r="C242" t="s">
        <v>111</v>
      </c>
      <c r="D242" t="s">
        <v>639</v>
      </c>
      <c r="E242" t="s">
        <v>117</v>
      </c>
      <c r="F242" t="s">
        <v>285</v>
      </c>
      <c r="G242" s="22">
        <v>27773</v>
      </c>
      <c r="H242" s="21">
        <v>45.495890410958907</v>
      </c>
      <c r="I242" t="s">
        <v>1177</v>
      </c>
      <c r="J242" t="s">
        <v>3721</v>
      </c>
      <c r="K242" t="s">
        <v>3722</v>
      </c>
      <c r="L242">
        <v>3115114930</v>
      </c>
    </row>
    <row r="243" spans="1:12" x14ac:dyDescent="0.25">
      <c r="A243">
        <v>243</v>
      </c>
      <c r="B243" t="s">
        <v>2100</v>
      </c>
      <c r="C243" t="s">
        <v>483</v>
      </c>
      <c r="D243" t="s">
        <v>421</v>
      </c>
      <c r="E243" t="s">
        <v>672</v>
      </c>
      <c r="F243" t="s">
        <v>334</v>
      </c>
      <c r="G243" s="22">
        <v>36633</v>
      </c>
      <c r="H243" s="21">
        <v>21.221917808219178</v>
      </c>
      <c r="I243" t="s">
        <v>579</v>
      </c>
      <c r="J243" t="s">
        <v>2753</v>
      </c>
      <c r="K243" t="s">
        <v>2754</v>
      </c>
      <c r="L243">
        <v>3115114916</v>
      </c>
    </row>
    <row r="244" spans="1:12" x14ac:dyDescent="0.25">
      <c r="A244">
        <v>244</v>
      </c>
      <c r="B244" t="s">
        <v>1558</v>
      </c>
      <c r="C244" t="s">
        <v>20</v>
      </c>
      <c r="D244" t="s">
        <v>50</v>
      </c>
      <c r="E244" t="s">
        <v>117</v>
      </c>
      <c r="F244" t="s">
        <v>286</v>
      </c>
      <c r="G244" s="22">
        <v>26919</v>
      </c>
      <c r="H244" s="21">
        <v>47.835616438356162</v>
      </c>
      <c r="I244" t="s">
        <v>1229</v>
      </c>
      <c r="J244" t="s">
        <v>3723</v>
      </c>
      <c r="K244" t="s">
        <v>3724</v>
      </c>
      <c r="L244">
        <v>3115114916</v>
      </c>
    </row>
    <row r="245" spans="1:12" x14ac:dyDescent="0.25">
      <c r="A245">
        <v>245</v>
      </c>
      <c r="B245" t="s">
        <v>2101</v>
      </c>
      <c r="C245" t="s">
        <v>481</v>
      </c>
      <c r="D245" t="s">
        <v>345</v>
      </c>
      <c r="E245" t="s">
        <v>673</v>
      </c>
      <c r="F245" t="s">
        <v>127</v>
      </c>
      <c r="G245" s="22">
        <v>29034</v>
      </c>
      <c r="H245" s="21">
        <v>42.041095890410958</v>
      </c>
      <c r="I245" t="s">
        <v>607</v>
      </c>
      <c r="J245" t="s">
        <v>2755</v>
      </c>
      <c r="K245" t="s">
        <v>2756</v>
      </c>
      <c r="L245">
        <v>3115114911</v>
      </c>
    </row>
    <row r="246" spans="1:12" x14ac:dyDescent="0.25">
      <c r="A246">
        <v>246</v>
      </c>
      <c r="B246" t="s">
        <v>1559</v>
      </c>
      <c r="C246" t="s">
        <v>163</v>
      </c>
      <c r="D246" t="s">
        <v>167</v>
      </c>
      <c r="E246" t="s">
        <v>199</v>
      </c>
      <c r="F246" t="s">
        <v>295</v>
      </c>
      <c r="G246" s="22">
        <v>29146</v>
      </c>
      <c r="H246" s="21">
        <v>41.734246575342468</v>
      </c>
      <c r="I246" t="s">
        <v>1224</v>
      </c>
      <c r="J246" t="s">
        <v>3725</v>
      </c>
      <c r="K246" t="s">
        <v>3726</v>
      </c>
      <c r="L246">
        <v>3115114911</v>
      </c>
    </row>
    <row r="247" spans="1:12" x14ac:dyDescent="0.25">
      <c r="A247">
        <v>247</v>
      </c>
      <c r="B247" t="s">
        <v>2102</v>
      </c>
      <c r="C247" t="s">
        <v>654</v>
      </c>
      <c r="D247" t="s">
        <v>347</v>
      </c>
      <c r="E247" t="s">
        <v>674</v>
      </c>
      <c r="F247" t="s">
        <v>337</v>
      </c>
      <c r="G247" s="22">
        <v>27865</v>
      </c>
      <c r="H247" s="21">
        <v>45.243835616438353</v>
      </c>
      <c r="I247" t="s">
        <v>582</v>
      </c>
      <c r="J247" t="s">
        <v>2757</v>
      </c>
      <c r="K247" t="s">
        <v>2758</v>
      </c>
      <c r="L247">
        <v>3115114910</v>
      </c>
    </row>
    <row r="248" spans="1:12" x14ac:dyDescent="0.25">
      <c r="A248">
        <v>248</v>
      </c>
      <c r="B248" t="s">
        <v>1560</v>
      </c>
      <c r="C248" t="s">
        <v>105</v>
      </c>
      <c r="D248" t="s">
        <v>179</v>
      </c>
      <c r="E248" t="s">
        <v>216</v>
      </c>
      <c r="F248" t="s">
        <v>287</v>
      </c>
      <c r="G248" s="22">
        <v>25401</v>
      </c>
      <c r="H248" s="21">
        <v>51.994520547945207</v>
      </c>
      <c r="I248" t="s">
        <v>1230</v>
      </c>
      <c r="J248" t="s">
        <v>3727</v>
      </c>
      <c r="K248" t="s">
        <v>3728</v>
      </c>
      <c r="L248">
        <v>3115114910</v>
      </c>
    </row>
    <row r="249" spans="1:12" x14ac:dyDescent="0.25">
      <c r="A249">
        <v>249</v>
      </c>
      <c r="B249" t="s">
        <v>2103</v>
      </c>
      <c r="C249" t="s">
        <v>387</v>
      </c>
      <c r="D249" t="s">
        <v>349</v>
      </c>
      <c r="E249" t="s">
        <v>675</v>
      </c>
      <c r="F249" t="s">
        <v>340</v>
      </c>
      <c r="G249" s="22">
        <v>27635</v>
      </c>
      <c r="H249" s="21">
        <v>45.873972602739727</v>
      </c>
      <c r="I249" t="s">
        <v>608</v>
      </c>
      <c r="J249" t="s">
        <v>2759</v>
      </c>
      <c r="K249" t="s">
        <v>2760</v>
      </c>
      <c r="L249">
        <v>3115114909</v>
      </c>
    </row>
    <row r="250" spans="1:12" x14ac:dyDescent="0.25">
      <c r="A250">
        <v>250</v>
      </c>
      <c r="B250" t="s">
        <v>1561</v>
      </c>
      <c r="C250" t="s">
        <v>324</v>
      </c>
      <c r="D250" t="s">
        <v>21</v>
      </c>
      <c r="E250" t="s">
        <v>207</v>
      </c>
      <c r="F250" t="s">
        <v>55</v>
      </c>
      <c r="G250" s="22">
        <v>31142</v>
      </c>
      <c r="H250" s="21">
        <v>36.265753424657532</v>
      </c>
      <c r="I250" t="s">
        <v>1181</v>
      </c>
      <c r="J250" t="s">
        <v>3729</v>
      </c>
      <c r="K250" t="s">
        <v>3730</v>
      </c>
      <c r="L250">
        <v>3115114909</v>
      </c>
    </row>
    <row r="251" spans="1:12" x14ac:dyDescent="0.25">
      <c r="A251">
        <v>251</v>
      </c>
      <c r="B251" t="s">
        <v>2104</v>
      </c>
      <c r="C251" t="s">
        <v>492</v>
      </c>
      <c r="D251" t="s">
        <v>341</v>
      </c>
      <c r="E251" t="s">
        <v>676</v>
      </c>
      <c r="F251" t="s">
        <v>293</v>
      </c>
      <c r="G251" s="22">
        <v>31390</v>
      </c>
      <c r="H251" s="21">
        <v>35.586301369863016</v>
      </c>
      <c r="I251" t="s">
        <v>591</v>
      </c>
      <c r="J251" t="s">
        <v>2761</v>
      </c>
      <c r="K251" t="s">
        <v>2762</v>
      </c>
      <c r="L251">
        <v>3115060130</v>
      </c>
    </row>
    <row r="252" spans="1:12" x14ac:dyDescent="0.25">
      <c r="A252">
        <v>252</v>
      </c>
      <c r="B252" t="s">
        <v>1562</v>
      </c>
      <c r="C252" t="s">
        <v>327</v>
      </c>
      <c r="D252" t="s">
        <v>31</v>
      </c>
      <c r="E252" t="s">
        <v>57</v>
      </c>
      <c r="F252" t="s">
        <v>288</v>
      </c>
      <c r="G252" s="22">
        <v>26400</v>
      </c>
      <c r="H252" s="21">
        <v>49.257534246575339</v>
      </c>
      <c r="I252" t="s">
        <v>609</v>
      </c>
      <c r="J252" t="s">
        <v>3731</v>
      </c>
      <c r="K252" t="s">
        <v>3732</v>
      </c>
      <c r="L252">
        <v>3115060130</v>
      </c>
    </row>
    <row r="253" spans="1:12" x14ac:dyDescent="0.25">
      <c r="A253">
        <v>253</v>
      </c>
      <c r="B253" t="s">
        <v>2105</v>
      </c>
      <c r="C253" t="s">
        <v>655</v>
      </c>
      <c r="D253" t="s">
        <v>351</v>
      </c>
      <c r="E253" t="s">
        <v>677</v>
      </c>
      <c r="F253" t="s">
        <v>251</v>
      </c>
      <c r="G253" s="22">
        <v>23364</v>
      </c>
      <c r="H253" s="21">
        <v>57.575342465753423</v>
      </c>
      <c r="I253" t="s">
        <v>593</v>
      </c>
      <c r="J253" t="s">
        <v>2763</v>
      </c>
      <c r="K253" t="s">
        <v>2764</v>
      </c>
      <c r="L253">
        <v>3115060125</v>
      </c>
    </row>
    <row r="254" spans="1:12" x14ac:dyDescent="0.25">
      <c r="A254">
        <v>254</v>
      </c>
      <c r="B254" t="s">
        <v>1563</v>
      </c>
      <c r="C254" t="s">
        <v>34</v>
      </c>
      <c r="D254" t="s">
        <v>304</v>
      </c>
      <c r="E254" t="s">
        <v>156</v>
      </c>
      <c r="F254" t="s">
        <v>289</v>
      </c>
      <c r="G254" s="22">
        <v>24175</v>
      </c>
      <c r="H254" s="21">
        <v>55.353424657534248</v>
      </c>
      <c r="I254" t="s">
        <v>1231</v>
      </c>
      <c r="J254" t="s">
        <v>3733</v>
      </c>
      <c r="K254" t="s">
        <v>3734</v>
      </c>
      <c r="L254">
        <v>3115060125</v>
      </c>
    </row>
    <row r="255" spans="1:12" x14ac:dyDescent="0.25">
      <c r="A255">
        <v>255</v>
      </c>
      <c r="B255" t="s">
        <v>2106</v>
      </c>
      <c r="C255" t="s">
        <v>360</v>
      </c>
      <c r="D255" t="s">
        <v>353</v>
      </c>
      <c r="E255" t="s">
        <v>678</v>
      </c>
      <c r="F255" t="s">
        <v>153</v>
      </c>
      <c r="G255" s="22">
        <v>34468</v>
      </c>
      <c r="H255" s="21">
        <v>27.153424657534245</v>
      </c>
      <c r="I255" t="s">
        <v>609</v>
      </c>
      <c r="J255" t="s">
        <v>2765</v>
      </c>
      <c r="K255" t="s">
        <v>2766</v>
      </c>
      <c r="L255">
        <v>3115060110</v>
      </c>
    </row>
    <row r="256" spans="1:12" x14ac:dyDescent="0.25">
      <c r="A256">
        <v>256</v>
      </c>
      <c r="B256" t="s">
        <v>1564</v>
      </c>
      <c r="C256" t="s">
        <v>146</v>
      </c>
      <c r="D256" t="s">
        <v>18</v>
      </c>
      <c r="E256" t="s">
        <v>51</v>
      </c>
      <c r="F256" t="s">
        <v>296</v>
      </c>
      <c r="G256" s="22">
        <v>32805</v>
      </c>
      <c r="H256" s="21">
        <v>31.709589041095889</v>
      </c>
      <c r="I256" t="s">
        <v>1179</v>
      </c>
      <c r="J256" t="s">
        <v>3735</v>
      </c>
      <c r="K256" t="s">
        <v>3736</v>
      </c>
      <c r="L256">
        <v>3115060110</v>
      </c>
    </row>
    <row r="257" spans="1:12" x14ac:dyDescent="0.25">
      <c r="A257">
        <v>257</v>
      </c>
      <c r="B257" t="s">
        <v>2107</v>
      </c>
      <c r="C257" t="s">
        <v>656</v>
      </c>
      <c r="D257" t="s">
        <v>354</v>
      </c>
      <c r="E257" t="s">
        <v>679</v>
      </c>
      <c r="F257" t="s">
        <v>346</v>
      </c>
      <c r="G257" s="22">
        <v>31330</v>
      </c>
      <c r="H257" s="21">
        <v>35.750684931506846</v>
      </c>
      <c r="I257" t="s">
        <v>563</v>
      </c>
      <c r="J257" t="s">
        <v>2767</v>
      </c>
      <c r="K257" t="s">
        <v>2768</v>
      </c>
      <c r="L257">
        <v>3115060091</v>
      </c>
    </row>
    <row r="258" spans="1:12" x14ac:dyDescent="0.25">
      <c r="A258">
        <v>258</v>
      </c>
      <c r="B258" t="s">
        <v>1565</v>
      </c>
      <c r="C258" t="s">
        <v>140</v>
      </c>
      <c r="D258" t="s">
        <v>209</v>
      </c>
      <c r="E258" t="s">
        <v>2507</v>
      </c>
      <c r="F258" t="s">
        <v>71</v>
      </c>
      <c r="G258" s="22">
        <v>26163</v>
      </c>
      <c r="H258" s="21">
        <v>49.906849315068492</v>
      </c>
      <c r="I258" t="s">
        <v>544</v>
      </c>
      <c r="J258" t="s">
        <v>3737</v>
      </c>
      <c r="K258" t="s">
        <v>3738</v>
      </c>
      <c r="L258">
        <v>3115060091</v>
      </c>
    </row>
    <row r="259" spans="1:12" x14ac:dyDescent="0.25">
      <c r="A259">
        <v>259</v>
      </c>
      <c r="B259" t="s">
        <v>2108</v>
      </c>
      <c r="C259" t="s">
        <v>657</v>
      </c>
      <c r="D259" t="s">
        <v>333</v>
      </c>
      <c r="E259" t="s">
        <v>680</v>
      </c>
      <c r="F259" t="s">
        <v>348</v>
      </c>
      <c r="G259" s="22">
        <v>27681</v>
      </c>
      <c r="H259" s="21">
        <v>45.747945205479454</v>
      </c>
      <c r="I259" t="s">
        <v>589</v>
      </c>
      <c r="J259" t="s">
        <v>2769</v>
      </c>
      <c r="K259" t="s">
        <v>2770</v>
      </c>
      <c r="L259">
        <v>3115060080</v>
      </c>
    </row>
    <row r="260" spans="1:12" x14ac:dyDescent="0.25">
      <c r="A260">
        <v>260</v>
      </c>
      <c r="B260" t="s">
        <v>1566</v>
      </c>
      <c r="C260" t="s">
        <v>176</v>
      </c>
      <c r="D260" t="s">
        <v>179</v>
      </c>
      <c r="E260" t="s">
        <v>54</v>
      </c>
      <c r="F260" t="s">
        <v>226</v>
      </c>
      <c r="G260" s="22">
        <v>29526</v>
      </c>
      <c r="H260" s="21">
        <v>40.69315068493151</v>
      </c>
      <c r="I260" t="s">
        <v>1178</v>
      </c>
      <c r="J260" t="s">
        <v>3739</v>
      </c>
      <c r="K260" t="s">
        <v>3740</v>
      </c>
      <c r="L260">
        <v>3115060080</v>
      </c>
    </row>
    <row r="261" spans="1:12" x14ac:dyDescent="0.25">
      <c r="A261">
        <v>261</v>
      </c>
      <c r="B261" t="s">
        <v>2109</v>
      </c>
      <c r="C261" t="s">
        <v>369</v>
      </c>
      <c r="D261" t="s">
        <v>335</v>
      </c>
      <c r="E261" t="s">
        <v>100</v>
      </c>
      <c r="F261" t="s">
        <v>94</v>
      </c>
      <c r="G261" s="22">
        <v>25943</v>
      </c>
      <c r="H261" s="21">
        <v>50.509589041095893</v>
      </c>
      <c r="I261" t="s">
        <v>547</v>
      </c>
      <c r="J261" t="s">
        <v>2771</v>
      </c>
      <c r="K261" t="s">
        <v>2772</v>
      </c>
      <c r="L261">
        <v>3115114385</v>
      </c>
    </row>
    <row r="262" spans="1:12" x14ac:dyDescent="0.25">
      <c r="A262">
        <v>262</v>
      </c>
      <c r="B262" t="s">
        <v>1567</v>
      </c>
      <c r="C262" t="s">
        <v>37</v>
      </c>
      <c r="D262" t="s">
        <v>18</v>
      </c>
      <c r="E262" t="s">
        <v>169</v>
      </c>
      <c r="F262" t="s">
        <v>227</v>
      </c>
      <c r="G262" s="22">
        <v>27965</v>
      </c>
      <c r="H262" s="21">
        <v>44.969863013698628</v>
      </c>
      <c r="I262" t="s">
        <v>1227</v>
      </c>
      <c r="J262" t="s">
        <v>3741</v>
      </c>
      <c r="K262" t="s">
        <v>3742</v>
      </c>
      <c r="L262">
        <v>3115114385</v>
      </c>
    </row>
    <row r="263" spans="1:12" x14ac:dyDescent="0.25">
      <c r="A263">
        <v>263</v>
      </c>
      <c r="B263" t="s">
        <v>2110</v>
      </c>
      <c r="C263" t="s">
        <v>359</v>
      </c>
      <c r="D263" t="s">
        <v>339</v>
      </c>
      <c r="E263" t="s">
        <v>681</v>
      </c>
      <c r="F263" t="s">
        <v>350</v>
      </c>
      <c r="G263" s="22">
        <v>33858</v>
      </c>
      <c r="H263" s="21">
        <v>28.824657534246576</v>
      </c>
      <c r="I263" t="s">
        <v>578</v>
      </c>
      <c r="J263" t="s">
        <v>2773</v>
      </c>
      <c r="K263" t="s">
        <v>2774</v>
      </c>
      <c r="L263">
        <v>3115114360</v>
      </c>
    </row>
    <row r="264" spans="1:12" x14ac:dyDescent="0.25">
      <c r="A264">
        <v>264</v>
      </c>
      <c r="B264" t="s">
        <v>1568</v>
      </c>
      <c r="C264" t="s">
        <v>319</v>
      </c>
      <c r="D264" t="s">
        <v>27</v>
      </c>
      <c r="E264" t="s">
        <v>56</v>
      </c>
      <c r="F264" t="s">
        <v>228</v>
      </c>
      <c r="G264" s="22">
        <v>31646</v>
      </c>
      <c r="H264" s="21">
        <v>34.884931506849313</v>
      </c>
      <c r="I264" t="s">
        <v>1216</v>
      </c>
      <c r="J264" t="s">
        <v>3743</v>
      </c>
      <c r="K264" t="s">
        <v>3744</v>
      </c>
      <c r="L264">
        <v>3115114360</v>
      </c>
    </row>
    <row r="265" spans="1:12" x14ac:dyDescent="0.25">
      <c r="A265">
        <v>265</v>
      </c>
      <c r="B265" t="s">
        <v>2111</v>
      </c>
      <c r="C265" t="s">
        <v>658</v>
      </c>
      <c r="D265" t="s">
        <v>353</v>
      </c>
      <c r="E265" t="s">
        <v>682</v>
      </c>
      <c r="F265" t="s">
        <v>153</v>
      </c>
      <c r="G265" s="22">
        <v>26435</v>
      </c>
      <c r="H265" s="21">
        <v>49.161643835616438</v>
      </c>
      <c r="I265" t="s">
        <v>610</v>
      </c>
      <c r="J265" t="s">
        <v>2775</v>
      </c>
      <c r="K265" t="s">
        <v>2776</v>
      </c>
      <c r="L265">
        <v>3115093653</v>
      </c>
    </row>
    <row r="266" spans="1:12" x14ac:dyDescent="0.25">
      <c r="A266">
        <v>266</v>
      </c>
      <c r="B266" t="s">
        <v>1569</v>
      </c>
      <c r="C266" t="s">
        <v>64</v>
      </c>
      <c r="D266" t="s">
        <v>318</v>
      </c>
      <c r="E266" t="s">
        <v>297</v>
      </c>
      <c r="F266" t="s">
        <v>229</v>
      </c>
      <c r="G266" s="22">
        <v>28836</v>
      </c>
      <c r="H266" s="21">
        <v>42.583561643835615</v>
      </c>
      <c r="I266" t="s">
        <v>559</v>
      </c>
      <c r="J266" t="s">
        <v>3745</v>
      </c>
      <c r="K266" t="s">
        <v>3746</v>
      </c>
      <c r="L266">
        <v>3115093653</v>
      </c>
    </row>
    <row r="267" spans="1:12" x14ac:dyDescent="0.25">
      <c r="A267">
        <v>267</v>
      </c>
      <c r="B267" t="s">
        <v>2112</v>
      </c>
      <c r="C267" t="s">
        <v>394</v>
      </c>
      <c r="D267" t="s">
        <v>377</v>
      </c>
      <c r="E267" t="s">
        <v>683</v>
      </c>
      <c r="F267" t="s">
        <v>298</v>
      </c>
      <c r="G267" s="22">
        <v>31689</v>
      </c>
      <c r="H267" s="21">
        <v>34.767123287671232</v>
      </c>
      <c r="I267" t="s">
        <v>611</v>
      </c>
      <c r="J267" t="s">
        <v>2777</v>
      </c>
      <c r="K267" t="s">
        <v>2778</v>
      </c>
      <c r="L267">
        <v>3115093598</v>
      </c>
    </row>
    <row r="268" spans="1:12" x14ac:dyDescent="0.25">
      <c r="A268">
        <v>268</v>
      </c>
      <c r="B268" t="s">
        <v>1570</v>
      </c>
      <c r="C268" t="s">
        <v>116</v>
      </c>
      <c r="D268" t="s">
        <v>320</v>
      </c>
      <c r="E268" t="s">
        <v>72</v>
      </c>
      <c r="F268" t="s">
        <v>230</v>
      </c>
      <c r="G268" s="22">
        <v>29382</v>
      </c>
      <c r="H268" s="21">
        <v>41.087671232876716</v>
      </c>
      <c r="I268" t="s">
        <v>1232</v>
      </c>
      <c r="J268" t="s">
        <v>3747</v>
      </c>
      <c r="K268" t="s">
        <v>3748</v>
      </c>
      <c r="L268">
        <v>3115093598</v>
      </c>
    </row>
    <row r="269" spans="1:12" x14ac:dyDescent="0.25">
      <c r="A269">
        <v>269</v>
      </c>
      <c r="B269" t="s">
        <v>2113</v>
      </c>
      <c r="C269" t="s">
        <v>659</v>
      </c>
      <c r="D269" t="s">
        <v>669</v>
      </c>
      <c r="E269" t="s">
        <v>684</v>
      </c>
      <c r="F269" t="s">
        <v>355</v>
      </c>
      <c r="G269" s="22">
        <v>29530</v>
      </c>
      <c r="H269" s="21">
        <v>40.682191780821917</v>
      </c>
      <c r="I269" t="s">
        <v>597</v>
      </c>
      <c r="J269" t="s">
        <v>2779</v>
      </c>
      <c r="K269" t="s">
        <v>2780</v>
      </c>
      <c r="L269">
        <v>3115093583</v>
      </c>
    </row>
    <row r="270" spans="1:12" x14ac:dyDescent="0.25">
      <c r="A270">
        <v>270</v>
      </c>
      <c r="B270" t="s">
        <v>1571</v>
      </c>
      <c r="C270" t="s">
        <v>324</v>
      </c>
      <c r="D270" t="s">
        <v>306</v>
      </c>
      <c r="E270" t="s">
        <v>49</v>
      </c>
      <c r="F270" t="s">
        <v>231</v>
      </c>
      <c r="G270" s="22">
        <v>31255</v>
      </c>
      <c r="H270" s="21">
        <v>35.956164383561642</v>
      </c>
      <c r="I270" t="s">
        <v>535</v>
      </c>
      <c r="J270" t="s">
        <v>3749</v>
      </c>
      <c r="K270" t="s">
        <v>3750</v>
      </c>
      <c r="L270">
        <v>3115093583</v>
      </c>
    </row>
    <row r="271" spans="1:12" x14ac:dyDescent="0.25">
      <c r="A271">
        <v>271</v>
      </c>
      <c r="B271" t="s">
        <v>2114</v>
      </c>
      <c r="C271" t="s">
        <v>660</v>
      </c>
      <c r="D271" t="s">
        <v>664</v>
      </c>
      <c r="E271" t="s">
        <v>685</v>
      </c>
      <c r="F271" t="s">
        <v>368</v>
      </c>
      <c r="G271" s="22">
        <v>35977</v>
      </c>
      <c r="H271" s="21">
        <v>23.019178082191782</v>
      </c>
      <c r="I271" t="s">
        <v>612</v>
      </c>
      <c r="J271" t="s">
        <v>2781</v>
      </c>
      <c r="K271" t="s">
        <v>2782</v>
      </c>
      <c r="L271">
        <v>3115092386</v>
      </c>
    </row>
    <row r="272" spans="1:12" x14ac:dyDescent="0.25">
      <c r="A272">
        <v>272</v>
      </c>
      <c r="B272" t="s">
        <v>1572</v>
      </c>
      <c r="C272" t="s">
        <v>325</v>
      </c>
      <c r="D272" t="s">
        <v>28</v>
      </c>
      <c r="E272" t="s">
        <v>191</v>
      </c>
      <c r="F272" t="s">
        <v>43</v>
      </c>
      <c r="G272" s="22">
        <v>28092</v>
      </c>
      <c r="H272" s="21">
        <v>44.62191780821918</v>
      </c>
      <c r="I272" t="s">
        <v>1180</v>
      </c>
      <c r="J272" t="s">
        <v>3751</v>
      </c>
      <c r="K272" t="s">
        <v>3752</v>
      </c>
      <c r="L272">
        <v>3115092386</v>
      </c>
    </row>
    <row r="273" spans="1:12" x14ac:dyDescent="0.25">
      <c r="A273">
        <v>273</v>
      </c>
      <c r="B273" t="s">
        <v>2115</v>
      </c>
      <c r="C273" t="s">
        <v>401</v>
      </c>
      <c r="D273" t="s">
        <v>371</v>
      </c>
      <c r="E273" t="s">
        <v>686</v>
      </c>
      <c r="F273" t="s">
        <v>346</v>
      </c>
      <c r="G273" s="22">
        <v>27468</v>
      </c>
      <c r="H273" s="21">
        <v>46.331506849315069</v>
      </c>
      <c r="I273" t="s">
        <v>588</v>
      </c>
      <c r="J273" t="s">
        <v>2783</v>
      </c>
      <c r="K273" t="s">
        <v>2784</v>
      </c>
      <c r="L273">
        <v>3115092375</v>
      </c>
    </row>
    <row r="274" spans="1:12" x14ac:dyDescent="0.25">
      <c r="A274">
        <v>274</v>
      </c>
      <c r="B274" t="s">
        <v>1573</v>
      </c>
      <c r="C274" t="s">
        <v>326</v>
      </c>
      <c r="D274" t="s">
        <v>36</v>
      </c>
      <c r="E274" t="s">
        <v>61</v>
      </c>
      <c r="F274" t="s">
        <v>232</v>
      </c>
      <c r="G274" s="22">
        <v>30666</v>
      </c>
      <c r="H274" s="21">
        <v>37.56986301369863</v>
      </c>
      <c r="I274" t="s">
        <v>1233</v>
      </c>
      <c r="J274" t="s">
        <v>3753</v>
      </c>
      <c r="K274" t="s">
        <v>3754</v>
      </c>
      <c r="L274">
        <v>3115092375</v>
      </c>
    </row>
    <row r="275" spans="1:12" x14ac:dyDescent="0.25">
      <c r="A275">
        <v>275</v>
      </c>
      <c r="B275" t="s">
        <v>2116</v>
      </c>
      <c r="C275" t="s">
        <v>661</v>
      </c>
      <c r="D275" t="s">
        <v>488</v>
      </c>
      <c r="E275" t="s">
        <v>687</v>
      </c>
      <c r="F275" t="s">
        <v>443</v>
      </c>
      <c r="G275" s="22">
        <v>24611</v>
      </c>
      <c r="H275" s="21">
        <v>54.158904109589038</v>
      </c>
      <c r="I275" t="s">
        <v>571</v>
      </c>
      <c r="J275" t="s">
        <v>2785</v>
      </c>
      <c r="K275" t="s">
        <v>2786</v>
      </c>
      <c r="L275">
        <v>3115092369</v>
      </c>
    </row>
    <row r="276" spans="1:12" x14ac:dyDescent="0.25">
      <c r="A276">
        <v>276</v>
      </c>
      <c r="B276" t="s">
        <v>1574</v>
      </c>
      <c r="C276" t="s">
        <v>50</v>
      </c>
      <c r="D276" t="s">
        <v>321</v>
      </c>
      <c r="E276" t="s">
        <v>94</v>
      </c>
      <c r="F276" t="s">
        <v>233</v>
      </c>
      <c r="G276" s="22">
        <v>30757</v>
      </c>
      <c r="H276" s="21">
        <v>37.320547945205476</v>
      </c>
      <c r="I276" t="s">
        <v>1232</v>
      </c>
      <c r="J276" t="s">
        <v>3755</v>
      </c>
      <c r="K276" t="s">
        <v>3756</v>
      </c>
      <c r="L276">
        <v>3115092369</v>
      </c>
    </row>
    <row r="277" spans="1:12" x14ac:dyDescent="0.25">
      <c r="A277">
        <v>277</v>
      </c>
      <c r="B277" t="s">
        <v>2117</v>
      </c>
      <c r="C277" t="s">
        <v>413</v>
      </c>
      <c r="D277" t="s">
        <v>665</v>
      </c>
      <c r="E277" t="s">
        <v>688</v>
      </c>
      <c r="F277" t="s">
        <v>357</v>
      </c>
      <c r="G277" s="22">
        <v>27371</v>
      </c>
      <c r="H277" s="21">
        <v>46.597260273972601</v>
      </c>
      <c r="I277" t="s">
        <v>613</v>
      </c>
      <c r="J277" t="s">
        <v>2787</v>
      </c>
      <c r="K277" t="s">
        <v>2788</v>
      </c>
      <c r="L277">
        <v>3115092360</v>
      </c>
    </row>
    <row r="278" spans="1:12" x14ac:dyDescent="0.25">
      <c r="A278">
        <v>278</v>
      </c>
      <c r="B278" t="s">
        <v>1575</v>
      </c>
      <c r="C278" t="s">
        <v>322</v>
      </c>
      <c r="D278" t="s">
        <v>323</v>
      </c>
      <c r="E278" t="s">
        <v>147</v>
      </c>
      <c r="F278" t="s">
        <v>234</v>
      </c>
      <c r="G278" s="22">
        <v>31449</v>
      </c>
      <c r="H278" s="21">
        <v>35.424657534246577</v>
      </c>
      <c r="I278" t="s">
        <v>1234</v>
      </c>
      <c r="J278" t="s">
        <v>3757</v>
      </c>
      <c r="K278" t="s">
        <v>3758</v>
      </c>
      <c r="L278">
        <v>3115092360</v>
      </c>
    </row>
    <row r="279" spans="1:12" x14ac:dyDescent="0.25">
      <c r="A279">
        <v>279</v>
      </c>
      <c r="B279" t="s">
        <v>2118</v>
      </c>
      <c r="C279" t="s">
        <v>507</v>
      </c>
      <c r="D279" t="s">
        <v>92</v>
      </c>
      <c r="E279" t="s">
        <v>689</v>
      </c>
      <c r="F279" t="s">
        <v>358</v>
      </c>
      <c r="G279" s="22">
        <v>26298</v>
      </c>
      <c r="H279" s="21">
        <v>49.536986301369865</v>
      </c>
      <c r="I279" t="s">
        <v>538</v>
      </c>
      <c r="J279" t="s">
        <v>2789</v>
      </c>
      <c r="K279" t="s">
        <v>2790</v>
      </c>
      <c r="L279">
        <v>3115092352</v>
      </c>
    </row>
    <row r="280" spans="1:12" x14ac:dyDescent="0.25">
      <c r="A280">
        <v>280</v>
      </c>
      <c r="B280" t="s">
        <v>1576</v>
      </c>
      <c r="C280" t="s">
        <v>195</v>
      </c>
      <c r="D280" t="s">
        <v>185</v>
      </c>
      <c r="E280" t="s">
        <v>86</v>
      </c>
      <c r="F280" t="s">
        <v>55</v>
      </c>
      <c r="G280" s="22">
        <v>30696</v>
      </c>
      <c r="H280" s="21">
        <v>37.487671232876714</v>
      </c>
      <c r="I280" t="s">
        <v>1235</v>
      </c>
      <c r="J280" t="s">
        <v>3759</v>
      </c>
      <c r="K280" t="s">
        <v>3760</v>
      </c>
      <c r="L280">
        <v>3115092352</v>
      </c>
    </row>
    <row r="281" spans="1:12" x14ac:dyDescent="0.25">
      <c r="A281">
        <v>281</v>
      </c>
      <c r="B281" t="s">
        <v>2119</v>
      </c>
      <c r="C281" t="s">
        <v>662</v>
      </c>
      <c r="D281" t="s">
        <v>666</v>
      </c>
      <c r="E281" t="s">
        <v>690</v>
      </c>
      <c r="F281" t="s">
        <v>183</v>
      </c>
      <c r="G281" s="22">
        <v>27635</v>
      </c>
      <c r="H281" s="21">
        <v>45.873972602739727</v>
      </c>
      <c r="I281" t="s">
        <v>540</v>
      </c>
      <c r="J281" t="s">
        <v>2791</v>
      </c>
      <c r="K281" t="s">
        <v>2792</v>
      </c>
      <c r="L281">
        <v>3115114930</v>
      </c>
    </row>
    <row r="282" spans="1:12" x14ac:dyDescent="0.25">
      <c r="A282">
        <v>282</v>
      </c>
      <c r="B282" t="s">
        <v>1577</v>
      </c>
      <c r="C282" t="s">
        <v>328</v>
      </c>
      <c r="D282" t="s">
        <v>23</v>
      </c>
      <c r="E282" t="s">
        <v>84</v>
      </c>
      <c r="F282" t="s">
        <v>298</v>
      </c>
      <c r="G282" s="22">
        <v>25007</v>
      </c>
      <c r="H282" s="21">
        <v>53.073972602739723</v>
      </c>
      <c r="I282" t="s">
        <v>1236</v>
      </c>
      <c r="J282" t="s">
        <v>3761</v>
      </c>
      <c r="K282" t="s">
        <v>3762</v>
      </c>
      <c r="L282">
        <v>3115114930</v>
      </c>
    </row>
    <row r="283" spans="1:12" x14ac:dyDescent="0.25">
      <c r="A283">
        <v>283</v>
      </c>
      <c r="B283" t="s">
        <v>2120</v>
      </c>
      <c r="C283" t="s">
        <v>351</v>
      </c>
      <c r="D283" t="s">
        <v>667</v>
      </c>
      <c r="E283" t="s">
        <v>691</v>
      </c>
      <c r="F283" t="s">
        <v>361</v>
      </c>
      <c r="G283" s="22">
        <v>29749</v>
      </c>
      <c r="H283" s="21">
        <v>40.082191780821915</v>
      </c>
      <c r="I283" t="s">
        <v>530</v>
      </c>
      <c r="J283" t="s">
        <v>2793</v>
      </c>
      <c r="K283" t="s">
        <v>2794</v>
      </c>
      <c r="L283">
        <v>3115114916</v>
      </c>
    </row>
    <row r="284" spans="1:12" x14ac:dyDescent="0.25">
      <c r="A284">
        <v>284</v>
      </c>
      <c r="B284" t="s">
        <v>1578</v>
      </c>
      <c r="C284" t="s">
        <v>901</v>
      </c>
      <c r="D284" t="s">
        <v>893</v>
      </c>
      <c r="E284" t="s">
        <v>713</v>
      </c>
      <c r="F284" t="s">
        <v>796</v>
      </c>
      <c r="G284" s="22">
        <v>24680</v>
      </c>
      <c r="H284" s="21">
        <v>53.969863013698628</v>
      </c>
      <c r="I284" t="s">
        <v>1191</v>
      </c>
      <c r="J284" t="s">
        <v>3763</v>
      </c>
      <c r="K284" t="s">
        <v>3764</v>
      </c>
      <c r="L284">
        <v>3115114916</v>
      </c>
    </row>
    <row r="285" spans="1:12" x14ac:dyDescent="0.25">
      <c r="A285">
        <v>285</v>
      </c>
      <c r="B285" t="s">
        <v>2121</v>
      </c>
      <c r="C285" t="s">
        <v>663</v>
      </c>
      <c r="D285" t="s">
        <v>668</v>
      </c>
      <c r="E285" t="s">
        <v>692</v>
      </c>
      <c r="F285" t="s">
        <v>363</v>
      </c>
      <c r="G285" s="22">
        <v>27983</v>
      </c>
      <c r="H285" s="21">
        <v>44.920547945205477</v>
      </c>
      <c r="I285" t="s">
        <v>614</v>
      </c>
      <c r="J285" t="s">
        <v>2795</v>
      </c>
      <c r="K285" t="s">
        <v>2796</v>
      </c>
      <c r="L285">
        <v>3115114911</v>
      </c>
    </row>
    <row r="286" spans="1:12" x14ac:dyDescent="0.25">
      <c r="A286">
        <v>286</v>
      </c>
      <c r="B286" t="s">
        <v>1579</v>
      </c>
      <c r="C286" t="s">
        <v>902</v>
      </c>
      <c r="D286" t="s">
        <v>629</v>
      </c>
      <c r="E286" t="s">
        <v>714</v>
      </c>
      <c r="F286" t="s">
        <v>835</v>
      </c>
      <c r="G286" s="22">
        <v>26805</v>
      </c>
      <c r="H286" s="21">
        <v>48.147945205479452</v>
      </c>
      <c r="I286" t="s">
        <v>1180</v>
      </c>
      <c r="J286" t="s">
        <v>3765</v>
      </c>
      <c r="K286" t="s">
        <v>3766</v>
      </c>
      <c r="L286">
        <v>3115114911</v>
      </c>
    </row>
    <row r="287" spans="1:12" x14ac:dyDescent="0.25">
      <c r="A287">
        <v>287</v>
      </c>
      <c r="B287" t="s">
        <v>2122</v>
      </c>
      <c r="C287" t="s">
        <v>498</v>
      </c>
      <c r="D287" t="s">
        <v>371</v>
      </c>
      <c r="E287" t="s">
        <v>693</v>
      </c>
      <c r="F287" t="s">
        <v>366</v>
      </c>
      <c r="G287" s="22">
        <v>27098</v>
      </c>
      <c r="H287" s="21">
        <v>47.345205479452055</v>
      </c>
      <c r="I287" t="s">
        <v>615</v>
      </c>
      <c r="J287" t="s">
        <v>2797</v>
      </c>
      <c r="K287" t="s">
        <v>2798</v>
      </c>
      <c r="L287">
        <v>3115114910</v>
      </c>
    </row>
    <row r="288" spans="1:12" x14ac:dyDescent="0.25">
      <c r="A288">
        <v>288</v>
      </c>
      <c r="B288" t="s">
        <v>1580</v>
      </c>
      <c r="C288" t="s">
        <v>903</v>
      </c>
      <c r="D288" t="s">
        <v>8</v>
      </c>
      <c r="E288" t="s">
        <v>715</v>
      </c>
      <c r="F288" t="s">
        <v>801</v>
      </c>
      <c r="G288" s="22">
        <v>31824</v>
      </c>
      <c r="H288" s="21">
        <v>34.397260273972606</v>
      </c>
      <c r="I288" t="s">
        <v>1236</v>
      </c>
      <c r="J288" t="s">
        <v>3767</v>
      </c>
      <c r="K288" t="s">
        <v>3768</v>
      </c>
      <c r="L288">
        <v>3115114910</v>
      </c>
    </row>
    <row r="289" spans="1:12" x14ac:dyDescent="0.25">
      <c r="A289">
        <v>289</v>
      </c>
      <c r="B289" t="s">
        <v>2123</v>
      </c>
      <c r="C289" t="s">
        <v>486</v>
      </c>
      <c r="D289" t="s">
        <v>424</v>
      </c>
      <c r="E289" t="s">
        <v>694</v>
      </c>
      <c r="F289" t="s">
        <v>117</v>
      </c>
      <c r="G289" s="22">
        <v>30665</v>
      </c>
      <c r="H289" s="21">
        <v>37.57260273972603</v>
      </c>
      <c r="I289" t="s">
        <v>1351</v>
      </c>
      <c r="J289" t="s">
        <v>2799</v>
      </c>
      <c r="K289" t="s">
        <v>2800</v>
      </c>
      <c r="L289">
        <v>3115114909</v>
      </c>
    </row>
    <row r="290" spans="1:12" x14ac:dyDescent="0.25">
      <c r="A290">
        <v>290</v>
      </c>
      <c r="B290" t="s">
        <v>1581</v>
      </c>
      <c r="C290" t="s">
        <v>898</v>
      </c>
      <c r="D290" t="s">
        <v>397</v>
      </c>
      <c r="E290" t="s">
        <v>716</v>
      </c>
      <c r="F290" t="s">
        <v>761</v>
      </c>
      <c r="G290" s="22">
        <v>33179</v>
      </c>
      <c r="H290" s="21">
        <v>30.684931506849313</v>
      </c>
      <c r="I290" t="s">
        <v>580</v>
      </c>
      <c r="J290" t="s">
        <v>3769</v>
      </c>
      <c r="K290" t="s">
        <v>3770</v>
      </c>
      <c r="L290">
        <v>3115114909</v>
      </c>
    </row>
    <row r="291" spans="1:12" x14ac:dyDescent="0.25">
      <c r="A291">
        <v>291</v>
      </c>
      <c r="B291" t="s">
        <v>2124</v>
      </c>
      <c r="C291" t="s">
        <v>431</v>
      </c>
      <c r="D291" t="s">
        <v>498</v>
      </c>
      <c r="E291" t="s">
        <v>695</v>
      </c>
      <c r="F291" t="s">
        <v>369</v>
      </c>
      <c r="G291" s="22">
        <v>35968</v>
      </c>
      <c r="H291" s="21">
        <v>23.043835616438358</v>
      </c>
      <c r="I291" t="s">
        <v>534</v>
      </c>
      <c r="J291" t="s">
        <v>2801</v>
      </c>
      <c r="K291" t="s">
        <v>2802</v>
      </c>
      <c r="L291">
        <v>3115060130</v>
      </c>
    </row>
    <row r="292" spans="1:12" x14ac:dyDescent="0.25">
      <c r="A292">
        <v>292</v>
      </c>
      <c r="B292" t="s">
        <v>1582</v>
      </c>
      <c r="C292" t="s">
        <v>904</v>
      </c>
      <c r="D292" t="s">
        <v>894</v>
      </c>
      <c r="E292" t="s">
        <v>704</v>
      </c>
      <c r="F292" t="s">
        <v>780</v>
      </c>
      <c r="G292" s="22">
        <v>37238</v>
      </c>
      <c r="H292" s="21">
        <v>19.564383561643837</v>
      </c>
      <c r="I292" t="s">
        <v>1201</v>
      </c>
      <c r="J292" t="s">
        <v>3771</v>
      </c>
      <c r="K292" t="s">
        <v>3772</v>
      </c>
      <c r="L292">
        <v>3115060130</v>
      </c>
    </row>
    <row r="293" spans="1:12" x14ac:dyDescent="0.25">
      <c r="A293">
        <v>293</v>
      </c>
      <c r="B293" t="s">
        <v>2125</v>
      </c>
      <c r="C293" t="s">
        <v>330</v>
      </c>
      <c r="D293" t="s">
        <v>349</v>
      </c>
      <c r="E293" t="s">
        <v>696</v>
      </c>
      <c r="F293" t="s">
        <v>370</v>
      </c>
      <c r="G293" s="22">
        <v>36742</v>
      </c>
      <c r="H293" s="21">
        <v>20.923287671232877</v>
      </c>
      <c r="I293" t="s">
        <v>592</v>
      </c>
      <c r="J293" t="s">
        <v>2803</v>
      </c>
      <c r="K293" t="s">
        <v>2804</v>
      </c>
      <c r="L293">
        <v>3115060125</v>
      </c>
    </row>
    <row r="294" spans="1:12" x14ac:dyDescent="0.25">
      <c r="A294">
        <v>294</v>
      </c>
      <c r="B294" t="s">
        <v>1583</v>
      </c>
      <c r="C294" t="s">
        <v>898</v>
      </c>
      <c r="D294" t="s">
        <v>18</v>
      </c>
      <c r="E294" t="s">
        <v>717</v>
      </c>
      <c r="F294" t="s">
        <v>824</v>
      </c>
      <c r="G294" s="22">
        <v>30194</v>
      </c>
      <c r="H294" s="21">
        <v>38.863013698630134</v>
      </c>
      <c r="I294" t="s">
        <v>1186</v>
      </c>
      <c r="J294" t="s">
        <v>3773</v>
      </c>
      <c r="K294" t="s">
        <v>3774</v>
      </c>
      <c r="L294">
        <v>3115060125</v>
      </c>
    </row>
    <row r="295" spans="1:12" x14ac:dyDescent="0.25">
      <c r="A295">
        <v>295</v>
      </c>
      <c r="B295" t="s">
        <v>2126</v>
      </c>
      <c r="C295" t="s">
        <v>387</v>
      </c>
      <c r="D295" t="s">
        <v>353</v>
      </c>
      <c r="E295" t="s">
        <v>697</v>
      </c>
      <c r="F295" t="s">
        <v>464</v>
      </c>
      <c r="G295" s="22">
        <v>33876</v>
      </c>
      <c r="H295" s="21">
        <v>28.775342465753425</v>
      </c>
      <c r="I295" t="s">
        <v>536</v>
      </c>
      <c r="J295" t="s">
        <v>2805</v>
      </c>
      <c r="K295" t="s">
        <v>2806</v>
      </c>
      <c r="L295">
        <v>3115060110</v>
      </c>
    </row>
    <row r="296" spans="1:12" x14ac:dyDescent="0.25">
      <c r="A296">
        <v>296</v>
      </c>
      <c r="B296" t="s">
        <v>1584</v>
      </c>
      <c r="C296" t="s">
        <v>905</v>
      </c>
      <c r="D296" t="s">
        <v>16</v>
      </c>
      <c r="E296" t="s">
        <v>681</v>
      </c>
      <c r="F296" t="s">
        <v>738</v>
      </c>
      <c r="G296" s="22">
        <v>25462</v>
      </c>
      <c r="H296" s="21">
        <v>51.827397260273976</v>
      </c>
      <c r="I296" t="s">
        <v>1227</v>
      </c>
      <c r="J296" t="s">
        <v>3775</v>
      </c>
      <c r="K296" t="s">
        <v>3776</v>
      </c>
      <c r="L296">
        <v>3115060110</v>
      </c>
    </row>
    <row r="297" spans="1:12" x14ac:dyDescent="0.25">
      <c r="A297">
        <v>297</v>
      </c>
      <c r="B297" t="s">
        <v>2127</v>
      </c>
      <c r="C297" t="s">
        <v>873</v>
      </c>
      <c r="D297" t="s">
        <v>439</v>
      </c>
      <c r="E297" t="s">
        <v>698</v>
      </c>
      <c r="F297" t="s">
        <v>465</v>
      </c>
      <c r="G297" s="22">
        <v>21828</v>
      </c>
      <c r="H297" s="21">
        <v>61.783561643835618</v>
      </c>
      <c r="I297" t="s">
        <v>552</v>
      </c>
      <c r="J297" t="s">
        <v>2807</v>
      </c>
      <c r="K297" t="s">
        <v>2808</v>
      </c>
      <c r="L297">
        <v>3115060091</v>
      </c>
    </row>
    <row r="298" spans="1:12" x14ac:dyDescent="0.25">
      <c r="A298">
        <v>298</v>
      </c>
      <c r="B298" t="s">
        <v>1585</v>
      </c>
      <c r="C298" t="s">
        <v>898</v>
      </c>
      <c r="D298" t="s">
        <v>17</v>
      </c>
      <c r="E298" t="s">
        <v>718</v>
      </c>
      <c r="F298" t="s">
        <v>829</v>
      </c>
      <c r="G298" s="22">
        <v>28801</v>
      </c>
      <c r="H298" s="21">
        <v>42.679452054794524</v>
      </c>
      <c r="I298" t="s">
        <v>544</v>
      </c>
      <c r="J298" t="s">
        <v>3777</v>
      </c>
      <c r="K298" t="s">
        <v>3778</v>
      </c>
      <c r="L298">
        <v>3115060091</v>
      </c>
    </row>
    <row r="299" spans="1:12" x14ac:dyDescent="0.25">
      <c r="A299">
        <v>299</v>
      </c>
      <c r="B299" t="s">
        <v>2128</v>
      </c>
      <c r="C299" t="s">
        <v>371</v>
      </c>
      <c r="D299" t="s">
        <v>425</v>
      </c>
      <c r="E299" t="s">
        <v>699</v>
      </c>
      <c r="F299" t="s">
        <v>404</v>
      </c>
      <c r="G299" s="22">
        <v>29933</v>
      </c>
      <c r="H299" s="21">
        <v>39.578082191780823</v>
      </c>
      <c r="I299" t="s">
        <v>597</v>
      </c>
      <c r="J299" t="s">
        <v>2809</v>
      </c>
      <c r="K299" t="s">
        <v>2810</v>
      </c>
      <c r="L299">
        <v>3115060080</v>
      </c>
    </row>
    <row r="300" spans="1:12" x14ac:dyDescent="0.25">
      <c r="A300">
        <v>300</v>
      </c>
      <c r="B300" t="s">
        <v>1586</v>
      </c>
      <c r="C300" t="s">
        <v>906</v>
      </c>
      <c r="D300" t="s">
        <v>894</v>
      </c>
      <c r="E300" t="s">
        <v>719</v>
      </c>
      <c r="F300" t="s">
        <v>458</v>
      </c>
      <c r="G300" s="22">
        <v>25758</v>
      </c>
      <c r="H300" s="21">
        <v>51.016438356164386</v>
      </c>
      <c r="I300" t="s">
        <v>1237</v>
      </c>
      <c r="J300" t="s">
        <v>3779</v>
      </c>
      <c r="K300" t="s">
        <v>3780</v>
      </c>
      <c r="L300">
        <v>3115060080</v>
      </c>
    </row>
    <row r="301" spans="1:12" x14ac:dyDescent="0.25">
      <c r="A301">
        <v>301</v>
      </c>
      <c r="B301" t="s">
        <v>2129</v>
      </c>
      <c r="C301" t="s">
        <v>341</v>
      </c>
      <c r="D301" t="s">
        <v>429</v>
      </c>
      <c r="E301" t="s">
        <v>700</v>
      </c>
      <c r="F301" t="s">
        <v>466</v>
      </c>
      <c r="G301" s="22">
        <v>23907</v>
      </c>
      <c r="H301" s="21">
        <v>56.087671232876716</v>
      </c>
      <c r="I301" t="s">
        <v>563</v>
      </c>
      <c r="J301" t="s">
        <v>2811</v>
      </c>
      <c r="K301" t="s">
        <v>2812</v>
      </c>
      <c r="L301">
        <v>3115114385</v>
      </c>
    </row>
    <row r="302" spans="1:12" x14ac:dyDescent="0.25">
      <c r="A302">
        <v>302</v>
      </c>
      <c r="B302" t="s">
        <v>1587</v>
      </c>
      <c r="C302" t="s">
        <v>907</v>
      </c>
      <c r="D302" t="s">
        <v>629</v>
      </c>
      <c r="E302" t="s">
        <v>297</v>
      </c>
      <c r="F302" t="s">
        <v>724</v>
      </c>
      <c r="G302" s="22">
        <v>33352</v>
      </c>
      <c r="H302" s="21">
        <v>30.210958904109589</v>
      </c>
      <c r="I302" t="s">
        <v>1182</v>
      </c>
      <c r="J302" t="s">
        <v>3781</v>
      </c>
      <c r="K302" t="s">
        <v>3782</v>
      </c>
      <c r="L302">
        <v>3115114385</v>
      </c>
    </row>
    <row r="303" spans="1:12" x14ac:dyDescent="0.25">
      <c r="A303">
        <v>303</v>
      </c>
      <c r="B303" t="s">
        <v>2130</v>
      </c>
      <c r="C303" t="s">
        <v>431</v>
      </c>
      <c r="D303" t="s">
        <v>880</v>
      </c>
      <c r="E303" t="s">
        <v>701</v>
      </c>
      <c r="F303" t="s">
        <v>117</v>
      </c>
      <c r="G303" s="22">
        <v>24714</v>
      </c>
      <c r="H303" s="21">
        <v>53.876712328767127</v>
      </c>
      <c r="I303" t="s">
        <v>595</v>
      </c>
      <c r="J303" t="s">
        <v>2813</v>
      </c>
      <c r="K303" t="s">
        <v>2814</v>
      </c>
      <c r="L303">
        <v>3115114360</v>
      </c>
    </row>
    <row r="304" spans="1:12" x14ac:dyDescent="0.25">
      <c r="A304">
        <v>304</v>
      </c>
      <c r="B304" t="s">
        <v>1588</v>
      </c>
      <c r="C304" t="s">
        <v>908</v>
      </c>
      <c r="D304" t="s">
        <v>620</v>
      </c>
      <c r="E304" t="s">
        <v>720</v>
      </c>
      <c r="F304" t="s">
        <v>845</v>
      </c>
      <c r="G304" s="22">
        <v>26604</v>
      </c>
      <c r="H304" s="21">
        <v>48.698630136986303</v>
      </c>
      <c r="I304" t="s">
        <v>1199</v>
      </c>
      <c r="J304" t="s">
        <v>3783</v>
      </c>
      <c r="K304" t="s">
        <v>3784</v>
      </c>
      <c r="L304">
        <v>3115114360</v>
      </c>
    </row>
    <row r="305" spans="1:12" x14ac:dyDescent="0.25">
      <c r="A305">
        <v>305</v>
      </c>
      <c r="B305" t="s">
        <v>2131</v>
      </c>
      <c r="C305" t="s">
        <v>490</v>
      </c>
      <c r="D305" t="s">
        <v>397</v>
      </c>
      <c r="E305" t="s">
        <v>702</v>
      </c>
      <c r="F305" t="s">
        <v>273</v>
      </c>
      <c r="G305" s="22">
        <v>28399</v>
      </c>
      <c r="H305" s="21">
        <v>43.780821917808218</v>
      </c>
      <c r="I305" t="s">
        <v>1345</v>
      </c>
      <c r="J305" t="s">
        <v>2815</v>
      </c>
      <c r="K305" t="s">
        <v>2816</v>
      </c>
      <c r="L305">
        <v>3115093653</v>
      </c>
    </row>
    <row r="306" spans="1:12" x14ac:dyDescent="0.25">
      <c r="A306">
        <v>306</v>
      </c>
      <c r="B306" t="s">
        <v>1589</v>
      </c>
      <c r="C306" t="s">
        <v>16</v>
      </c>
      <c r="D306" t="s">
        <v>6</v>
      </c>
      <c r="E306" t="s">
        <v>239</v>
      </c>
      <c r="F306" t="s">
        <v>785</v>
      </c>
      <c r="G306" s="22">
        <v>29758</v>
      </c>
      <c r="H306" s="21">
        <v>40.057534246575344</v>
      </c>
      <c r="I306" t="s">
        <v>1199</v>
      </c>
      <c r="J306" t="s">
        <v>3785</v>
      </c>
      <c r="K306" t="s">
        <v>3786</v>
      </c>
      <c r="L306">
        <v>3115093653</v>
      </c>
    </row>
    <row r="307" spans="1:12" x14ac:dyDescent="0.25">
      <c r="A307">
        <v>307</v>
      </c>
      <c r="B307" t="s">
        <v>2132</v>
      </c>
      <c r="C307" t="s">
        <v>483</v>
      </c>
      <c r="D307" t="s">
        <v>399</v>
      </c>
      <c r="E307" t="s">
        <v>703</v>
      </c>
      <c r="F307" t="s">
        <v>447</v>
      </c>
      <c r="G307" s="22">
        <v>21722</v>
      </c>
      <c r="H307" s="21">
        <v>62.073972602739723</v>
      </c>
      <c r="I307" t="s">
        <v>576</v>
      </c>
      <c r="J307" t="s">
        <v>2817</v>
      </c>
      <c r="K307" t="s">
        <v>2818</v>
      </c>
      <c r="L307">
        <v>3115093598</v>
      </c>
    </row>
    <row r="308" spans="1:12" x14ac:dyDescent="0.25">
      <c r="A308">
        <v>308</v>
      </c>
      <c r="B308" t="s">
        <v>1590</v>
      </c>
      <c r="C308" t="s">
        <v>909</v>
      </c>
      <c r="D308" t="s">
        <v>8</v>
      </c>
      <c r="E308" t="s">
        <v>721</v>
      </c>
      <c r="F308" t="s">
        <v>740</v>
      </c>
      <c r="G308" s="22">
        <v>29259</v>
      </c>
      <c r="H308" s="21">
        <v>41.424657534246577</v>
      </c>
      <c r="I308" t="s">
        <v>1238</v>
      </c>
      <c r="J308" t="s">
        <v>3787</v>
      </c>
      <c r="K308" t="s">
        <v>3788</v>
      </c>
      <c r="L308">
        <v>3115093598</v>
      </c>
    </row>
    <row r="309" spans="1:12" x14ac:dyDescent="0.25">
      <c r="A309">
        <v>309</v>
      </c>
      <c r="B309" t="s">
        <v>2133</v>
      </c>
      <c r="C309" t="s">
        <v>341</v>
      </c>
      <c r="D309" t="s">
        <v>387</v>
      </c>
      <c r="E309" t="s">
        <v>704</v>
      </c>
      <c r="F309" t="s">
        <v>411</v>
      </c>
      <c r="G309" s="22">
        <v>23967</v>
      </c>
      <c r="H309" s="21">
        <v>55.923287671232877</v>
      </c>
      <c r="I309" t="s">
        <v>574</v>
      </c>
      <c r="J309" t="s">
        <v>2819</v>
      </c>
      <c r="K309" t="s">
        <v>2820</v>
      </c>
      <c r="L309">
        <v>3115093583</v>
      </c>
    </row>
    <row r="310" spans="1:12" x14ac:dyDescent="0.25">
      <c r="A310">
        <v>310</v>
      </c>
      <c r="B310" t="s">
        <v>1591</v>
      </c>
      <c r="C310" t="s">
        <v>910</v>
      </c>
      <c r="D310" t="s">
        <v>620</v>
      </c>
      <c r="E310" t="s">
        <v>722</v>
      </c>
      <c r="F310" t="s">
        <v>848</v>
      </c>
      <c r="G310" s="22">
        <v>26811</v>
      </c>
      <c r="H310" s="21">
        <v>48.131506849315066</v>
      </c>
      <c r="I310" t="s">
        <v>1182</v>
      </c>
      <c r="J310" t="s">
        <v>3789</v>
      </c>
      <c r="K310" t="s">
        <v>3790</v>
      </c>
      <c r="L310">
        <v>3115093583</v>
      </c>
    </row>
    <row r="311" spans="1:12" x14ac:dyDescent="0.25">
      <c r="A311">
        <v>311</v>
      </c>
      <c r="B311" t="s">
        <v>2134</v>
      </c>
      <c r="C311" t="s">
        <v>853</v>
      </c>
      <c r="D311" t="s">
        <v>881</v>
      </c>
      <c r="E311" t="s">
        <v>705</v>
      </c>
      <c r="F311" t="s">
        <v>467</v>
      </c>
      <c r="G311" s="22">
        <v>23092</v>
      </c>
      <c r="H311" s="21">
        <v>58.320547945205476</v>
      </c>
      <c r="I311" t="s">
        <v>1352</v>
      </c>
      <c r="J311" t="s">
        <v>2821</v>
      </c>
      <c r="K311" t="s">
        <v>2822</v>
      </c>
      <c r="L311">
        <v>3115092386</v>
      </c>
    </row>
    <row r="312" spans="1:12" x14ac:dyDescent="0.25">
      <c r="A312">
        <v>312</v>
      </c>
      <c r="B312" t="s">
        <v>1592</v>
      </c>
      <c r="C312" t="s">
        <v>911</v>
      </c>
      <c r="D312" t="s">
        <v>629</v>
      </c>
      <c r="E312" t="s">
        <v>723</v>
      </c>
      <c r="F312" t="s">
        <v>220</v>
      </c>
      <c r="G312" s="22">
        <v>24833</v>
      </c>
      <c r="H312" s="21">
        <v>53.550684931506851</v>
      </c>
      <c r="I312" t="s">
        <v>1239</v>
      </c>
      <c r="J312" t="s">
        <v>3791</v>
      </c>
      <c r="K312" t="s">
        <v>3792</v>
      </c>
      <c r="L312">
        <v>3115092386</v>
      </c>
    </row>
    <row r="313" spans="1:12" x14ac:dyDescent="0.25">
      <c r="A313">
        <v>313</v>
      </c>
      <c r="B313" t="s">
        <v>2135</v>
      </c>
      <c r="C313" t="s">
        <v>401</v>
      </c>
      <c r="D313" t="s">
        <v>490</v>
      </c>
      <c r="E313" t="s">
        <v>706</v>
      </c>
      <c r="F313" t="s">
        <v>138</v>
      </c>
      <c r="G313" s="22">
        <v>31219</v>
      </c>
      <c r="H313" s="21">
        <v>36.054794520547944</v>
      </c>
      <c r="I313" t="s">
        <v>560</v>
      </c>
      <c r="J313" t="s">
        <v>2823</v>
      </c>
      <c r="K313" t="s">
        <v>2824</v>
      </c>
      <c r="L313">
        <v>3115092375</v>
      </c>
    </row>
    <row r="314" spans="1:12" x14ac:dyDescent="0.25">
      <c r="A314">
        <v>314</v>
      </c>
      <c r="B314" t="s">
        <v>1593</v>
      </c>
      <c r="C314" t="s">
        <v>903</v>
      </c>
      <c r="D314" t="s">
        <v>15</v>
      </c>
      <c r="E314" t="s">
        <v>724</v>
      </c>
      <c r="F314" t="s">
        <v>826</v>
      </c>
      <c r="G314" s="22">
        <v>34150</v>
      </c>
      <c r="H314" s="21">
        <v>28.024657534246575</v>
      </c>
      <c r="I314" t="s">
        <v>588</v>
      </c>
      <c r="J314" t="s">
        <v>3793</v>
      </c>
      <c r="K314" t="s">
        <v>3794</v>
      </c>
      <c r="L314">
        <v>3115092375</v>
      </c>
    </row>
    <row r="315" spans="1:12" x14ac:dyDescent="0.25">
      <c r="A315">
        <v>315</v>
      </c>
      <c r="B315" t="s">
        <v>2136</v>
      </c>
      <c r="C315" t="s">
        <v>483</v>
      </c>
      <c r="D315" t="s">
        <v>431</v>
      </c>
      <c r="E315" t="s">
        <v>707</v>
      </c>
      <c r="F315" t="s">
        <v>415</v>
      </c>
      <c r="G315" s="22">
        <v>26297</v>
      </c>
      <c r="H315" s="21">
        <v>49.539726027397258</v>
      </c>
      <c r="I315" t="s">
        <v>1353</v>
      </c>
      <c r="J315" t="s">
        <v>2825</v>
      </c>
      <c r="K315" t="s">
        <v>2826</v>
      </c>
      <c r="L315">
        <v>3115092369</v>
      </c>
    </row>
    <row r="316" spans="1:12" x14ac:dyDescent="0.25">
      <c r="A316">
        <v>316</v>
      </c>
      <c r="B316" t="s">
        <v>1594</v>
      </c>
      <c r="C316" t="s">
        <v>898</v>
      </c>
      <c r="D316" t="s">
        <v>8</v>
      </c>
      <c r="E316" t="s">
        <v>42</v>
      </c>
      <c r="F316" t="s">
        <v>804</v>
      </c>
      <c r="G316" s="22">
        <v>26680</v>
      </c>
      <c r="H316" s="21">
        <v>48.490410958904107</v>
      </c>
      <c r="I316" t="s">
        <v>1240</v>
      </c>
      <c r="J316" t="s">
        <v>3795</v>
      </c>
      <c r="K316" t="s">
        <v>3796</v>
      </c>
      <c r="L316">
        <v>3115092369</v>
      </c>
    </row>
    <row r="317" spans="1:12" x14ac:dyDescent="0.25">
      <c r="A317">
        <v>317</v>
      </c>
      <c r="B317" t="s">
        <v>2137</v>
      </c>
      <c r="C317" t="s">
        <v>656</v>
      </c>
      <c r="D317" t="s">
        <v>854</v>
      </c>
      <c r="E317" t="s">
        <v>708</v>
      </c>
      <c r="F317" t="s">
        <v>468</v>
      </c>
      <c r="G317" s="22">
        <v>25825</v>
      </c>
      <c r="H317" s="21">
        <v>50.832876712328769</v>
      </c>
      <c r="I317" t="s">
        <v>546</v>
      </c>
      <c r="J317" t="s">
        <v>2827</v>
      </c>
      <c r="K317" t="s">
        <v>2828</v>
      </c>
      <c r="L317">
        <v>3115092360</v>
      </c>
    </row>
    <row r="318" spans="1:12" x14ac:dyDescent="0.25">
      <c r="A318">
        <v>318</v>
      </c>
      <c r="B318" t="s">
        <v>1595</v>
      </c>
      <c r="C318" t="s">
        <v>20</v>
      </c>
      <c r="D318" t="s">
        <v>15</v>
      </c>
      <c r="E318" t="s">
        <v>698</v>
      </c>
      <c r="F318" t="s">
        <v>742</v>
      </c>
      <c r="G318" s="22">
        <v>37141</v>
      </c>
      <c r="H318" s="21">
        <v>19.830136986301369</v>
      </c>
      <c r="I318" t="s">
        <v>1237</v>
      </c>
      <c r="J318" t="s">
        <v>3797</v>
      </c>
      <c r="K318" t="s">
        <v>3798</v>
      </c>
      <c r="L318">
        <v>3115092360</v>
      </c>
    </row>
    <row r="319" spans="1:12" x14ac:dyDescent="0.25">
      <c r="A319">
        <v>319</v>
      </c>
      <c r="B319" t="s">
        <v>2138</v>
      </c>
      <c r="C319" t="s">
        <v>359</v>
      </c>
      <c r="D319" t="s">
        <v>855</v>
      </c>
      <c r="E319" t="s">
        <v>709</v>
      </c>
      <c r="F319" t="s">
        <v>89</v>
      </c>
      <c r="G319" s="22">
        <v>26304</v>
      </c>
      <c r="H319" s="21">
        <v>49.520547945205479</v>
      </c>
      <c r="I319" t="s">
        <v>1354</v>
      </c>
      <c r="J319" t="s">
        <v>2829</v>
      </c>
      <c r="K319" t="s">
        <v>2830</v>
      </c>
      <c r="L319">
        <v>3115092352</v>
      </c>
    </row>
    <row r="320" spans="1:12" x14ac:dyDescent="0.25">
      <c r="A320">
        <v>320</v>
      </c>
      <c r="B320" t="s">
        <v>1596</v>
      </c>
      <c r="C320" t="s">
        <v>16</v>
      </c>
      <c r="D320" t="s">
        <v>624</v>
      </c>
      <c r="E320" t="s">
        <v>725</v>
      </c>
      <c r="F320" t="s">
        <v>802</v>
      </c>
      <c r="G320" s="22">
        <v>30638</v>
      </c>
      <c r="H320" s="21">
        <v>37.646575342465752</v>
      </c>
      <c r="I320" t="s">
        <v>1199</v>
      </c>
      <c r="J320" t="s">
        <v>3799</v>
      </c>
      <c r="K320" t="s">
        <v>3800</v>
      </c>
      <c r="L320">
        <v>3115092352</v>
      </c>
    </row>
    <row r="321" spans="1:12" x14ac:dyDescent="0.25">
      <c r="A321">
        <v>321</v>
      </c>
      <c r="B321" t="s">
        <v>2139</v>
      </c>
      <c r="C321" t="s">
        <v>345</v>
      </c>
      <c r="D321" t="s">
        <v>339</v>
      </c>
      <c r="E321" t="s">
        <v>710</v>
      </c>
      <c r="F321" t="s">
        <v>469</v>
      </c>
      <c r="G321" s="22">
        <v>29101</v>
      </c>
      <c r="H321" s="21">
        <v>41.857534246575341</v>
      </c>
      <c r="I321" t="s">
        <v>1355</v>
      </c>
      <c r="J321" t="s">
        <v>2831</v>
      </c>
      <c r="K321" t="s">
        <v>2832</v>
      </c>
      <c r="L321">
        <v>3115114930</v>
      </c>
    </row>
    <row r="322" spans="1:12" x14ac:dyDescent="0.25">
      <c r="A322">
        <v>322</v>
      </c>
      <c r="B322" t="s">
        <v>1597</v>
      </c>
      <c r="C322" t="s">
        <v>912</v>
      </c>
      <c r="D322" t="s">
        <v>629</v>
      </c>
      <c r="E322" t="s">
        <v>141</v>
      </c>
      <c r="F322" t="s">
        <v>787</v>
      </c>
      <c r="G322" s="22">
        <v>28274</v>
      </c>
      <c r="H322" s="21">
        <v>44.123287671232873</v>
      </c>
      <c r="I322" t="s">
        <v>1241</v>
      </c>
      <c r="J322" t="s">
        <v>3801</v>
      </c>
      <c r="K322" t="s">
        <v>3802</v>
      </c>
      <c r="L322">
        <v>3115114930</v>
      </c>
    </row>
    <row r="323" spans="1:12" x14ac:dyDescent="0.25">
      <c r="A323">
        <v>323</v>
      </c>
      <c r="B323" t="s">
        <v>2140</v>
      </c>
      <c r="C323" t="s">
        <v>359</v>
      </c>
      <c r="D323" t="s">
        <v>332</v>
      </c>
      <c r="E323" t="s">
        <v>711</v>
      </c>
      <c r="F323" t="s">
        <v>279</v>
      </c>
      <c r="G323" s="22">
        <v>25252</v>
      </c>
      <c r="H323" s="21">
        <v>52.402739726027399</v>
      </c>
      <c r="I323" t="s">
        <v>565</v>
      </c>
      <c r="J323" t="s">
        <v>2833</v>
      </c>
      <c r="K323" t="s">
        <v>2834</v>
      </c>
      <c r="L323">
        <v>3115114916</v>
      </c>
    </row>
    <row r="324" spans="1:12" x14ac:dyDescent="0.25">
      <c r="A324">
        <v>324</v>
      </c>
      <c r="B324" t="s">
        <v>1598</v>
      </c>
      <c r="C324" t="s">
        <v>898</v>
      </c>
      <c r="D324" t="s">
        <v>895</v>
      </c>
      <c r="E324" t="s">
        <v>693</v>
      </c>
      <c r="F324" t="s">
        <v>711</v>
      </c>
      <c r="G324" s="22">
        <v>36840</v>
      </c>
      <c r="H324" s="21">
        <v>20.654794520547945</v>
      </c>
      <c r="I324" t="s">
        <v>1182</v>
      </c>
      <c r="J324" t="s">
        <v>3803</v>
      </c>
      <c r="K324" t="s">
        <v>3804</v>
      </c>
      <c r="L324">
        <v>3115114916</v>
      </c>
    </row>
    <row r="325" spans="1:12" x14ac:dyDescent="0.25">
      <c r="A325">
        <v>325</v>
      </c>
      <c r="B325" t="s">
        <v>2141</v>
      </c>
      <c r="C325" t="s">
        <v>369</v>
      </c>
      <c r="D325" t="s">
        <v>489</v>
      </c>
      <c r="E325" t="s">
        <v>259</v>
      </c>
      <c r="F325" t="s">
        <v>94</v>
      </c>
      <c r="G325" s="22">
        <v>37114</v>
      </c>
      <c r="H325" s="21">
        <v>19.904109589041095</v>
      </c>
      <c r="I325" t="s">
        <v>592</v>
      </c>
      <c r="J325" t="s">
        <v>2835</v>
      </c>
      <c r="K325" t="s">
        <v>2836</v>
      </c>
      <c r="L325">
        <v>3115114911</v>
      </c>
    </row>
    <row r="326" spans="1:12" x14ac:dyDescent="0.25">
      <c r="A326">
        <v>326</v>
      </c>
      <c r="B326" t="s">
        <v>1599</v>
      </c>
      <c r="C326" t="s">
        <v>898</v>
      </c>
      <c r="D326" t="s">
        <v>25</v>
      </c>
      <c r="E326" t="s">
        <v>726</v>
      </c>
      <c r="F326" t="s">
        <v>794</v>
      </c>
      <c r="G326" s="22">
        <v>25632</v>
      </c>
      <c r="H326" s="21">
        <v>51.361643835616441</v>
      </c>
      <c r="I326" t="s">
        <v>1242</v>
      </c>
      <c r="J326" t="s">
        <v>3805</v>
      </c>
      <c r="K326" t="s">
        <v>3806</v>
      </c>
      <c r="L326">
        <v>3115114911</v>
      </c>
    </row>
    <row r="327" spans="1:12" x14ac:dyDescent="0.25">
      <c r="A327">
        <v>327</v>
      </c>
      <c r="B327" t="s">
        <v>2142</v>
      </c>
      <c r="C327" t="s">
        <v>341</v>
      </c>
      <c r="D327" t="s">
        <v>382</v>
      </c>
      <c r="E327" t="s">
        <v>712</v>
      </c>
      <c r="F327" t="s">
        <v>470</v>
      </c>
      <c r="G327" s="22">
        <v>23020</v>
      </c>
      <c r="H327" s="21">
        <v>58.517808219178079</v>
      </c>
      <c r="I327" t="s">
        <v>1356</v>
      </c>
      <c r="J327" t="s">
        <v>2837</v>
      </c>
      <c r="K327" t="s">
        <v>2838</v>
      </c>
      <c r="L327">
        <v>3115114910</v>
      </c>
    </row>
    <row r="328" spans="1:12" x14ac:dyDescent="0.25">
      <c r="A328">
        <v>328</v>
      </c>
      <c r="B328" t="s">
        <v>1600</v>
      </c>
      <c r="C328" t="s">
        <v>898</v>
      </c>
      <c r="D328" t="s">
        <v>424</v>
      </c>
      <c r="E328" t="s">
        <v>727</v>
      </c>
      <c r="F328" t="s">
        <v>680</v>
      </c>
      <c r="G328" s="22">
        <v>31934</v>
      </c>
      <c r="H328" s="21">
        <v>34.095890410958901</v>
      </c>
      <c r="I328" t="s">
        <v>1243</v>
      </c>
      <c r="J328" t="s">
        <v>3807</v>
      </c>
      <c r="K328" t="s">
        <v>3808</v>
      </c>
      <c r="L328">
        <v>3115114910</v>
      </c>
    </row>
    <row r="329" spans="1:12" x14ac:dyDescent="0.25">
      <c r="A329">
        <v>329</v>
      </c>
      <c r="B329" t="s">
        <v>2143</v>
      </c>
      <c r="C329" t="s">
        <v>351</v>
      </c>
      <c r="D329" t="s">
        <v>856</v>
      </c>
      <c r="E329" t="s">
        <v>653</v>
      </c>
      <c r="F329" t="s">
        <v>471</v>
      </c>
      <c r="G329" s="22">
        <v>37457</v>
      </c>
      <c r="H329" s="21">
        <v>18.964383561643835</v>
      </c>
      <c r="I329" t="s">
        <v>1357</v>
      </c>
      <c r="J329" t="s">
        <v>2839</v>
      </c>
      <c r="K329" t="s">
        <v>2840</v>
      </c>
      <c r="L329">
        <v>3115114909</v>
      </c>
    </row>
    <row r="330" spans="1:12" x14ac:dyDescent="0.25">
      <c r="A330">
        <v>330</v>
      </c>
      <c r="B330" t="s">
        <v>1601</v>
      </c>
      <c r="C330" t="s">
        <v>912</v>
      </c>
      <c r="D330" t="s">
        <v>8</v>
      </c>
      <c r="E330" t="s">
        <v>728</v>
      </c>
      <c r="F330" t="s">
        <v>239</v>
      </c>
      <c r="G330" s="22">
        <v>35128</v>
      </c>
      <c r="H330" s="21">
        <v>25.345205479452055</v>
      </c>
      <c r="I330" t="s">
        <v>549</v>
      </c>
      <c r="J330" t="s">
        <v>3809</v>
      </c>
      <c r="K330" t="s">
        <v>3810</v>
      </c>
      <c r="L330">
        <v>3115114909</v>
      </c>
    </row>
    <row r="331" spans="1:12" x14ac:dyDescent="0.25">
      <c r="A331">
        <v>331</v>
      </c>
      <c r="B331" t="s">
        <v>2144</v>
      </c>
      <c r="C331" t="s">
        <v>341</v>
      </c>
      <c r="D331" t="s">
        <v>413</v>
      </c>
      <c r="E331" t="s">
        <v>331</v>
      </c>
      <c r="F331" t="s">
        <v>472</v>
      </c>
      <c r="G331" s="22">
        <v>33446</v>
      </c>
      <c r="H331" s="21">
        <v>29.953424657534246</v>
      </c>
      <c r="I331" t="s">
        <v>566</v>
      </c>
      <c r="J331" t="s">
        <v>2841</v>
      </c>
      <c r="K331" t="s">
        <v>2842</v>
      </c>
      <c r="L331">
        <v>3115060130</v>
      </c>
    </row>
    <row r="332" spans="1:12" x14ac:dyDescent="0.25">
      <c r="A332">
        <v>332</v>
      </c>
      <c r="B332" t="s">
        <v>1602</v>
      </c>
      <c r="C332" t="s">
        <v>898</v>
      </c>
      <c r="D332" t="s">
        <v>7</v>
      </c>
      <c r="E332" t="s">
        <v>729</v>
      </c>
      <c r="F332" t="s">
        <v>806</v>
      </c>
      <c r="G332" s="22">
        <v>34300</v>
      </c>
      <c r="H332" s="21">
        <v>27.613698630136987</v>
      </c>
      <c r="I332" t="s">
        <v>1244</v>
      </c>
      <c r="J332" t="s">
        <v>3811</v>
      </c>
      <c r="K332" t="s">
        <v>3812</v>
      </c>
      <c r="L332">
        <v>3115060130</v>
      </c>
    </row>
    <row r="333" spans="1:12" x14ac:dyDescent="0.25">
      <c r="A333">
        <v>333</v>
      </c>
      <c r="B333" t="s">
        <v>2145</v>
      </c>
      <c r="C333" t="s">
        <v>391</v>
      </c>
      <c r="D333" t="s">
        <v>882</v>
      </c>
      <c r="E333" t="s">
        <v>55</v>
      </c>
      <c r="F333" t="s">
        <v>441</v>
      </c>
      <c r="G333" s="22">
        <v>35424</v>
      </c>
      <c r="H333" s="21">
        <v>24.534246575342465</v>
      </c>
      <c r="I333" t="s">
        <v>576</v>
      </c>
      <c r="J333" t="s">
        <v>2843</v>
      </c>
      <c r="K333" t="s">
        <v>2844</v>
      </c>
      <c r="L333">
        <v>3115060125</v>
      </c>
    </row>
    <row r="334" spans="1:12" x14ac:dyDescent="0.25">
      <c r="A334">
        <v>334</v>
      </c>
      <c r="B334" t="s">
        <v>1603</v>
      </c>
      <c r="C334" t="s">
        <v>913</v>
      </c>
      <c r="D334" t="s">
        <v>8</v>
      </c>
      <c r="E334" t="s">
        <v>730</v>
      </c>
      <c r="F334" t="s">
        <v>849</v>
      </c>
      <c r="G334" s="22">
        <v>29053</v>
      </c>
      <c r="H334" s="21">
        <v>41.989041095890414</v>
      </c>
      <c r="I334" t="s">
        <v>1189</v>
      </c>
      <c r="J334" t="s">
        <v>3813</v>
      </c>
      <c r="K334" t="s">
        <v>3814</v>
      </c>
      <c r="L334">
        <v>3115060125</v>
      </c>
    </row>
    <row r="335" spans="1:12" x14ac:dyDescent="0.25">
      <c r="A335">
        <v>335</v>
      </c>
      <c r="B335" t="s">
        <v>2146</v>
      </c>
      <c r="C335" t="s">
        <v>883</v>
      </c>
      <c r="D335" t="s">
        <v>356</v>
      </c>
      <c r="E335" t="s">
        <v>334</v>
      </c>
      <c r="F335" t="s">
        <v>473</v>
      </c>
      <c r="G335" s="22">
        <v>22725</v>
      </c>
      <c r="H335" s="21">
        <v>59.326027397260276</v>
      </c>
      <c r="I335" t="s">
        <v>549</v>
      </c>
      <c r="J335" t="s">
        <v>2845</v>
      </c>
      <c r="K335" t="s">
        <v>2846</v>
      </c>
      <c r="L335">
        <v>3115060110</v>
      </c>
    </row>
    <row r="336" spans="1:12" x14ac:dyDescent="0.25">
      <c r="A336">
        <v>336</v>
      </c>
      <c r="B336" t="s">
        <v>1604</v>
      </c>
      <c r="C336" t="s">
        <v>914</v>
      </c>
      <c r="D336" t="s">
        <v>32</v>
      </c>
      <c r="E336" t="s">
        <v>731</v>
      </c>
      <c r="F336" t="s">
        <v>775</v>
      </c>
      <c r="G336" s="22">
        <v>34734</v>
      </c>
      <c r="H336" s="21">
        <v>26.424657534246574</v>
      </c>
      <c r="I336" t="s">
        <v>1237</v>
      </c>
      <c r="J336" t="s">
        <v>3815</v>
      </c>
      <c r="K336" t="s">
        <v>3816</v>
      </c>
      <c r="L336">
        <v>3115060110</v>
      </c>
    </row>
    <row r="337" spans="1:12" x14ac:dyDescent="0.25">
      <c r="A337">
        <v>337</v>
      </c>
      <c r="B337" t="s">
        <v>2147</v>
      </c>
      <c r="C337" t="s">
        <v>886</v>
      </c>
      <c r="D337" t="s">
        <v>335</v>
      </c>
      <c r="E337" t="s">
        <v>127</v>
      </c>
      <c r="F337" t="s">
        <v>474</v>
      </c>
      <c r="G337" s="22">
        <v>33445</v>
      </c>
      <c r="H337" s="21">
        <v>29.956164383561642</v>
      </c>
      <c r="I337" t="s">
        <v>1233</v>
      </c>
      <c r="J337" t="s">
        <v>2847</v>
      </c>
      <c r="K337" t="s">
        <v>2848</v>
      </c>
      <c r="L337">
        <v>3115060091</v>
      </c>
    </row>
    <row r="338" spans="1:12" x14ac:dyDescent="0.25">
      <c r="A338">
        <v>338</v>
      </c>
      <c r="B338" t="s">
        <v>1605</v>
      </c>
      <c r="C338" t="s">
        <v>907</v>
      </c>
      <c r="D338" t="s">
        <v>8</v>
      </c>
      <c r="E338" t="s">
        <v>732</v>
      </c>
      <c r="F338" t="s">
        <v>817</v>
      </c>
      <c r="G338" s="22">
        <v>26228</v>
      </c>
      <c r="H338" s="21">
        <v>49.728767123287675</v>
      </c>
      <c r="I338" t="s">
        <v>1245</v>
      </c>
      <c r="J338" t="s">
        <v>3817</v>
      </c>
      <c r="K338" t="s">
        <v>3818</v>
      </c>
      <c r="L338">
        <v>3115060091</v>
      </c>
    </row>
    <row r="339" spans="1:12" x14ac:dyDescent="0.25">
      <c r="A339">
        <v>339</v>
      </c>
      <c r="B339" t="s">
        <v>2148</v>
      </c>
      <c r="C339" t="s">
        <v>884</v>
      </c>
      <c r="D339" t="s">
        <v>885</v>
      </c>
      <c r="E339" t="s">
        <v>337</v>
      </c>
      <c r="F339" t="s">
        <v>428</v>
      </c>
      <c r="G339" s="22">
        <v>21684</v>
      </c>
      <c r="H339" s="21">
        <v>62.178082191780824</v>
      </c>
      <c r="I339" t="s">
        <v>588</v>
      </c>
      <c r="J339" t="s">
        <v>2849</v>
      </c>
      <c r="K339" t="s">
        <v>2850</v>
      </c>
      <c r="L339">
        <v>3115060080</v>
      </c>
    </row>
    <row r="340" spans="1:12" x14ac:dyDescent="0.25">
      <c r="A340">
        <v>340</v>
      </c>
      <c r="B340" t="s">
        <v>1606</v>
      </c>
      <c r="C340" t="s">
        <v>898</v>
      </c>
      <c r="D340" t="s">
        <v>482</v>
      </c>
      <c r="E340" t="s">
        <v>733</v>
      </c>
      <c r="F340" t="s">
        <v>841</v>
      </c>
      <c r="G340" s="22">
        <v>27190</v>
      </c>
      <c r="H340" s="21">
        <v>47.093150684931508</v>
      </c>
      <c r="I340" t="s">
        <v>1246</v>
      </c>
      <c r="J340" t="s">
        <v>3819</v>
      </c>
      <c r="K340" t="s">
        <v>3820</v>
      </c>
      <c r="L340">
        <v>3115060080</v>
      </c>
    </row>
    <row r="341" spans="1:12" x14ac:dyDescent="0.25">
      <c r="A341">
        <v>341</v>
      </c>
      <c r="B341" t="s">
        <v>2149</v>
      </c>
      <c r="C341" t="s">
        <v>646</v>
      </c>
      <c r="D341" t="s">
        <v>654</v>
      </c>
      <c r="E341" t="s">
        <v>340</v>
      </c>
      <c r="F341" t="s">
        <v>286</v>
      </c>
      <c r="G341" s="22">
        <v>31949</v>
      </c>
      <c r="H341" s="21">
        <v>34.054794520547944</v>
      </c>
      <c r="I341" t="s">
        <v>921</v>
      </c>
      <c r="J341" t="s">
        <v>2851</v>
      </c>
      <c r="K341" t="s">
        <v>2852</v>
      </c>
      <c r="L341">
        <v>3115114385</v>
      </c>
    </row>
    <row r="342" spans="1:12" x14ac:dyDescent="0.25">
      <c r="A342">
        <v>342</v>
      </c>
      <c r="B342" t="s">
        <v>1607</v>
      </c>
      <c r="C342" t="s">
        <v>16</v>
      </c>
      <c r="D342" t="s">
        <v>896</v>
      </c>
      <c r="E342" t="s">
        <v>734</v>
      </c>
      <c r="F342" t="s">
        <v>765</v>
      </c>
      <c r="G342" s="22">
        <v>27712</v>
      </c>
      <c r="H342" s="21">
        <v>45.663013698630138</v>
      </c>
      <c r="I342" t="s">
        <v>588</v>
      </c>
      <c r="J342" t="s">
        <v>3821</v>
      </c>
      <c r="K342" t="s">
        <v>3822</v>
      </c>
      <c r="L342">
        <v>3115114385</v>
      </c>
    </row>
    <row r="343" spans="1:12" x14ac:dyDescent="0.25">
      <c r="A343">
        <v>343</v>
      </c>
      <c r="B343" t="s">
        <v>2150</v>
      </c>
      <c r="C343" t="s">
        <v>887</v>
      </c>
      <c r="D343" t="s">
        <v>481</v>
      </c>
      <c r="E343" t="s">
        <v>293</v>
      </c>
      <c r="F343" t="s">
        <v>110</v>
      </c>
      <c r="G343" s="22">
        <v>28354</v>
      </c>
      <c r="H343" s="21">
        <v>43.904109589041099</v>
      </c>
      <c r="I343" t="s">
        <v>1358</v>
      </c>
      <c r="J343" t="s">
        <v>2853</v>
      </c>
      <c r="K343" t="s">
        <v>2854</v>
      </c>
      <c r="L343">
        <v>3115114360</v>
      </c>
    </row>
    <row r="344" spans="1:12" x14ac:dyDescent="0.25">
      <c r="A344">
        <v>344</v>
      </c>
      <c r="B344" t="s">
        <v>1608</v>
      </c>
      <c r="C344" t="s">
        <v>324</v>
      </c>
      <c r="D344" t="s">
        <v>6</v>
      </c>
      <c r="E344" t="s">
        <v>735</v>
      </c>
      <c r="F344" t="s">
        <v>717</v>
      </c>
      <c r="G344" s="22">
        <v>35667</v>
      </c>
      <c r="H344" s="21">
        <v>23.86849315068493</v>
      </c>
      <c r="I344" t="s">
        <v>1247</v>
      </c>
      <c r="J344" t="s">
        <v>3823</v>
      </c>
      <c r="K344" t="s">
        <v>3824</v>
      </c>
      <c r="L344">
        <v>3115114360</v>
      </c>
    </row>
    <row r="345" spans="1:12" x14ac:dyDescent="0.25">
      <c r="A345">
        <v>345</v>
      </c>
      <c r="B345" t="s">
        <v>2151</v>
      </c>
      <c r="C345" t="s">
        <v>341</v>
      </c>
      <c r="D345" t="s">
        <v>888</v>
      </c>
      <c r="E345" t="s">
        <v>837</v>
      </c>
      <c r="F345" t="s">
        <v>47</v>
      </c>
      <c r="G345" s="22">
        <v>34443</v>
      </c>
      <c r="H345" s="21">
        <v>27.221917808219178</v>
      </c>
      <c r="I345" t="s">
        <v>615</v>
      </c>
      <c r="J345" t="s">
        <v>2855</v>
      </c>
      <c r="K345" t="s">
        <v>2856</v>
      </c>
      <c r="L345">
        <v>3115093653</v>
      </c>
    </row>
    <row r="346" spans="1:12" x14ac:dyDescent="0.25">
      <c r="A346">
        <v>346</v>
      </c>
      <c r="B346" t="s">
        <v>1609</v>
      </c>
      <c r="C346" t="s">
        <v>911</v>
      </c>
      <c r="D346" t="s">
        <v>31</v>
      </c>
      <c r="E346" t="s">
        <v>675</v>
      </c>
      <c r="F346" t="s">
        <v>757</v>
      </c>
      <c r="G346" s="22">
        <v>32834</v>
      </c>
      <c r="H346" s="21">
        <v>31.63013698630137</v>
      </c>
      <c r="I346" t="s">
        <v>1248</v>
      </c>
      <c r="J346" t="s">
        <v>3825</v>
      </c>
      <c r="K346" t="s">
        <v>3826</v>
      </c>
      <c r="L346">
        <v>3115093653</v>
      </c>
    </row>
    <row r="347" spans="1:12" x14ac:dyDescent="0.25">
      <c r="A347">
        <v>347</v>
      </c>
      <c r="B347" t="s">
        <v>2152</v>
      </c>
      <c r="C347" t="s">
        <v>857</v>
      </c>
      <c r="D347" t="s">
        <v>382</v>
      </c>
      <c r="E347" t="s">
        <v>792</v>
      </c>
      <c r="F347" t="s">
        <v>54</v>
      </c>
      <c r="G347" s="22">
        <v>24034</v>
      </c>
      <c r="H347" s="21">
        <v>55.739726027397261</v>
      </c>
      <c r="I347" t="s">
        <v>578</v>
      </c>
      <c r="J347" t="s">
        <v>2857</v>
      </c>
      <c r="K347" t="s">
        <v>2858</v>
      </c>
      <c r="L347">
        <v>3115093598</v>
      </c>
    </row>
    <row r="348" spans="1:12" x14ac:dyDescent="0.25">
      <c r="A348">
        <v>348</v>
      </c>
      <c r="B348" t="s">
        <v>1610</v>
      </c>
      <c r="C348" t="s">
        <v>915</v>
      </c>
      <c r="D348" t="s">
        <v>6</v>
      </c>
      <c r="E348" t="s">
        <v>736</v>
      </c>
      <c r="F348" t="s">
        <v>843</v>
      </c>
      <c r="G348" s="22">
        <v>33988</v>
      </c>
      <c r="H348" s="21">
        <v>28.468493150684932</v>
      </c>
      <c r="I348" t="s">
        <v>1180</v>
      </c>
      <c r="J348" t="s">
        <v>3827</v>
      </c>
      <c r="K348" t="s">
        <v>3828</v>
      </c>
      <c r="L348">
        <v>3115093598</v>
      </c>
    </row>
    <row r="349" spans="1:12" x14ac:dyDescent="0.25">
      <c r="A349">
        <v>349</v>
      </c>
      <c r="B349" t="s">
        <v>2153</v>
      </c>
      <c r="C349" t="s">
        <v>858</v>
      </c>
      <c r="D349" t="s">
        <v>889</v>
      </c>
      <c r="E349" t="s">
        <v>822</v>
      </c>
      <c r="F349" t="s">
        <v>522</v>
      </c>
      <c r="G349" s="22">
        <v>22472</v>
      </c>
      <c r="H349" s="21">
        <v>60.019178082191779</v>
      </c>
      <c r="I349" t="s">
        <v>614</v>
      </c>
      <c r="J349" t="s">
        <v>2859</v>
      </c>
      <c r="K349" t="s">
        <v>2860</v>
      </c>
      <c r="L349">
        <v>3115093583</v>
      </c>
    </row>
    <row r="350" spans="1:12" x14ac:dyDescent="0.25">
      <c r="A350">
        <v>350</v>
      </c>
      <c r="B350" t="s">
        <v>1611</v>
      </c>
      <c r="C350" t="s">
        <v>916</v>
      </c>
      <c r="D350" t="s">
        <v>8</v>
      </c>
      <c r="E350" t="s">
        <v>737</v>
      </c>
      <c r="F350" t="s">
        <v>807</v>
      </c>
      <c r="G350" s="22">
        <v>36606</v>
      </c>
      <c r="H350" s="21">
        <v>21.295890410958904</v>
      </c>
      <c r="I350" t="s">
        <v>1249</v>
      </c>
      <c r="J350" t="s">
        <v>3829</v>
      </c>
      <c r="K350" t="s">
        <v>3830</v>
      </c>
      <c r="L350">
        <v>3115093583</v>
      </c>
    </row>
    <row r="351" spans="1:12" x14ac:dyDescent="0.25">
      <c r="A351">
        <v>351</v>
      </c>
      <c r="B351" t="s">
        <v>2154</v>
      </c>
      <c r="C351" t="s">
        <v>859</v>
      </c>
      <c r="D351" t="s">
        <v>446</v>
      </c>
      <c r="E351" t="s">
        <v>762</v>
      </c>
      <c r="F351" t="s">
        <v>688</v>
      </c>
      <c r="G351" s="22">
        <v>33147</v>
      </c>
      <c r="H351" s="21">
        <v>30.772602739726029</v>
      </c>
      <c r="I351" t="s">
        <v>585</v>
      </c>
      <c r="J351" t="s">
        <v>2861</v>
      </c>
      <c r="K351" t="s">
        <v>2862</v>
      </c>
      <c r="L351">
        <v>3115092386</v>
      </c>
    </row>
    <row r="352" spans="1:12" x14ac:dyDescent="0.25">
      <c r="A352">
        <v>352</v>
      </c>
      <c r="B352" t="s">
        <v>1612</v>
      </c>
      <c r="C352" t="s">
        <v>910</v>
      </c>
      <c r="D352" t="s">
        <v>17</v>
      </c>
      <c r="E352" t="s">
        <v>738</v>
      </c>
      <c r="F352" t="s">
        <v>731</v>
      </c>
      <c r="G352" s="22">
        <v>33581</v>
      </c>
      <c r="H352" s="21">
        <v>29.583561643835615</v>
      </c>
      <c r="I352" t="s">
        <v>565</v>
      </c>
      <c r="J352" t="s">
        <v>3831</v>
      </c>
      <c r="K352" t="s">
        <v>3832</v>
      </c>
      <c r="L352">
        <v>3115092386</v>
      </c>
    </row>
    <row r="353" spans="1:12" x14ac:dyDescent="0.25">
      <c r="A353">
        <v>353</v>
      </c>
      <c r="B353" t="s">
        <v>2155</v>
      </c>
      <c r="C353" t="s">
        <v>860</v>
      </c>
      <c r="D353" t="s">
        <v>479</v>
      </c>
      <c r="E353" t="s">
        <v>685</v>
      </c>
      <c r="F353" t="s">
        <v>771</v>
      </c>
      <c r="G353" s="22">
        <v>30167</v>
      </c>
      <c r="H353" s="21">
        <v>38.936986301369863</v>
      </c>
      <c r="I353" t="s">
        <v>577</v>
      </c>
      <c r="J353" t="s">
        <v>2863</v>
      </c>
      <c r="K353" t="s">
        <v>2864</v>
      </c>
      <c r="L353">
        <v>3115092375</v>
      </c>
    </row>
    <row r="354" spans="1:12" x14ac:dyDescent="0.25">
      <c r="A354">
        <v>354</v>
      </c>
      <c r="B354" t="s">
        <v>1613</v>
      </c>
      <c r="C354" t="s">
        <v>620</v>
      </c>
      <c r="D354" t="s">
        <v>897</v>
      </c>
      <c r="E354" t="s">
        <v>739</v>
      </c>
      <c r="F354" t="s">
        <v>751</v>
      </c>
      <c r="G354" s="22">
        <v>32490</v>
      </c>
      <c r="H354" s="21">
        <v>32.57260273972603</v>
      </c>
      <c r="I354" t="s">
        <v>1171</v>
      </c>
      <c r="J354" t="s">
        <v>3833</v>
      </c>
      <c r="K354" t="s">
        <v>3834</v>
      </c>
      <c r="L354">
        <v>3115092375</v>
      </c>
    </row>
    <row r="355" spans="1:12" x14ac:dyDescent="0.25">
      <c r="A355">
        <v>355</v>
      </c>
      <c r="B355" t="s">
        <v>2156</v>
      </c>
      <c r="C355" t="s">
        <v>341</v>
      </c>
      <c r="D355" t="s">
        <v>888</v>
      </c>
      <c r="E355" t="s">
        <v>707</v>
      </c>
      <c r="F355" t="s">
        <v>840</v>
      </c>
      <c r="G355" s="22">
        <v>28799</v>
      </c>
      <c r="H355" s="21">
        <v>42.684931506849317</v>
      </c>
      <c r="I355" t="s">
        <v>581</v>
      </c>
      <c r="J355" t="s">
        <v>2865</v>
      </c>
      <c r="K355" t="s">
        <v>2866</v>
      </c>
      <c r="L355">
        <v>3115092369</v>
      </c>
    </row>
    <row r="356" spans="1:12" x14ac:dyDescent="0.25">
      <c r="A356">
        <v>356</v>
      </c>
      <c r="B356" t="s">
        <v>1614</v>
      </c>
      <c r="C356" t="s">
        <v>16</v>
      </c>
      <c r="D356" t="s">
        <v>19</v>
      </c>
      <c r="E356" t="s">
        <v>740</v>
      </c>
      <c r="F356" t="s">
        <v>795</v>
      </c>
      <c r="G356" s="22">
        <v>28436</v>
      </c>
      <c r="H356" s="21">
        <v>43.679452054794524</v>
      </c>
      <c r="I356" t="s">
        <v>569</v>
      </c>
      <c r="J356" t="s">
        <v>3835</v>
      </c>
      <c r="K356" t="s">
        <v>3836</v>
      </c>
      <c r="L356">
        <v>3115092369</v>
      </c>
    </row>
    <row r="357" spans="1:12" x14ac:dyDescent="0.25">
      <c r="A357">
        <v>357</v>
      </c>
      <c r="B357" t="s">
        <v>2157</v>
      </c>
      <c r="C357" t="s">
        <v>341</v>
      </c>
      <c r="D357" t="s">
        <v>890</v>
      </c>
      <c r="E357" t="s">
        <v>714</v>
      </c>
      <c r="F357" t="s">
        <v>787</v>
      </c>
      <c r="G357" s="22">
        <v>37086</v>
      </c>
      <c r="H357" s="21">
        <v>19.980821917808218</v>
      </c>
      <c r="I357" t="s">
        <v>572</v>
      </c>
      <c r="J357" t="s">
        <v>2867</v>
      </c>
      <c r="K357" t="s">
        <v>2868</v>
      </c>
      <c r="L357">
        <v>3115092360</v>
      </c>
    </row>
    <row r="358" spans="1:12" x14ac:dyDescent="0.25">
      <c r="A358">
        <v>358</v>
      </c>
      <c r="B358" t="s">
        <v>1615</v>
      </c>
      <c r="C358" t="s">
        <v>917</v>
      </c>
      <c r="D358" t="s">
        <v>17</v>
      </c>
      <c r="E358" t="s">
        <v>741</v>
      </c>
      <c r="F358" t="s">
        <v>682</v>
      </c>
      <c r="G358" s="22">
        <v>26981</v>
      </c>
      <c r="H358" s="21">
        <v>47.665753424657531</v>
      </c>
      <c r="I358" t="s">
        <v>1227</v>
      </c>
      <c r="J358" t="s">
        <v>3837</v>
      </c>
      <c r="K358" t="s">
        <v>3838</v>
      </c>
      <c r="L358">
        <v>3115092360</v>
      </c>
    </row>
    <row r="359" spans="1:12" x14ac:dyDescent="0.25">
      <c r="A359">
        <v>359</v>
      </c>
      <c r="B359" t="s">
        <v>2158</v>
      </c>
      <c r="C359" t="s">
        <v>662</v>
      </c>
      <c r="D359" t="s">
        <v>503</v>
      </c>
      <c r="E359" t="s">
        <v>730</v>
      </c>
      <c r="F359" t="s">
        <v>761</v>
      </c>
      <c r="G359" s="22">
        <v>35680</v>
      </c>
      <c r="H359" s="21">
        <v>23.832876712328765</v>
      </c>
      <c r="I359" t="s">
        <v>546</v>
      </c>
      <c r="J359" t="s">
        <v>2869</v>
      </c>
      <c r="K359" t="s">
        <v>2870</v>
      </c>
      <c r="L359">
        <v>3115092352</v>
      </c>
    </row>
    <row r="360" spans="1:12" x14ac:dyDescent="0.25">
      <c r="A360">
        <v>360</v>
      </c>
      <c r="B360" t="s">
        <v>1616</v>
      </c>
      <c r="C360" t="s">
        <v>20</v>
      </c>
      <c r="D360" t="s">
        <v>16</v>
      </c>
      <c r="E360" t="s">
        <v>225</v>
      </c>
      <c r="F360" t="s">
        <v>832</v>
      </c>
      <c r="G360" s="22">
        <v>29331</v>
      </c>
      <c r="H360" s="21">
        <v>41.227397260273975</v>
      </c>
      <c r="I360" t="s">
        <v>1250</v>
      </c>
      <c r="J360" t="s">
        <v>3839</v>
      </c>
      <c r="K360" t="s">
        <v>3840</v>
      </c>
      <c r="L360">
        <v>3115092352</v>
      </c>
    </row>
    <row r="361" spans="1:12" x14ac:dyDescent="0.25">
      <c r="A361">
        <v>361</v>
      </c>
      <c r="B361" t="s">
        <v>2159</v>
      </c>
      <c r="C361" t="s">
        <v>382</v>
      </c>
      <c r="D361" t="s">
        <v>891</v>
      </c>
      <c r="E361" t="s">
        <v>475</v>
      </c>
      <c r="F361" t="s">
        <v>809</v>
      </c>
      <c r="G361" s="22">
        <v>34359</v>
      </c>
      <c r="H361" s="21">
        <v>27.452054794520549</v>
      </c>
      <c r="I361" t="s">
        <v>568</v>
      </c>
      <c r="J361" t="s">
        <v>2871</v>
      </c>
      <c r="K361" t="s">
        <v>2872</v>
      </c>
      <c r="L361">
        <v>3115114930</v>
      </c>
    </row>
    <row r="362" spans="1:12" x14ac:dyDescent="0.25">
      <c r="A362">
        <v>362</v>
      </c>
      <c r="B362" t="s">
        <v>1617</v>
      </c>
      <c r="C362" t="s">
        <v>918</v>
      </c>
      <c r="D362" t="s">
        <v>629</v>
      </c>
      <c r="E362" t="s">
        <v>243</v>
      </c>
      <c r="F362" t="s">
        <v>850</v>
      </c>
      <c r="G362" s="22">
        <v>35720</v>
      </c>
      <c r="H362" s="21">
        <v>23.723287671232878</v>
      </c>
      <c r="I362" t="s">
        <v>1251</v>
      </c>
      <c r="J362" t="s">
        <v>3841</v>
      </c>
      <c r="K362" t="s">
        <v>3842</v>
      </c>
      <c r="L362">
        <v>3115114930</v>
      </c>
    </row>
    <row r="363" spans="1:12" x14ac:dyDescent="0.25">
      <c r="A363">
        <v>363</v>
      </c>
      <c r="B363" t="s">
        <v>2160</v>
      </c>
      <c r="C363" t="s">
        <v>342</v>
      </c>
      <c r="D363" t="s">
        <v>371</v>
      </c>
      <c r="E363" t="s">
        <v>776</v>
      </c>
      <c r="F363" t="s">
        <v>741</v>
      </c>
      <c r="G363" s="22">
        <v>32940</v>
      </c>
      <c r="H363" s="21">
        <v>31.339726027397262</v>
      </c>
      <c r="I363" t="s">
        <v>1359</v>
      </c>
      <c r="J363" t="s">
        <v>2873</v>
      </c>
      <c r="K363" t="s">
        <v>2874</v>
      </c>
      <c r="L363">
        <v>3115114916</v>
      </c>
    </row>
    <row r="364" spans="1:12" x14ac:dyDescent="0.25">
      <c r="A364">
        <v>364</v>
      </c>
      <c r="B364" t="s">
        <v>1618</v>
      </c>
      <c r="C364" t="s">
        <v>903</v>
      </c>
      <c r="D364" t="s">
        <v>629</v>
      </c>
      <c r="E364" t="s">
        <v>676</v>
      </c>
      <c r="F364" t="s">
        <v>769</v>
      </c>
      <c r="G364" s="22">
        <v>32091</v>
      </c>
      <c r="H364" s="21">
        <v>33.665753424657531</v>
      </c>
      <c r="I364" t="s">
        <v>1218</v>
      </c>
      <c r="J364" t="s">
        <v>3843</v>
      </c>
      <c r="K364" t="s">
        <v>3844</v>
      </c>
      <c r="L364">
        <v>3115114916</v>
      </c>
    </row>
    <row r="365" spans="1:12" x14ac:dyDescent="0.25">
      <c r="A365">
        <v>365</v>
      </c>
      <c r="B365" t="s">
        <v>2161</v>
      </c>
      <c r="C365" t="s">
        <v>382</v>
      </c>
      <c r="D365" t="s">
        <v>360</v>
      </c>
      <c r="E365" t="s">
        <v>813</v>
      </c>
      <c r="F365" t="s">
        <v>805</v>
      </c>
      <c r="G365" s="22">
        <v>34163</v>
      </c>
      <c r="H365" s="21">
        <v>27.989041095890411</v>
      </c>
      <c r="I365" t="s">
        <v>563</v>
      </c>
      <c r="J365" t="s">
        <v>2875</v>
      </c>
      <c r="K365" t="s">
        <v>2876</v>
      </c>
      <c r="L365">
        <v>3115114911</v>
      </c>
    </row>
    <row r="366" spans="1:12" x14ac:dyDescent="0.25">
      <c r="A366">
        <v>366</v>
      </c>
      <c r="B366" t="s">
        <v>1619</v>
      </c>
      <c r="C366" t="s">
        <v>620</v>
      </c>
      <c r="D366" t="s">
        <v>897</v>
      </c>
      <c r="E366" t="s">
        <v>742</v>
      </c>
      <c r="F366" t="s">
        <v>673</v>
      </c>
      <c r="G366" s="22">
        <v>32301</v>
      </c>
      <c r="H366" s="21">
        <v>33.090410958904108</v>
      </c>
      <c r="I366" t="s">
        <v>1200</v>
      </c>
      <c r="J366" t="s">
        <v>3845</v>
      </c>
      <c r="K366" t="s">
        <v>3846</v>
      </c>
      <c r="L366">
        <v>3115114911</v>
      </c>
    </row>
    <row r="367" spans="1:12" x14ac:dyDescent="0.25">
      <c r="A367">
        <v>367</v>
      </c>
      <c r="B367" t="s">
        <v>2162</v>
      </c>
      <c r="C367" t="s">
        <v>371</v>
      </c>
      <c r="D367" t="s">
        <v>335</v>
      </c>
      <c r="E367" t="s">
        <v>476</v>
      </c>
      <c r="F367" t="s">
        <v>739</v>
      </c>
      <c r="G367" s="22">
        <v>29086</v>
      </c>
      <c r="H367" s="21">
        <v>41.898630136986299</v>
      </c>
      <c r="I367" t="s">
        <v>1360</v>
      </c>
      <c r="J367" t="s">
        <v>2877</v>
      </c>
      <c r="K367" t="s">
        <v>2878</v>
      </c>
      <c r="L367">
        <v>3115114910</v>
      </c>
    </row>
    <row r="368" spans="1:12" x14ac:dyDescent="0.25">
      <c r="A368">
        <v>368</v>
      </c>
      <c r="B368" t="s">
        <v>1620</v>
      </c>
      <c r="C368" t="s">
        <v>6</v>
      </c>
      <c r="D368" t="s">
        <v>8</v>
      </c>
      <c r="E368" t="s">
        <v>477</v>
      </c>
      <c r="F368" t="s">
        <v>783</v>
      </c>
      <c r="G368" s="22">
        <v>30100</v>
      </c>
      <c r="H368" s="21">
        <v>39.12054794520548</v>
      </c>
      <c r="I368" t="s">
        <v>547</v>
      </c>
      <c r="J368" t="s">
        <v>3847</v>
      </c>
      <c r="K368" t="s">
        <v>3848</v>
      </c>
      <c r="L368">
        <v>3115114910</v>
      </c>
    </row>
    <row r="369" spans="1:12" x14ac:dyDescent="0.25">
      <c r="A369">
        <v>369</v>
      </c>
      <c r="B369" t="s">
        <v>2163</v>
      </c>
      <c r="C369" t="s">
        <v>424</v>
      </c>
      <c r="D369" t="s">
        <v>335</v>
      </c>
      <c r="E369" t="s">
        <v>729</v>
      </c>
      <c r="F369" t="s">
        <v>698</v>
      </c>
      <c r="G369" s="22">
        <v>20503</v>
      </c>
      <c r="H369" s="21">
        <v>65.413698630136992</v>
      </c>
      <c r="I369" t="s">
        <v>530</v>
      </c>
      <c r="J369" t="s">
        <v>2879</v>
      </c>
      <c r="K369" t="s">
        <v>2880</v>
      </c>
      <c r="L369">
        <v>3115114909</v>
      </c>
    </row>
    <row r="370" spans="1:12" x14ac:dyDescent="0.25">
      <c r="A370">
        <v>370</v>
      </c>
      <c r="B370" t="s">
        <v>1621</v>
      </c>
      <c r="C370" t="s">
        <v>901</v>
      </c>
      <c r="D370" t="s">
        <v>893</v>
      </c>
      <c r="E370" t="s">
        <v>743</v>
      </c>
      <c r="F370" t="s">
        <v>235</v>
      </c>
      <c r="G370" s="22">
        <v>28689</v>
      </c>
      <c r="H370" s="21">
        <v>42.986301369863014</v>
      </c>
      <c r="I370" t="s">
        <v>1252</v>
      </c>
      <c r="J370" t="s">
        <v>3849</v>
      </c>
      <c r="K370" t="s">
        <v>3850</v>
      </c>
      <c r="L370">
        <v>3115114909</v>
      </c>
    </row>
    <row r="371" spans="1:12" x14ac:dyDescent="0.25">
      <c r="A371">
        <v>371</v>
      </c>
      <c r="B371" t="s">
        <v>2164</v>
      </c>
      <c r="C371" t="s">
        <v>892</v>
      </c>
      <c r="D371" t="s">
        <v>349</v>
      </c>
      <c r="E371" t="s">
        <v>744</v>
      </c>
      <c r="F371" t="s">
        <v>841</v>
      </c>
      <c r="G371" s="22">
        <v>36519</v>
      </c>
      <c r="H371" s="21">
        <v>21.534246575342465</v>
      </c>
      <c r="I371" t="s">
        <v>1361</v>
      </c>
      <c r="J371" t="s">
        <v>2881</v>
      </c>
      <c r="K371" t="s">
        <v>2882</v>
      </c>
      <c r="L371">
        <v>3115060130</v>
      </c>
    </row>
    <row r="372" spans="1:12" x14ac:dyDescent="0.25">
      <c r="A372">
        <v>372</v>
      </c>
      <c r="B372" t="s">
        <v>1622</v>
      </c>
      <c r="C372" t="s">
        <v>919</v>
      </c>
      <c r="D372" t="s">
        <v>894</v>
      </c>
      <c r="E372" t="s">
        <v>99</v>
      </c>
      <c r="F372" t="s">
        <v>715</v>
      </c>
      <c r="G372" s="22">
        <v>37205</v>
      </c>
      <c r="H372" s="21">
        <v>19.654794520547945</v>
      </c>
      <c r="I372" t="s">
        <v>588</v>
      </c>
      <c r="J372" t="s">
        <v>3851</v>
      </c>
      <c r="K372" t="s">
        <v>3852</v>
      </c>
      <c r="L372">
        <v>3115060130</v>
      </c>
    </row>
    <row r="373" spans="1:12" x14ac:dyDescent="0.25">
      <c r="A373">
        <v>373</v>
      </c>
      <c r="B373" t="s">
        <v>2165</v>
      </c>
      <c r="C373" t="s">
        <v>391</v>
      </c>
      <c r="D373" t="s">
        <v>349</v>
      </c>
      <c r="E373" t="s">
        <v>244</v>
      </c>
      <c r="F373" t="s">
        <v>699</v>
      </c>
      <c r="G373" s="22">
        <v>33238</v>
      </c>
      <c r="H373" s="21">
        <v>30.523287671232875</v>
      </c>
      <c r="I373" t="s">
        <v>1347</v>
      </c>
      <c r="J373" t="s">
        <v>2883</v>
      </c>
      <c r="K373" t="s">
        <v>2884</v>
      </c>
      <c r="L373">
        <v>3115060125</v>
      </c>
    </row>
    <row r="374" spans="1:12" x14ac:dyDescent="0.25">
      <c r="A374">
        <v>374</v>
      </c>
      <c r="B374" t="s">
        <v>1623</v>
      </c>
      <c r="C374" t="s">
        <v>920</v>
      </c>
      <c r="D374" t="s">
        <v>6</v>
      </c>
      <c r="E374" t="s">
        <v>220</v>
      </c>
      <c r="F374" t="s">
        <v>799</v>
      </c>
      <c r="G374" s="22">
        <v>27290</v>
      </c>
      <c r="H374" s="21">
        <v>46.819178082191783</v>
      </c>
      <c r="I374" t="s">
        <v>1204</v>
      </c>
      <c r="J374" t="s">
        <v>3853</v>
      </c>
      <c r="K374" t="s">
        <v>3854</v>
      </c>
      <c r="L374">
        <v>3115060125</v>
      </c>
    </row>
    <row r="375" spans="1:12" x14ac:dyDescent="0.25">
      <c r="A375">
        <v>375</v>
      </c>
      <c r="B375" t="s">
        <v>2166</v>
      </c>
      <c r="C375" t="s">
        <v>353</v>
      </c>
      <c r="D375" t="s">
        <v>382</v>
      </c>
      <c r="E375" t="s">
        <v>681</v>
      </c>
      <c r="F375" t="s">
        <v>837</v>
      </c>
      <c r="G375" s="22">
        <v>30470</v>
      </c>
      <c r="H375" s="21">
        <v>38.106849315068494</v>
      </c>
      <c r="I375" t="s">
        <v>609</v>
      </c>
      <c r="J375" t="s">
        <v>2885</v>
      </c>
      <c r="K375" t="s">
        <v>2886</v>
      </c>
      <c r="L375">
        <v>3115060110</v>
      </c>
    </row>
    <row r="376" spans="1:12" x14ac:dyDescent="0.25">
      <c r="A376">
        <v>376</v>
      </c>
      <c r="B376" t="s">
        <v>1624</v>
      </c>
      <c r="C376" t="s">
        <v>908</v>
      </c>
      <c r="D376" t="s">
        <v>19</v>
      </c>
      <c r="E376" t="s">
        <v>744</v>
      </c>
      <c r="F376" t="s">
        <v>471</v>
      </c>
      <c r="G376" s="22">
        <v>35731</v>
      </c>
      <c r="H376" s="21">
        <v>23.693150684931506</v>
      </c>
      <c r="I376" t="s">
        <v>1214</v>
      </c>
      <c r="J376" t="s">
        <v>3855</v>
      </c>
      <c r="K376" t="s">
        <v>3856</v>
      </c>
      <c r="L376">
        <v>3115060110</v>
      </c>
    </row>
    <row r="377" spans="1:12" x14ac:dyDescent="0.25">
      <c r="A377">
        <v>377</v>
      </c>
      <c r="B377" t="s">
        <v>2167</v>
      </c>
      <c r="C377" t="s">
        <v>439</v>
      </c>
      <c r="D377" t="s">
        <v>861</v>
      </c>
      <c r="E377" t="s">
        <v>672</v>
      </c>
      <c r="F377" t="s">
        <v>818</v>
      </c>
      <c r="G377" s="22">
        <v>28240</v>
      </c>
      <c r="H377" s="21">
        <v>44.216438356164382</v>
      </c>
      <c r="I377" t="s">
        <v>547</v>
      </c>
      <c r="J377" t="s">
        <v>2887</v>
      </c>
      <c r="K377" t="s">
        <v>2888</v>
      </c>
      <c r="L377">
        <v>3115060091</v>
      </c>
    </row>
    <row r="378" spans="1:12" x14ac:dyDescent="0.25">
      <c r="A378">
        <v>378</v>
      </c>
      <c r="B378" t="s">
        <v>1625</v>
      </c>
      <c r="C378" t="s">
        <v>903</v>
      </c>
      <c r="D378" t="s">
        <v>620</v>
      </c>
      <c r="E378" t="s">
        <v>221</v>
      </c>
      <c r="F378" t="s">
        <v>681</v>
      </c>
      <c r="G378" s="22">
        <v>29369</v>
      </c>
      <c r="H378" s="21">
        <v>41.123287671232873</v>
      </c>
      <c r="I378" t="s">
        <v>1242</v>
      </c>
      <c r="J378" t="s">
        <v>3857</v>
      </c>
      <c r="K378" t="s">
        <v>3858</v>
      </c>
      <c r="L378">
        <v>3115060091</v>
      </c>
    </row>
    <row r="379" spans="1:12" x14ac:dyDescent="0.25">
      <c r="A379">
        <v>379</v>
      </c>
      <c r="B379" t="s">
        <v>2168</v>
      </c>
      <c r="C379" t="s">
        <v>425</v>
      </c>
      <c r="D379" t="s">
        <v>446</v>
      </c>
      <c r="E379" t="s">
        <v>720</v>
      </c>
      <c r="F379" t="s">
        <v>756</v>
      </c>
      <c r="G379" s="22">
        <v>21625</v>
      </c>
      <c r="H379" s="21">
        <v>62.339726027397262</v>
      </c>
      <c r="I379" t="s">
        <v>558</v>
      </c>
      <c r="J379" t="s">
        <v>2889</v>
      </c>
      <c r="K379" t="s">
        <v>2890</v>
      </c>
      <c r="L379">
        <v>3115060080</v>
      </c>
    </row>
    <row r="380" spans="1:12" x14ac:dyDescent="0.25">
      <c r="A380">
        <v>380</v>
      </c>
      <c r="B380" t="s">
        <v>1626</v>
      </c>
      <c r="C380" t="s">
        <v>900</v>
      </c>
      <c r="D380" t="s">
        <v>6</v>
      </c>
      <c r="E380" t="s">
        <v>745</v>
      </c>
      <c r="F380" t="s">
        <v>736</v>
      </c>
      <c r="G380" s="22">
        <v>37114</v>
      </c>
      <c r="H380" s="21">
        <v>19.904109589041095</v>
      </c>
      <c r="I380" t="s">
        <v>575</v>
      </c>
      <c r="J380" t="s">
        <v>3859</v>
      </c>
      <c r="K380" t="s">
        <v>3860</v>
      </c>
      <c r="L380">
        <v>3115060080</v>
      </c>
    </row>
    <row r="381" spans="1:12" x14ac:dyDescent="0.25">
      <c r="A381">
        <v>381</v>
      </c>
      <c r="B381" t="s">
        <v>2169</v>
      </c>
      <c r="C381" t="s">
        <v>429</v>
      </c>
      <c r="D381" t="s">
        <v>382</v>
      </c>
      <c r="E381" t="s">
        <v>843</v>
      </c>
      <c r="F381" t="s">
        <v>719</v>
      </c>
      <c r="G381" s="22">
        <v>31377</v>
      </c>
      <c r="H381" s="21">
        <v>35.62191780821918</v>
      </c>
      <c r="I381" t="s">
        <v>559</v>
      </c>
      <c r="J381" t="s">
        <v>2891</v>
      </c>
      <c r="K381" t="s">
        <v>2892</v>
      </c>
      <c r="L381">
        <v>3115114385</v>
      </c>
    </row>
    <row r="382" spans="1:12" x14ac:dyDescent="0.25">
      <c r="A382">
        <v>382</v>
      </c>
      <c r="B382" t="s">
        <v>1627</v>
      </c>
      <c r="C382" t="s">
        <v>899</v>
      </c>
      <c r="D382" t="s">
        <v>629</v>
      </c>
      <c r="E382" t="s">
        <v>746</v>
      </c>
      <c r="F382" t="s">
        <v>704</v>
      </c>
      <c r="G382" s="22">
        <v>32863</v>
      </c>
      <c r="H382" s="21">
        <v>31.550684931506851</v>
      </c>
      <c r="I382" t="s">
        <v>606</v>
      </c>
      <c r="J382" t="s">
        <v>3861</v>
      </c>
      <c r="K382" t="s">
        <v>3862</v>
      </c>
      <c r="L382">
        <v>3115114385</v>
      </c>
    </row>
    <row r="383" spans="1:12" x14ac:dyDescent="0.25">
      <c r="A383">
        <v>383</v>
      </c>
      <c r="B383" t="s">
        <v>2170</v>
      </c>
      <c r="C383" t="s">
        <v>431</v>
      </c>
      <c r="D383" t="s">
        <v>379</v>
      </c>
      <c r="E383" t="s">
        <v>679</v>
      </c>
      <c r="F383" t="s">
        <v>764</v>
      </c>
      <c r="G383" s="22">
        <v>30964</v>
      </c>
      <c r="H383" s="21">
        <v>36.753424657534246</v>
      </c>
      <c r="I383" t="s">
        <v>557</v>
      </c>
      <c r="J383" t="s">
        <v>2893</v>
      </c>
      <c r="K383" t="s">
        <v>2894</v>
      </c>
      <c r="L383">
        <v>3115114360</v>
      </c>
    </row>
    <row r="384" spans="1:12" x14ac:dyDescent="0.25">
      <c r="A384">
        <v>384</v>
      </c>
      <c r="B384" t="s">
        <v>1628</v>
      </c>
      <c r="C384" t="s">
        <v>898</v>
      </c>
      <c r="D384" t="s">
        <v>620</v>
      </c>
      <c r="E384" t="s">
        <v>747</v>
      </c>
      <c r="F384" t="s">
        <v>692</v>
      </c>
      <c r="G384" s="22">
        <v>24821</v>
      </c>
      <c r="H384" s="21">
        <v>53.583561643835615</v>
      </c>
      <c r="I384" t="s">
        <v>575</v>
      </c>
      <c r="J384" t="s">
        <v>3863</v>
      </c>
      <c r="K384" t="s">
        <v>3864</v>
      </c>
      <c r="L384">
        <v>3115114360</v>
      </c>
    </row>
    <row r="385" spans="1:12" x14ac:dyDescent="0.25">
      <c r="A385">
        <v>385</v>
      </c>
      <c r="B385" t="s">
        <v>2171</v>
      </c>
      <c r="C385" t="s">
        <v>397</v>
      </c>
      <c r="D385" t="s">
        <v>862</v>
      </c>
      <c r="E385" t="s">
        <v>791</v>
      </c>
      <c r="F385" t="s">
        <v>717</v>
      </c>
      <c r="G385" s="22">
        <v>31768</v>
      </c>
      <c r="H385" s="21">
        <v>34.550684931506851</v>
      </c>
      <c r="I385" t="s">
        <v>607</v>
      </c>
      <c r="J385" t="s">
        <v>2895</v>
      </c>
      <c r="K385" t="s">
        <v>2896</v>
      </c>
      <c r="L385">
        <v>3115093653</v>
      </c>
    </row>
    <row r="386" spans="1:12" x14ac:dyDescent="0.25">
      <c r="A386">
        <v>386</v>
      </c>
      <c r="B386" t="s">
        <v>1629</v>
      </c>
      <c r="C386" t="s">
        <v>6</v>
      </c>
      <c r="D386" t="s">
        <v>620</v>
      </c>
      <c r="E386" t="s">
        <v>748</v>
      </c>
      <c r="F386" t="s">
        <v>243</v>
      </c>
      <c r="G386" s="22">
        <v>34518</v>
      </c>
      <c r="H386" s="21">
        <v>27.016438356164382</v>
      </c>
      <c r="I386" t="s">
        <v>1253</v>
      </c>
      <c r="J386" t="s">
        <v>3865</v>
      </c>
      <c r="K386" t="s">
        <v>3866</v>
      </c>
      <c r="L386">
        <v>3115093653</v>
      </c>
    </row>
    <row r="387" spans="1:12" x14ac:dyDescent="0.25">
      <c r="A387">
        <v>387</v>
      </c>
      <c r="B387" t="s">
        <v>2172</v>
      </c>
      <c r="C387" t="s">
        <v>399</v>
      </c>
      <c r="D387" t="s">
        <v>863</v>
      </c>
      <c r="E387" t="s">
        <v>748</v>
      </c>
      <c r="F387" t="s">
        <v>808</v>
      </c>
      <c r="G387" s="22">
        <v>30376</v>
      </c>
      <c r="H387" s="21">
        <v>38.364383561643834</v>
      </c>
      <c r="I387" t="s">
        <v>599</v>
      </c>
      <c r="J387" t="s">
        <v>2897</v>
      </c>
      <c r="K387" t="s">
        <v>2898</v>
      </c>
      <c r="L387">
        <v>3115093598</v>
      </c>
    </row>
    <row r="388" spans="1:12" x14ac:dyDescent="0.25">
      <c r="A388">
        <v>388</v>
      </c>
      <c r="B388" t="s">
        <v>1630</v>
      </c>
      <c r="C388" t="s">
        <v>24</v>
      </c>
      <c r="D388" t="s">
        <v>50</v>
      </c>
      <c r="E388" t="s">
        <v>749</v>
      </c>
      <c r="F388" t="s">
        <v>745</v>
      </c>
      <c r="G388" s="22">
        <v>36575</v>
      </c>
      <c r="H388" s="21">
        <v>21.38082191780822</v>
      </c>
      <c r="I388" t="s">
        <v>1189</v>
      </c>
      <c r="J388" t="s">
        <v>3867</v>
      </c>
      <c r="K388" t="s">
        <v>3868</v>
      </c>
      <c r="L388">
        <v>3115093598</v>
      </c>
    </row>
    <row r="389" spans="1:12" x14ac:dyDescent="0.25">
      <c r="A389">
        <v>389</v>
      </c>
      <c r="B389" t="s">
        <v>2173</v>
      </c>
      <c r="C389" t="s">
        <v>341</v>
      </c>
      <c r="D389" t="s">
        <v>341</v>
      </c>
      <c r="E389" t="s">
        <v>823</v>
      </c>
      <c r="F389" t="s">
        <v>740</v>
      </c>
      <c r="G389" s="22">
        <v>35343</v>
      </c>
      <c r="H389" s="21">
        <v>24.756164383561643</v>
      </c>
      <c r="I389" t="s">
        <v>598</v>
      </c>
      <c r="J389" t="s">
        <v>2899</v>
      </c>
      <c r="K389" t="s">
        <v>2900</v>
      </c>
      <c r="L389">
        <v>3115093583</v>
      </c>
    </row>
    <row r="390" spans="1:12" x14ac:dyDescent="0.25">
      <c r="A390">
        <v>390</v>
      </c>
      <c r="B390" t="s">
        <v>1631</v>
      </c>
      <c r="C390" t="s">
        <v>313</v>
      </c>
      <c r="D390" t="s">
        <v>13</v>
      </c>
      <c r="E390" t="s">
        <v>750</v>
      </c>
      <c r="F390" t="s">
        <v>221</v>
      </c>
      <c r="G390" s="22">
        <v>36813</v>
      </c>
      <c r="H390" s="21">
        <v>20.728767123287671</v>
      </c>
      <c r="I390" t="s">
        <v>1254</v>
      </c>
      <c r="J390" t="s">
        <v>3869</v>
      </c>
      <c r="K390" t="s">
        <v>3870</v>
      </c>
      <c r="L390">
        <v>3115093583</v>
      </c>
    </row>
    <row r="391" spans="1:12" x14ac:dyDescent="0.25">
      <c r="A391">
        <v>391</v>
      </c>
      <c r="B391" t="s">
        <v>2174</v>
      </c>
      <c r="C391" t="s">
        <v>659</v>
      </c>
      <c r="D391" t="s">
        <v>864</v>
      </c>
      <c r="E391" t="s">
        <v>685</v>
      </c>
      <c r="F391" t="s">
        <v>221</v>
      </c>
      <c r="G391" s="22">
        <v>33675</v>
      </c>
      <c r="H391" s="21">
        <v>29.326027397260273</v>
      </c>
      <c r="I391" t="s">
        <v>541</v>
      </c>
      <c r="J391" t="s">
        <v>2901</v>
      </c>
      <c r="K391" t="s">
        <v>2902</v>
      </c>
      <c r="L391">
        <v>3115092386</v>
      </c>
    </row>
    <row r="392" spans="1:12" x14ac:dyDescent="0.25">
      <c r="A392">
        <v>392</v>
      </c>
      <c r="B392" t="s">
        <v>1632</v>
      </c>
      <c r="C392" t="s">
        <v>143</v>
      </c>
      <c r="D392" t="s">
        <v>923</v>
      </c>
      <c r="E392" t="s">
        <v>751</v>
      </c>
      <c r="F392" t="s">
        <v>763</v>
      </c>
      <c r="G392" s="22">
        <v>34699</v>
      </c>
      <c r="H392" s="21">
        <v>26.520547945205479</v>
      </c>
      <c r="I392" t="s">
        <v>1176</v>
      </c>
      <c r="J392" t="s">
        <v>3871</v>
      </c>
      <c r="K392" t="s">
        <v>3872</v>
      </c>
      <c r="L392">
        <v>3115092386</v>
      </c>
    </row>
    <row r="393" spans="1:12" x14ac:dyDescent="0.25">
      <c r="A393">
        <v>393</v>
      </c>
      <c r="B393" t="s">
        <v>2175</v>
      </c>
      <c r="C393" t="s">
        <v>873</v>
      </c>
      <c r="D393" t="s">
        <v>662</v>
      </c>
      <c r="E393" t="s">
        <v>708</v>
      </c>
      <c r="F393" t="s">
        <v>728</v>
      </c>
      <c r="G393" s="22">
        <v>29010</v>
      </c>
      <c r="H393" s="21">
        <v>42.106849315068494</v>
      </c>
      <c r="I393" t="s">
        <v>605</v>
      </c>
      <c r="J393" t="s">
        <v>2903</v>
      </c>
      <c r="K393" t="s">
        <v>2904</v>
      </c>
      <c r="L393">
        <v>3115092375</v>
      </c>
    </row>
    <row r="394" spans="1:12" x14ac:dyDescent="0.25">
      <c r="A394">
        <v>394</v>
      </c>
      <c r="B394" t="s">
        <v>1633</v>
      </c>
      <c r="C394" t="s">
        <v>924</v>
      </c>
      <c r="D394" t="s">
        <v>299</v>
      </c>
      <c r="E394" t="s">
        <v>752</v>
      </c>
      <c r="F394" t="s">
        <v>820</v>
      </c>
      <c r="G394" s="22">
        <v>31401</v>
      </c>
      <c r="H394" s="21">
        <v>35.556164383561644</v>
      </c>
      <c r="I394" t="s">
        <v>559</v>
      </c>
      <c r="J394" t="s">
        <v>3873</v>
      </c>
      <c r="K394" t="s">
        <v>3874</v>
      </c>
      <c r="L394">
        <v>3115092375</v>
      </c>
    </row>
    <row r="395" spans="1:12" x14ac:dyDescent="0.25">
      <c r="A395">
        <v>395</v>
      </c>
      <c r="B395" t="s">
        <v>2176</v>
      </c>
      <c r="C395" t="s">
        <v>865</v>
      </c>
      <c r="D395" t="s">
        <v>446</v>
      </c>
      <c r="E395" t="s">
        <v>827</v>
      </c>
      <c r="F395" t="s">
        <v>712</v>
      </c>
      <c r="G395" s="22">
        <v>28362</v>
      </c>
      <c r="H395" s="21">
        <v>43.88219178082192</v>
      </c>
      <c r="I395" t="s">
        <v>1362</v>
      </c>
      <c r="J395" t="s">
        <v>2905</v>
      </c>
      <c r="K395" t="s">
        <v>2906</v>
      </c>
      <c r="L395">
        <v>3115092369</v>
      </c>
    </row>
    <row r="396" spans="1:12" x14ac:dyDescent="0.25">
      <c r="A396">
        <v>396</v>
      </c>
      <c r="B396" t="s">
        <v>1634</v>
      </c>
      <c r="C396" t="s">
        <v>622</v>
      </c>
      <c r="D396" t="s">
        <v>17</v>
      </c>
      <c r="E396" t="s">
        <v>753</v>
      </c>
      <c r="F396" t="s">
        <v>844</v>
      </c>
      <c r="G396" s="22">
        <v>27439</v>
      </c>
      <c r="H396" s="21">
        <v>46.410958904109592</v>
      </c>
      <c r="I396" t="s">
        <v>1237</v>
      </c>
      <c r="J396" t="s">
        <v>3875</v>
      </c>
      <c r="K396" t="s">
        <v>3876</v>
      </c>
      <c r="L396">
        <v>3115092369</v>
      </c>
    </row>
    <row r="397" spans="1:12" x14ac:dyDescent="0.25">
      <c r="A397">
        <v>397</v>
      </c>
      <c r="B397" t="s">
        <v>2177</v>
      </c>
      <c r="C397" t="s">
        <v>866</v>
      </c>
      <c r="D397" t="s">
        <v>339</v>
      </c>
      <c r="E397" t="s">
        <v>790</v>
      </c>
      <c r="F397" t="s">
        <v>476</v>
      </c>
      <c r="G397" s="22">
        <v>31057</v>
      </c>
      <c r="H397" s="21">
        <v>36.4986301369863</v>
      </c>
      <c r="I397" t="s">
        <v>569</v>
      </c>
      <c r="J397" t="s">
        <v>2907</v>
      </c>
      <c r="K397" t="s">
        <v>2908</v>
      </c>
      <c r="L397">
        <v>3115092360</v>
      </c>
    </row>
    <row r="398" spans="1:12" x14ac:dyDescent="0.25">
      <c r="A398">
        <v>398</v>
      </c>
      <c r="B398" t="s">
        <v>1635</v>
      </c>
      <c r="C398" t="s">
        <v>925</v>
      </c>
      <c r="D398" t="s">
        <v>159</v>
      </c>
      <c r="E398" t="s">
        <v>754</v>
      </c>
      <c r="F398" t="s">
        <v>732</v>
      </c>
      <c r="G398" s="22">
        <v>24587</v>
      </c>
      <c r="H398" s="21">
        <v>54.224657534246575</v>
      </c>
      <c r="I398" t="s">
        <v>1182</v>
      </c>
      <c r="J398" t="s">
        <v>3877</v>
      </c>
      <c r="K398" t="s">
        <v>3878</v>
      </c>
      <c r="L398">
        <v>3115092360</v>
      </c>
    </row>
    <row r="399" spans="1:12" x14ac:dyDescent="0.25">
      <c r="A399">
        <v>399</v>
      </c>
      <c r="B399" t="s">
        <v>2178</v>
      </c>
      <c r="C399" t="s">
        <v>867</v>
      </c>
      <c r="D399" t="s">
        <v>511</v>
      </c>
      <c r="E399" t="s">
        <v>851</v>
      </c>
      <c r="F399" t="s">
        <v>836</v>
      </c>
      <c r="G399" s="22">
        <v>34793</v>
      </c>
      <c r="H399" s="21">
        <v>26.263013698630136</v>
      </c>
      <c r="I399" t="s">
        <v>556</v>
      </c>
      <c r="J399" t="s">
        <v>2909</v>
      </c>
      <c r="K399" t="s">
        <v>2910</v>
      </c>
      <c r="L399">
        <v>3115092352</v>
      </c>
    </row>
    <row r="400" spans="1:12" x14ac:dyDescent="0.25">
      <c r="A400">
        <v>400</v>
      </c>
      <c r="B400" t="s">
        <v>1636</v>
      </c>
      <c r="C400" t="s">
        <v>198</v>
      </c>
      <c r="D400" t="s">
        <v>31</v>
      </c>
      <c r="E400" t="s">
        <v>755</v>
      </c>
      <c r="F400" t="s">
        <v>702</v>
      </c>
      <c r="G400" s="22">
        <v>24648</v>
      </c>
      <c r="H400" s="21">
        <v>54.057534246575344</v>
      </c>
      <c r="I400" t="s">
        <v>1255</v>
      </c>
      <c r="J400" t="s">
        <v>3879</v>
      </c>
      <c r="K400" t="s">
        <v>3880</v>
      </c>
      <c r="L400">
        <v>3115092352</v>
      </c>
    </row>
    <row r="401" spans="1:12" x14ac:dyDescent="0.25">
      <c r="A401">
        <v>401</v>
      </c>
      <c r="B401" t="s">
        <v>2179</v>
      </c>
      <c r="C401" t="s">
        <v>1092</v>
      </c>
      <c r="D401" t="s">
        <v>382</v>
      </c>
      <c r="E401" t="s">
        <v>848</v>
      </c>
      <c r="F401" t="s">
        <v>803</v>
      </c>
      <c r="G401" s="22">
        <v>26770</v>
      </c>
      <c r="H401" s="21">
        <v>48.243835616438353</v>
      </c>
      <c r="I401" t="s">
        <v>1342</v>
      </c>
      <c r="J401" t="s">
        <v>2911</v>
      </c>
      <c r="K401" t="s">
        <v>2912</v>
      </c>
      <c r="L401">
        <v>3115114930</v>
      </c>
    </row>
    <row r="402" spans="1:12" x14ac:dyDescent="0.25">
      <c r="A402">
        <v>402</v>
      </c>
      <c r="B402" t="s">
        <v>1637</v>
      </c>
      <c r="C402" t="s">
        <v>50</v>
      </c>
      <c r="D402" t="s">
        <v>17</v>
      </c>
      <c r="E402" t="s">
        <v>672</v>
      </c>
      <c r="F402" t="s">
        <v>810</v>
      </c>
      <c r="G402" s="22">
        <v>36939</v>
      </c>
      <c r="H402" s="21">
        <v>20.383561643835616</v>
      </c>
      <c r="I402" t="s">
        <v>1213</v>
      </c>
      <c r="J402" t="s">
        <v>3881</v>
      </c>
      <c r="K402" t="s">
        <v>3882</v>
      </c>
      <c r="L402">
        <v>3115114930</v>
      </c>
    </row>
    <row r="403" spans="1:12" x14ac:dyDescent="0.25">
      <c r="A403">
        <v>403</v>
      </c>
      <c r="B403" t="s">
        <v>2180</v>
      </c>
      <c r="C403" t="s">
        <v>401</v>
      </c>
      <c r="D403" t="s">
        <v>418</v>
      </c>
      <c r="E403" t="s">
        <v>734</v>
      </c>
      <c r="F403" t="s">
        <v>782</v>
      </c>
      <c r="G403" s="22">
        <v>33712</v>
      </c>
      <c r="H403" s="21">
        <v>29.224657534246575</v>
      </c>
      <c r="I403" t="s">
        <v>573</v>
      </c>
      <c r="J403" t="s">
        <v>2913</v>
      </c>
      <c r="K403" t="s">
        <v>2914</v>
      </c>
      <c r="L403">
        <v>3115114916</v>
      </c>
    </row>
    <row r="404" spans="1:12" x14ac:dyDescent="0.25">
      <c r="A404">
        <v>404</v>
      </c>
      <c r="B404" t="s">
        <v>1638</v>
      </c>
      <c r="C404" t="s">
        <v>200</v>
      </c>
      <c r="D404" t="s">
        <v>146</v>
      </c>
      <c r="E404" t="s">
        <v>756</v>
      </c>
      <c r="F404" t="s">
        <v>671</v>
      </c>
      <c r="G404" s="22">
        <v>32385</v>
      </c>
      <c r="H404" s="21">
        <v>32.860273972602741</v>
      </c>
      <c r="I404" t="s">
        <v>1256</v>
      </c>
      <c r="J404" t="s">
        <v>3883</v>
      </c>
      <c r="K404" t="s">
        <v>3884</v>
      </c>
      <c r="L404">
        <v>3115114916</v>
      </c>
    </row>
    <row r="405" spans="1:12" x14ac:dyDescent="0.25">
      <c r="A405">
        <v>405</v>
      </c>
      <c r="B405" t="s">
        <v>2181</v>
      </c>
      <c r="C405" t="s">
        <v>662</v>
      </c>
      <c r="D405" t="s">
        <v>483</v>
      </c>
      <c r="E405" t="s">
        <v>686</v>
      </c>
      <c r="F405" t="s">
        <v>819</v>
      </c>
      <c r="G405" s="22">
        <v>31070</v>
      </c>
      <c r="H405" s="21">
        <v>36.463013698630135</v>
      </c>
      <c r="I405" t="s">
        <v>561</v>
      </c>
      <c r="J405" t="s">
        <v>2915</v>
      </c>
      <c r="K405" t="s">
        <v>2916</v>
      </c>
      <c r="L405">
        <v>3115114911</v>
      </c>
    </row>
    <row r="406" spans="1:12" x14ac:dyDescent="0.25">
      <c r="A406">
        <v>406</v>
      </c>
      <c r="B406" t="s">
        <v>1639</v>
      </c>
      <c r="C406" t="s">
        <v>50</v>
      </c>
      <c r="D406" t="s">
        <v>628</v>
      </c>
      <c r="E406" t="s">
        <v>757</v>
      </c>
      <c r="F406" t="s">
        <v>519</v>
      </c>
      <c r="G406" s="22">
        <v>36359</v>
      </c>
      <c r="H406" s="21">
        <v>21.972602739726028</v>
      </c>
      <c r="I406" t="s">
        <v>1257</v>
      </c>
      <c r="J406" t="s">
        <v>3885</v>
      </c>
      <c r="K406" t="s">
        <v>3886</v>
      </c>
      <c r="L406">
        <v>3115114911</v>
      </c>
    </row>
    <row r="407" spans="1:12" x14ac:dyDescent="0.25">
      <c r="A407">
        <v>407</v>
      </c>
      <c r="B407" t="s">
        <v>2182</v>
      </c>
      <c r="C407" t="s">
        <v>525</v>
      </c>
      <c r="D407" t="s">
        <v>332</v>
      </c>
      <c r="E407" t="s">
        <v>519</v>
      </c>
      <c r="F407" t="s">
        <v>778</v>
      </c>
      <c r="G407" s="22">
        <v>31065</v>
      </c>
      <c r="H407" s="21">
        <v>36.476712328767121</v>
      </c>
      <c r="I407" t="s">
        <v>540</v>
      </c>
      <c r="J407" t="s">
        <v>2917</v>
      </c>
      <c r="K407" t="s">
        <v>2918</v>
      </c>
      <c r="L407">
        <v>3115114910</v>
      </c>
    </row>
    <row r="408" spans="1:12" x14ac:dyDescent="0.25">
      <c r="A408">
        <v>408</v>
      </c>
      <c r="B408" t="s">
        <v>1640</v>
      </c>
      <c r="C408" t="s">
        <v>926</v>
      </c>
      <c r="D408" t="s">
        <v>927</v>
      </c>
      <c r="E408" t="s">
        <v>695</v>
      </c>
      <c r="F408" t="s">
        <v>297</v>
      </c>
      <c r="G408" s="22">
        <v>25991</v>
      </c>
      <c r="H408" s="21">
        <v>50.37808219178082</v>
      </c>
      <c r="I408" t="s">
        <v>1197</v>
      </c>
      <c r="J408" t="s">
        <v>3887</v>
      </c>
      <c r="K408" t="s">
        <v>3888</v>
      </c>
      <c r="L408">
        <v>3115114910</v>
      </c>
    </row>
    <row r="409" spans="1:12" x14ac:dyDescent="0.25">
      <c r="A409">
        <v>409</v>
      </c>
      <c r="B409" t="s">
        <v>2183</v>
      </c>
      <c r="C409" t="s">
        <v>651</v>
      </c>
      <c r="D409" t="s">
        <v>446</v>
      </c>
      <c r="E409" t="s">
        <v>474</v>
      </c>
      <c r="F409" t="s">
        <v>800</v>
      </c>
      <c r="G409" s="22">
        <v>30367</v>
      </c>
      <c r="H409" s="21">
        <v>38.389041095890413</v>
      </c>
      <c r="I409" t="s">
        <v>1363</v>
      </c>
      <c r="J409" t="s">
        <v>2919</v>
      </c>
      <c r="K409" t="s">
        <v>2920</v>
      </c>
      <c r="L409">
        <v>3115114909</v>
      </c>
    </row>
    <row r="410" spans="1:12" x14ac:dyDescent="0.25">
      <c r="A410">
        <v>410</v>
      </c>
      <c r="B410" t="s">
        <v>1641</v>
      </c>
      <c r="C410" t="s">
        <v>37</v>
      </c>
      <c r="D410" t="s">
        <v>18</v>
      </c>
      <c r="E410" t="s">
        <v>758</v>
      </c>
      <c r="F410" t="s">
        <v>734</v>
      </c>
      <c r="G410" s="22">
        <v>37419</v>
      </c>
      <c r="H410" s="21">
        <v>19.068493150684933</v>
      </c>
      <c r="I410" t="s">
        <v>1258</v>
      </c>
      <c r="J410" t="s">
        <v>3889</v>
      </c>
      <c r="K410" t="s">
        <v>3890</v>
      </c>
      <c r="L410">
        <v>3115114909</v>
      </c>
    </row>
    <row r="411" spans="1:12" x14ac:dyDescent="0.25">
      <c r="A411">
        <v>411</v>
      </c>
      <c r="B411" t="s">
        <v>2184</v>
      </c>
      <c r="C411" t="s">
        <v>342</v>
      </c>
      <c r="D411" t="s">
        <v>868</v>
      </c>
      <c r="E411" t="s">
        <v>846</v>
      </c>
      <c r="F411" t="s">
        <v>842</v>
      </c>
      <c r="G411" s="22">
        <v>23934</v>
      </c>
      <c r="H411" s="21">
        <v>56.013698630136986</v>
      </c>
      <c r="I411" t="s">
        <v>1364</v>
      </c>
      <c r="J411" t="s">
        <v>2921</v>
      </c>
      <c r="K411" t="s">
        <v>2922</v>
      </c>
      <c r="L411">
        <v>3115060130</v>
      </c>
    </row>
    <row r="412" spans="1:12" x14ac:dyDescent="0.25">
      <c r="A412">
        <v>412</v>
      </c>
      <c r="B412" t="s">
        <v>1642</v>
      </c>
      <c r="C412" t="s">
        <v>928</v>
      </c>
      <c r="D412" t="s">
        <v>31</v>
      </c>
      <c r="E412" t="s">
        <v>759</v>
      </c>
      <c r="F412" t="s">
        <v>790</v>
      </c>
      <c r="G412" s="22">
        <v>32929</v>
      </c>
      <c r="H412" s="21">
        <v>31.36986301369863</v>
      </c>
      <c r="I412" t="s">
        <v>1259</v>
      </c>
      <c r="J412" t="s">
        <v>3891</v>
      </c>
      <c r="K412" t="s">
        <v>3892</v>
      </c>
      <c r="L412">
        <v>3115060130</v>
      </c>
    </row>
    <row r="413" spans="1:12" x14ac:dyDescent="0.25">
      <c r="A413">
        <v>413</v>
      </c>
      <c r="B413" t="s">
        <v>2185</v>
      </c>
      <c r="C413" t="s">
        <v>351</v>
      </c>
      <c r="D413" t="s">
        <v>1093</v>
      </c>
      <c r="E413" t="s">
        <v>801</v>
      </c>
      <c r="F413" t="s">
        <v>713</v>
      </c>
      <c r="G413" s="22">
        <v>23842</v>
      </c>
      <c r="H413" s="21">
        <v>56.265753424657532</v>
      </c>
      <c r="I413" t="s">
        <v>1365</v>
      </c>
      <c r="J413" t="s">
        <v>2923</v>
      </c>
      <c r="K413" t="s">
        <v>2924</v>
      </c>
      <c r="L413">
        <v>3115060125</v>
      </c>
    </row>
    <row r="414" spans="1:12" x14ac:dyDescent="0.25">
      <c r="A414">
        <v>414</v>
      </c>
      <c r="B414" t="s">
        <v>1643</v>
      </c>
      <c r="C414" t="s">
        <v>929</v>
      </c>
      <c r="D414" t="s">
        <v>146</v>
      </c>
      <c r="E414" t="s">
        <v>685</v>
      </c>
      <c r="F414" t="s">
        <v>706</v>
      </c>
      <c r="G414" s="22">
        <v>27863</v>
      </c>
      <c r="H414" s="21">
        <v>45.249315068493154</v>
      </c>
      <c r="I414" t="s">
        <v>1179</v>
      </c>
      <c r="J414" t="s">
        <v>3893</v>
      </c>
      <c r="K414" t="s">
        <v>3894</v>
      </c>
      <c r="L414">
        <v>3115060125</v>
      </c>
    </row>
    <row r="415" spans="1:12" x14ac:dyDescent="0.25">
      <c r="A415">
        <v>415</v>
      </c>
      <c r="B415" t="s">
        <v>2186</v>
      </c>
      <c r="C415" t="s">
        <v>399</v>
      </c>
      <c r="D415" t="s">
        <v>1094</v>
      </c>
      <c r="E415" t="s">
        <v>726</v>
      </c>
      <c r="F415" t="s">
        <v>850</v>
      </c>
      <c r="G415" s="22">
        <v>24466</v>
      </c>
      <c r="H415" s="21">
        <v>54.556164383561644</v>
      </c>
      <c r="I415" t="s">
        <v>594</v>
      </c>
      <c r="J415" t="s">
        <v>2925</v>
      </c>
      <c r="K415" t="s">
        <v>2926</v>
      </c>
      <c r="L415">
        <v>3115060110</v>
      </c>
    </row>
    <row r="416" spans="1:12" x14ac:dyDescent="0.25">
      <c r="A416">
        <v>416</v>
      </c>
      <c r="B416" t="s">
        <v>1644</v>
      </c>
      <c r="C416" t="s">
        <v>143</v>
      </c>
      <c r="D416" t="s">
        <v>309</v>
      </c>
      <c r="E416" t="s">
        <v>671</v>
      </c>
      <c r="F416" t="s">
        <v>752</v>
      </c>
      <c r="G416" s="22">
        <v>36393</v>
      </c>
      <c r="H416" s="21">
        <v>21.87945205479452</v>
      </c>
      <c r="I416" t="s">
        <v>1260</v>
      </c>
      <c r="J416" t="s">
        <v>3895</v>
      </c>
      <c r="K416" t="s">
        <v>3896</v>
      </c>
      <c r="L416">
        <v>3115060110</v>
      </c>
    </row>
    <row r="417" spans="1:12" x14ac:dyDescent="0.25">
      <c r="A417">
        <v>417</v>
      </c>
      <c r="B417" t="s">
        <v>2187</v>
      </c>
      <c r="C417" t="s">
        <v>369</v>
      </c>
      <c r="D417" t="s">
        <v>494</v>
      </c>
      <c r="E417" t="s">
        <v>744</v>
      </c>
      <c r="F417" t="s">
        <v>751</v>
      </c>
      <c r="G417" s="22">
        <v>23846</v>
      </c>
      <c r="H417" s="21">
        <v>56.254794520547946</v>
      </c>
      <c r="I417" t="s">
        <v>1366</v>
      </c>
      <c r="J417" t="s">
        <v>2927</v>
      </c>
      <c r="K417" t="s">
        <v>2928</v>
      </c>
      <c r="L417">
        <v>3115060091</v>
      </c>
    </row>
    <row r="418" spans="1:12" x14ac:dyDescent="0.25">
      <c r="A418">
        <v>418</v>
      </c>
      <c r="B418" t="s">
        <v>1645</v>
      </c>
      <c r="C418" t="s">
        <v>930</v>
      </c>
      <c r="D418" t="s">
        <v>306</v>
      </c>
      <c r="E418" t="s">
        <v>247</v>
      </c>
      <c r="F418" t="s">
        <v>522</v>
      </c>
      <c r="G418" s="22">
        <v>27766</v>
      </c>
      <c r="H418" s="21">
        <v>45.515068493150686</v>
      </c>
      <c r="I418" t="s">
        <v>569</v>
      </c>
      <c r="J418" t="s">
        <v>3897</v>
      </c>
      <c r="K418" t="s">
        <v>3898</v>
      </c>
      <c r="L418">
        <v>3115060091</v>
      </c>
    </row>
    <row r="419" spans="1:12" x14ac:dyDescent="0.25">
      <c r="A419">
        <v>419</v>
      </c>
      <c r="B419" t="s">
        <v>2188</v>
      </c>
      <c r="C419" t="s">
        <v>342</v>
      </c>
      <c r="D419" t="s">
        <v>371</v>
      </c>
      <c r="E419" t="s">
        <v>824</v>
      </c>
      <c r="F419" t="s">
        <v>731</v>
      </c>
      <c r="G419" s="22">
        <v>24796</v>
      </c>
      <c r="H419" s="21">
        <v>53.652054794520545</v>
      </c>
      <c r="I419" t="s">
        <v>1367</v>
      </c>
      <c r="J419" t="s">
        <v>2929</v>
      </c>
      <c r="K419" t="s">
        <v>2930</v>
      </c>
      <c r="L419">
        <v>3115060080</v>
      </c>
    </row>
    <row r="420" spans="1:12" x14ac:dyDescent="0.25">
      <c r="A420">
        <v>420</v>
      </c>
      <c r="B420" t="s">
        <v>1646</v>
      </c>
      <c r="C420" t="s">
        <v>67</v>
      </c>
      <c r="D420" t="s">
        <v>213</v>
      </c>
      <c r="E420" t="s">
        <v>699</v>
      </c>
      <c r="F420" t="s">
        <v>764</v>
      </c>
      <c r="G420" s="22">
        <v>36237</v>
      </c>
      <c r="H420" s="21">
        <v>22.306849315068494</v>
      </c>
      <c r="I420" t="s">
        <v>1218</v>
      </c>
      <c r="J420" t="s">
        <v>3899</v>
      </c>
      <c r="K420" t="s">
        <v>3900</v>
      </c>
      <c r="L420">
        <v>3115060080</v>
      </c>
    </row>
    <row r="421" spans="1:12" x14ac:dyDescent="0.25">
      <c r="A421">
        <v>421</v>
      </c>
      <c r="B421" t="s">
        <v>2189</v>
      </c>
      <c r="C421" t="s">
        <v>369</v>
      </c>
      <c r="D421" t="s">
        <v>342</v>
      </c>
      <c r="E421" t="s">
        <v>804</v>
      </c>
      <c r="F421" t="s">
        <v>788</v>
      </c>
      <c r="G421" s="22">
        <v>25697</v>
      </c>
      <c r="H421" s="21">
        <v>51.183561643835617</v>
      </c>
      <c r="I421" t="s">
        <v>573</v>
      </c>
      <c r="J421" t="s">
        <v>2931</v>
      </c>
      <c r="K421" t="s">
        <v>2932</v>
      </c>
      <c r="L421">
        <v>3115114385</v>
      </c>
    </row>
    <row r="422" spans="1:12" x14ac:dyDescent="0.25">
      <c r="A422">
        <v>422</v>
      </c>
      <c r="B422" t="s">
        <v>1647</v>
      </c>
      <c r="C422" t="s">
        <v>198</v>
      </c>
      <c r="D422" t="s">
        <v>123</v>
      </c>
      <c r="E422" t="s">
        <v>760</v>
      </c>
      <c r="F422" t="s">
        <v>789</v>
      </c>
      <c r="G422" s="22">
        <v>32708</v>
      </c>
      <c r="H422" s="21">
        <v>31.975342465753425</v>
      </c>
      <c r="I422" t="s">
        <v>1261</v>
      </c>
      <c r="J422" t="s">
        <v>3901</v>
      </c>
      <c r="K422" t="s">
        <v>3902</v>
      </c>
      <c r="L422">
        <v>3115114385</v>
      </c>
    </row>
    <row r="423" spans="1:12" x14ac:dyDescent="0.25">
      <c r="A423">
        <v>423</v>
      </c>
      <c r="B423" t="s">
        <v>2190</v>
      </c>
      <c r="C423" t="s">
        <v>431</v>
      </c>
      <c r="D423" t="s">
        <v>479</v>
      </c>
      <c r="E423" t="s">
        <v>298</v>
      </c>
      <c r="F423" t="s">
        <v>816</v>
      </c>
      <c r="G423" s="22">
        <v>24996</v>
      </c>
      <c r="H423" s="21">
        <v>53.104109589041094</v>
      </c>
      <c r="I423" t="s">
        <v>580</v>
      </c>
      <c r="J423" t="s">
        <v>2933</v>
      </c>
      <c r="K423" t="s">
        <v>2934</v>
      </c>
      <c r="L423">
        <v>3115114360</v>
      </c>
    </row>
    <row r="424" spans="1:12" x14ac:dyDescent="0.25">
      <c r="A424">
        <v>424</v>
      </c>
      <c r="B424" t="s">
        <v>1648</v>
      </c>
      <c r="C424" t="s">
        <v>931</v>
      </c>
      <c r="D424" t="s">
        <v>50</v>
      </c>
      <c r="E424" t="s">
        <v>761</v>
      </c>
      <c r="F424" t="s">
        <v>798</v>
      </c>
      <c r="G424" s="22">
        <v>36588</v>
      </c>
      <c r="H424" s="21">
        <v>21.345205479452055</v>
      </c>
      <c r="I424" t="s">
        <v>1229</v>
      </c>
      <c r="J424" t="s">
        <v>3903</v>
      </c>
      <c r="K424" t="s">
        <v>3904</v>
      </c>
      <c r="L424">
        <v>3115114360</v>
      </c>
    </row>
    <row r="425" spans="1:12" x14ac:dyDescent="0.25">
      <c r="A425">
        <v>425</v>
      </c>
      <c r="B425" t="s">
        <v>2191</v>
      </c>
      <c r="C425" t="s">
        <v>1095</v>
      </c>
      <c r="D425" t="s">
        <v>869</v>
      </c>
      <c r="E425" t="s">
        <v>814</v>
      </c>
      <c r="F425" t="s">
        <v>243</v>
      </c>
      <c r="G425" s="22">
        <v>28970</v>
      </c>
      <c r="H425" s="21">
        <v>42.216438356164382</v>
      </c>
      <c r="I425" t="s">
        <v>606</v>
      </c>
      <c r="J425" t="s">
        <v>2935</v>
      </c>
      <c r="K425" t="s">
        <v>2936</v>
      </c>
      <c r="L425">
        <v>3115093653</v>
      </c>
    </row>
    <row r="426" spans="1:12" x14ac:dyDescent="0.25">
      <c r="A426">
        <v>426</v>
      </c>
      <c r="B426" t="s">
        <v>1649</v>
      </c>
      <c r="C426" t="s">
        <v>25</v>
      </c>
      <c r="D426" t="s">
        <v>306</v>
      </c>
      <c r="E426" t="s">
        <v>244</v>
      </c>
      <c r="F426" t="s">
        <v>774</v>
      </c>
      <c r="G426" s="22">
        <v>31019</v>
      </c>
      <c r="H426" s="21">
        <v>36.602739726027394</v>
      </c>
      <c r="I426" t="s">
        <v>1221</v>
      </c>
      <c r="J426" t="s">
        <v>3905</v>
      </c>
      <c r="K426" t="s">
        <v>3906</v>
      </c>
      <c r="L426">
        <v>3115093653</v>
      </c>
    </row>
    <row r="427" spans="1:12" x14ac:dyDescent="0.25">
      <c r="A427">
        <v>427</v>
      </c>
      <c r="B427" t="s">
        <v>2192</v>
      </c>
      <c r="C427" t="s">
        <v>92</v>
      </c>
      <c r="D427" t="s">
        <v>492</v>
      </c>
      <c r="E427" t="s">
        <v>718</v>
      </c>
      <c r="F427" t="s">
        <v>767</v>
      </c>
      <c r="G427" s="22">
        <v>36181</v>
      </c>
      <c r="H427" s="21">
        <v>22.460273972602739</v>
      </c>
      <c r="I427" t="s">
        <v>536</v>
      </c>
      <c r="J427" t="s">
        <v>2937</v>
      </c>
      <c r="K427" t="s">
        <v>2938</v>
      </c>
      <c r="L427">
        <v>3115093598</v>
      </c>
    </row>
    <row r="428" spans="1:12" x14ac:dyDescent="0.25">
      <c r="A428">
        <v>428</v>
      </c>
      <c r="B428" t="s">
        <v>1650</v>
      </c>
      <c r="C428" t="s">
        <v>143</v>
      </c>
      <c r="D428" t="s">
        <v>38</v>
      </c>
      <c r="E428" t="s">
        <v>707</v>
      </c>
      <c r="F428" t="s">
        <v>834</v>
      </c>
      <c r="G428" s="22">
        <v>33513</v>
      </c>
      <c r="H428" s="21">
        <v>29.769863013698629</v>
      </c>
      <c r="I428" t="s">
        <v>1262</v>
      </c>
      <c r="J428" t="s">
        <v>3907</v>
      </c>
      <c r="K428" t="s">
        <v>3908</v>
      </c>
      <c r="L428">
        <v>3115093598</v>
      </c>
    </row>
    <row r="429" spans="1:12" x14ac:dyDescent="0.25">
      <c r="A429">
        <v>429</v>
      </c>
      <c r="B429" t="s">
        <v>2193</v>
      </c>
      <c r="C429" t="s">
        <v>870</v>
      </c>
      <c r="D429" t="s">
        <v>481</v>
      </c>
      <c r="E429" t="s">
        <v>792</v>
      </c>
      <c r="F429" t="s">
        <v>695</v>
      </c>
      <c r="G429" s="22">
        <v>35166</v>
      </c>
      <c r="H429" s="21">
        <v>25.241095890410961</v>
      </c>
      <c r="I429" t="s">
        <v>1307</v>
      </c>
      <c r="J429" t="s">
        <v>2939</v>
      </c>
      <c r="K429" t="s">
        <v>2940</v>
      </c>
      <c r="L429">
        <v>3115093583</v>
      </c>
    </row>
    <row r="430" spans="1:12" x14ac:dyDescent="0.25">
      <c r="A430">
        <v>430</v>
      </c>
      <c r="B430" t="s">
        <v>1651</v>
      </c>
      <c r="C430" t="s">
        <v>29</v>
      </c>
      <c r="D430" t="s">
        <v>13</v>
      </c>
      <c r="E430" t="s">
        <v>702</v>
      </c>
      <c r="F430" t="s">
        <v>852</v>
      </c>
      <c r="G430" s="22">
        <v>36939</v>
      </c>
      <c r="H430" s="21">
        <v>20.383561643835616</v>
      </c>
      <c r="I430" t="s">
        <v>1218</v>
      </c>
      <c r="J430" t="s">
        <v>3909</v>
      </c>
      <c r="K430" t="s">
        <v>3910</v>
      </c>
      <c r="L430">
        <v>3115093583</v>
      </c>
    </row>
    <row r="431" spans="1:12" x14ac:dyDescent="0.25">
      <c r="A431">
        <v>431</v>
      </c>
      <c r="B431" t="s">
        <v>2194</v>
      </c>
      <c r="C431" t="s">
        <v>507</v>
      </c>
      <c r="D431" t="s">
        <v>413</v>
      </c>
      <c r="E431" t="s">
        <v>746</v>
      </c>
      <c r="F431" t="s">
        <v>733</v>
      </c>
      <c r="G431" s="22">
        <v>32576</v>
      </c>
      <c r="H431" s="21">
        <v>32.336986301369862</v>
      </c>
      <c r="I431" t="s">
        <v>596</v>
      </c>
      <c r="J431" t="s">
        <v>2941</v>
      </c>
      <c r="K431" t="s">
        <v>2942</v>
      </c>
      <c r="L431">
        <v>3115092386</v>
      </c>
    </row>
    <row r="432" spans="1:12" x14ac:dyDescent="0.25">
      <c r="A432">
        <v>432</v>
      </c>
      <c r="B432" t="s">
        <v>1652</v>
      </c>
      <c r="C432" t="s">
        <v>14</v>
      </c>
      <c r="D432" t="s">
        <v>8</v>
      </c>
      <c r="E432" t="s">
        <v>762</v>
      </c>
      <c r="F432" t="s">
        <v>688</v>
      </c>
      <c r="G432" s="22">
        <v>32550</v>
      </c>
      <c r="H432" s="21">
        <v>32.408219178082192</v>
      </c>
      <c r="I432" t="s">
        <v>1263</v>
      </c>
      <c r="J432" t="s">
        <v>3911</v>
      </c>
      <c r="K432" t="s">
        <v>3912</v>
      </c>
      <c r="L432">
        <v>3115092386</v>
      </c>
    </row>
    <row r="433" spans="1:12" x14ac:dyDescent="0.25">
      <c r="A433">
        <v>433</v>
      </c>
      <c r="B433" t="s">
        <v>2195</v>
      </c>
      <c r="C433" t="s">
        <v>871</v>
      </c>
      <c r="D433" t="s">
        <v>659</v>
      </c>
      <c r="E433" t="s">
        <v>721</v>
      </c>
      <c r="F433" t="s">
        <v>244</v>
      </c>
      <c r="G433" s="22">
        <v>21639</v>
      </c>
      <c r="H433" s="21">
        <v>62.301369863013697</v>
      </c>
      <c r="I433" t="s">
        <v>566</v>
      </c>
      <c r="J433" t="s">
        <v>2943</v>
      </c>
      <c r="K433" t="s">
        <v>2944</v>
      </c>
      <c r="L433">
        <v>3115092375</v>
      </c>
    </row>
    <row r="434" spans="1:12" x14ac:dyDescent="0.25">
      <c r="A434">
        <v>434</v>
      </c>
      <c r="B434" t="s">
        <v>1653</v>
      </c>
      <c r="C434" t="s">
        <v>50</v>
      </c>
      <c r="D434" t="s">
        <v>620</v>
      </c>
      <c r="E434" t="s">
        <v>763</v>
      </c>
      <c r="F434" t="s">
        <v>851</v>
      </c>
      <c r="G434" s="22">
        <v>26847</v>
      </c>
      <c r="H434" s="21">
        <v>48.032876712328765</v>
      </c>
      <c r="I434" t="s">
        <v>1264</v>
      </c>
      <c r="J434" t="s">
        <v>3913</v>
      </c>
      <c r="K434" t="s">
        <v>3914</v>
      </c>
      <c r="L434">
        <v>3115092375</v>
      </c>
    </row>
    <row r="435" spans="1:12" x14ac:dyDescent="0.25">
      <c r="A435">
        <v>435</v>
      </c>
      <c r="B435" t="s">
        <v>2196</v>
      </c>
      <c r="C435" t="s">
        <v>1096</v>
      </c>
      <c r="D435" t="s">
        <v>872</v>
      </c>
      <c r="E435" t="s">
        <v>676</v>
      </c>
      <c r="F435" t="s">
        <v>763</v>
      </c>
      <c r="G435" s="22">
        <v>33716</v>
      </c>
      <c r="H435" s="21">
        <v>29.213698630136985</v>
      </c>
      <c r="I435" t="s">
        <v>565</v>
      </c>
      <c r="J435" t="s">
        <v>2945</v>
      </c>
      <c r="K435" t="s">
        <v>2946</v>
      </c>
      <c r="L435">
        <v>3115092369</v>
      </c>
    </row>
    <row r="436" spans="1:12" x14ac:dyDescent="0.25">
      <c r="A436">
        <v>436</v>
      </c>
      <c r="B436" t="s">
        <v>1654</v>
      </c>
      <c r="C436" t="s">
        <v>920</v>
      </c>
      <c r="D436" t="s">
        <v>932</v>
      </c>
      <c r="E436" t="s">
        <v>764</v>
      </c>
      <c r="F436" t="s">
        <v>746</v>
      </c>
      <c r="G436" s="22">
        <v>27004</v>
      </c>
      <c r="H436" s="21">
        <v>47.602739726027394</v>
      </c>
      <c r="I436" t="s">
        <v>1265</v>
      </c>
      <c r="J436" t="s">
        <v>3915</v>
      </c>
      <c r="K436" t="s">
        <v>3916</v>
      </c>
      <c r="L436">
        <v>3115092369</v>
      </c>
    </row>
    <row r="437" spans="1:12" x14ac:dyDescent="0.25">
      <c r="A437">
        <v>437</v>
      </c>
      <c r="B437" t="s">
        <v>2197</v>
      </c>
      <c r="C437" t="s">
        <v>880</v>
      </c>
      <c r="D437" t="s">
        <v>349</v>
      </c>
      <c r="E437" t="s">
        <v>825</v>
      </c>
      <c r="F437" t="s">
        <v>820</v>
      </c>
      <c r="G437" s="22">
        <v>30651</v>
      </c>
      <c r="H437" s="21">
        <v>37.610958904109587</v>
      </c>
      <c r="I437" t="s">
        <v>1167</v>
      </c>
      <c r="J437" t="s">
        <v>2947</v>
      </c>
      <c r="K437" t="s">
        <v>2948</v>
      </c>
      <c r="L437">
        <v>3115092360</v>
      </c>
    </row>
    <row r="438" spans="1:12" x14ac:dyDescent="0.25">
      <c r="A438">
        <v>438</v>
      </c>
      <c r="B438" t="s">
        <v>1655</v>
      </c>
      <c r="C438" t="s">
        <v>198</v>
      </c>
      <c r="D438" t="s">
        <v>195</v>
      </c>
      <c r="E438" t="s">
        <v>765</v>
      </c>
      <c r="F438" t="s">
        <v>814</v>
      </c>
      <c r="G438" s="22">
        <v>28055</v>
      </c>
      <c r="H438" s="21">
        <v>44.723287671232875</v>
      </c>
      <c r="I438" t="s">
        <v>569</v>
      </c>
      <c r="J438" t="s">
        <v>3917</v>
      </c>
      <c r="K438" t="s">
        <v>3918</v>
      </c>
      <c r="L438">
        <v>3115092360</v>
      </c>
    </row>
    <row r="439" spans="1:12" x14ac:dyDescent="0.25">
      <c r="A439">
        <v>439</v>
      </c>
      <c r="B439" t="s">
        <v>2198</v>
      </c>
      <c r="C439" t="s">
        <v>1092</v>
      </c>
      <c r="D439" t="s">
        <v>873</v>
      </c>
      <c r="E439" t="s">
        <v>709</v>
      </c>
      <c r="F439" t="s">
        <v>42</v>
      </c>
      <c r="G439" s="22">
        <v>22570</v>
      </c>
      <c r="H439" s="21">
        <v>59.750684931506846</v>
      </c>
      <c r="I439" t="s">
        <v>570</v>
      </c>
      <c r="J439" t="s">
        <v>2949</v>
      </c>
      <c r="K439" t="s">
        <v>2950</v>
      </c>
      <c r="L439">
        <v>3115092352</v>
      </c>
    </row>
    <row r="440" spans="1:12" x14ac:dyDescent="0.25">
      <c r="A440">
        <v>440</v>
      </c>
      <c r="B440" t="s">
        <v>1656</v>
      </c>
      <c r="C440" t="s">
        <v>165</v>
      </c>
      <c r="D440" t="s">
        <v>897</v>
      </c>
      <c r="E440" t="s">
        <v>766</v>
      </c>
      <c r="F440" t="s">
        <v>684</v>
      </c>
      <c r="G440" s="22">
        <v>26891</v>
      </c>
      <c r="H440" s="21">
        <v>47.912328767123284</v>
      </c>
      <c r="I440" t="s">
        <v>1191</v>
      </c>
      <c r="J440" t="s">
        <v>3919</v>
      </c>
      <c r="K440" t="s">
        <v>3920</v>
      </c>
      <c r="L440">
        <v>3115092352</v>
      </c>
    </row>
    <row r="441" spans="1:12" x14ac:dyDescent="0.25">
      <c r="A441">
        <v>441</v>
      </c>
      <c r="B441" t="s">
        <v>2199</v>
      </c>
      <c r="C441" t="s">
        <v>343</v>
      </c>
      <c r="D441" t="s">
        <v>524</v>
      </c>
      <c r="E441" t="s">
        <v>815</v>
      </c>
      <c r="F441" t="s">
        <v>693</v>
      </c>
      <c r="G441" s="22">
        <v>20846</v>
      </c>
      <c r="H441" s="21">
        <v>64.473972602739721</v>
      </c>
      <c r="I441" t="s">
        <v>1368</v>
      </c>
      <c r="J441" t="s">
        <v>2951</v>
      </c>
      <c r="K441" t="s">
        <v>2952</v>
      </c>
      <c r="L441">
        <v>3115114930</v>
      </c>
    </row>
    <row r="442" spans="1:12" x14ac:dyDescent="0.25">
      <c r="A442">
        <v>442</v>
      </c>
      <c r="B442" t="s">
        <v>1657</v>
      </c>
      <c r="C442" t="s">
        <v>50</v>
      </c>
      <c r="D442" t="s">
        <v>483</v>
      </c>
      <c r="E442" t="s">
        <v>767</v>
      </c>
      <c r="F442" t="s">
        <v>710</v>
      </c>
      <c r="G442" s="22">
        <v>33906</v>
      </c>
      <c r="H442" s="21">
        <v>28.693150684931506</v>
      </c>
      <c r="I442" t="s">
        <v>1266</v>
      </c>
      <c r="J442" t="s">
        <v>3921</v>
      </c>
      <c r="K442" t="s">
        <v>3922</v>
      </c>
      <c r="L442">
        <v>3115114930</v>
      </c>
    </row>
    <row r="443" spans="1:12" x14ac:dyDescent="0.25">
      <c r="A443">
        <v>443</v>
      </c>
      <c r="B443" t="s">
        <v>2200</v>
      </c>
      <c r="C443" t="s">
        <v>409</v>
      </c>
      <c r="D443" t="s">
        <v>874</v>
      </c>
      <c r="E443" t="s">
        <v>682</v>
      </c>
      <c r="F443" t="s">
        <v>732</v>
      </c>
      <c r="G443" s="22">
        <v>27928</v>
      </c>
      <c r="H443" s="21">
        <v>45.07123287671233</v>
      </c>
      <c r="I443" t="s">
        <v>577</v>
      </c>
      <c r="J443" t="s">
        <v>2953</v>
      </c>
      <c r="K443" t="s">
        <v>2954</v>
      </c>
      <c r="L443">
        <v>3115114916</v>
      </c>
    </row>
    <row r="444" spans="1:12" x14ac:dyDescent="0.25">
      <c r="A444">
        <v>444</v>
      </c>
      <c r="B444" t="s">
        <v>1658</v>
      </c>
      <c r="C444" t="s">
        <v>301</v>
      </c>
      <c r="D444" t="s">
        <v>332</v>
      </c>
      <c r="E444" t="s">
        <v>768</v>
      </c>
      <c r="F444" t="s">
        <v>815</v>
      </c>
      <c r="G444" s="22">
        <v>29759</v>
      </c>
      <c r="H444" s="21">
        <v>40.054794520547944</v>
      </c>
      <c r="I444" t="s">
        <v>1177</v>
      </c>
      <c r="J444" t="s">
        <v>3923</v>
      </c>
      <c r="K444" t="s">
        <v>3924</v>
      </c>
      <c r="L444">
        <v>3115114916</v>
      </c>
    </row>
    <row r="445" spans="1:12" x14ac:dyDescent="0.25">
      <c r="A445">
        <v>445</v>
      </c>
      <c r="B445" t="s">
        <v>2201</v>
      </c>
      <c r="C445" t="s">
        <v>505</v>
      </c>
      <c r="D445" t="s">
        <v>875</v>
      </c>
      <c r="E445" t="s">
        <v>477</v>
      </c>
      <c r="F445" t="s">
        <v>772</v>
      </c>
      <c r="G445" s="22">
        <v>32662</v>
      </c>
      <c r="H445" s="21">
        <v>32.101369863013701</v>
      </c>
      <c r="I445" t="s">
        <v>1369</v>
      </c>
      <c r="J445" t="s">
        <v>2955</v>
      </c>
      <c r="K445" t="s">
        <v>2956</v>
      </c>
      <c r="L445">
        <v>3115114911</v>
      </c>
    </row>
    <row r="446" spans="1:12" x14ac:dyDescent="0.25">
      <c r="A446">
        <v>446</v>
      </c>
      <c r="B446" t="s">
        <v>1659</v>
      </c>
      <c r="C446" t="s">
        <v>140</v>
      </c>
      <c r="D446" t="s">
        <v>933</v>
      </c>
      <c r="E446" t="s">
        <v>769</v>
      </c>
      <c r="F446" t="s">
        <v>847</v>
      </c>
      <c r="G446" s="22">
        <v>35320</v>
      </c>
      <c r="H446" s="21">
        <v>24.81917808219178</v>
      </c>
      <c r="I446" t="s">
        <v>1267</v>
      </c>
      <c r="J446" t="s">
        <v>3925</v>
      </c>
      <c r="K446" t="s">
        <v>3926</v>
      </c>
      <c r="L446">
        <v>3115114911</v>
      </c>
    </row>
    <row r="447" spans="1:12" x14ac:dyDescent="0.25">
      <c r="A447">
        <v>447</v>
      </c>
      <c r="B447" t="s">
        <v>2202</v>
      </c>
      <c r="C447" t="s">
        <v>1097</v>
      </c>
      <c r="D447" t="s">
        <v>866</v>
      </c>
      <c r="E447" t="s">
        <v>722</v>
      </c>
      <c r="F447" t="s">
        <v>737</v>
      </c>
      <c r="G447" s="22">
        <v>27071</v>
      </c>
      <c r="H447" s="21">
        <v>47.419178082191777</v>
      </c>
      <c r="I447" t="s">
        <v>1370</v>
      </c>
      <c r="J447" t="s">
        <v>2957</v>
      </c>
      <c r="K447" t="s">
        <v>2958</v>
      </c>
      <c r="L447">
        <v>3115114910</v>
      </c>
    </row>
    <row r="448" spans="1:12" x14ac:dyDescent="0.25">
      <c r="A448">
        <v>448</v>
      </c>
      <c r="B448" t="s">
        <v>1660</v>
      </c>
      <c r="C448" t="s">
        <v>934</v>
      </c>
      <c r="D448" t="s">
        <v>31</v>
      </c>
      <c r="E448" t="s">
        <v>770</v>
      </c>
      <c r="F448" t="s">
        <v>225</v>
      </c>
      <c r="G448" s="22">
        <v>32490</v>
      </c>
      <c r="H448" s="21">
        <v>32.57260273972603</v>
      </c>
      <c r="I448" t="s">
        <v>569</v>
      </c>
      <c r="J448" t="s">
        <v>3927</v>
      </c>
      <c r="K448" t="s">
        <v>3928</v>
      </c>
      <c r="L448">
        <v>3115114910</v>
      </c>
    </row>
    <row r="449" spans="1:12" x14ac:dyDescent="0.25">
      <c r="A449">
        <v>449</v>
      </c>
      <c r="B449" t="s">
        <v>2203</v>
      </c>
      <c r="C449" t="s">
        <v>409</v>
      </c>
      <c r="D449" t="s">
        <v>876</v>
      </c>
      <c r="E449" t="s">
        <v>297</v>
      </c>
      <c r="F449" t="s">
        <v>765</v>
      </c>
      <c r="G449" s="22">
        <v>34223</v>
      </c>
      <c r="H449" s="21">
        <v>27.824657534246576</v>
      </c>
      <c r="I449" t="s">
        <v>547</v>
      </c>
      <c r="J449" t="s">
        <v>2959</v>
      </c>
      <c r="K449" t="s">
        <v>2960</v>
      </c>
      <c r="L449">
        <v>3115114909</v>
      </c>
    </row>
    <row r="450" spans="1:12" x14ac:dyDescent="0.25">
      <c r="A450">
        <v>450</v>
      </c>
      <c r="B450" t="s">
        <v>1661</v>
      </c>
      <c r="C450" t="s">
        <v>19</v>
      </c>
      <c r="D450" t="s">
        <v>304</v>
      </c>
      <c r="E450" t="s">
        <v>771</v>
      </c>
      <c r="F450" t="s">
        <v>698</v>
      </c>
      <c r="G450" s="22">
        <v>27589</v>
      </c>
      <c r="H450" s="21">
        <v>46</v>
      </c>
      <c r="I450" t="s">
        <v>1183</v>
      </c>
      <c r="J450" t="s">
        <v>3929</v>
      </c>
      <c r="K450" t="s">
        <v>3930</v>
      </c>
      <c r="L450">
        <v>3115114909</v>
      </c>
    </row>
    <row r="451" spans="1:12" x14ac:dyDescent="0.25">
      <c r="A451">
        <v>451</v>
      </c>
      <c r="B451" t="s">
        <v>2204</v>
      </c>
      <c r="C451" t="s">
        <v>667</v>
      </c>
      <c r="D451" t="s">
        <v>349</v>
      </c>
      <c r="E451" t="s">
        <v>832</v>
      </c>
      <c r="F451" t="s">
        <v>456</v>
      </c>
      <c r="G451" s="22">
        <v>30595</v>
      </c>
      <c r="H451" s="21">
        <v>37.764383561643832</v>
      </c>
      <c r="I451" t="s">
        <v>1371</v>
      </c>
      <c r="J451" t="s">
        <v>2961</v>
      </c>
      <c r="K451" t="s">
        <v>2962</v>
      </c>
      <c r="L451">
        <v>3115060130</v>
      </c>
    </row>
    <row r="452" spans="1:12" x14ac:dyDescent="0.25">
      <c r="A452">
        <v>452</v>
      </c>
      <c r="B452" t="s">
        <v>1662</v>
      </c>
      <c r="C452" t="s">
        <v>24</v>
      </c>
      <c r="D452" t="s">
        <v>7</v>
      </c>
      <c r="E452" t="s">
        <v>677</v>
      </c>
      <c r="F452" t="s">
        <v>770</v>
      </c>
      <c r="G452" s="22">
        <v>30277</v>
      </c>
      <c r="H452" s="21">
        <v>38.635616438356166</v>
      </c>
      <c r="I452" t="s">
        <v>1204</v>
      </c>
      <c r="J452" t="s">
        <v>3931</v>
      </c>
      <c r="K452" t="s">
        <v>3932</v>
      </c>
      <c r="L452">
        <v>3115060130</v>
      </c>
    </row>
    <row r="453" spans="1:12" x14ac:dyDescent="0.25">
      <c r="A453">
        <v>453</v>
      </c>
      <c r="B453" t="s">
        <v>2205</v>
      </c>
      <c r="C453" t="s">
        <v>1098</v>
      </c>
      <c r="D453" t="s">
        <v>347</v>
      </c>
      <c r="E453" t="s">
        <v>768</v>
      </c>
      <c r="F453" t="s">
        <v>789</v>
      </c>
      <c r="G453" s="22">
        <v>22935</v>
      </c>
      <c r="H453" s="21">
        <v>58.750684931506846</v>
      </c>
      <c r="I453" t="s">
        <v>591</v>
      </c>
      <c r="J453" t="s">
        <v>2963</v>
      </c>
      <c r="K453" t="s">
        <v>2964</v>
      </c>
      <c r="L453">
        <v>3115060125</v>
      </c>
    </row>
    <row r="454" spans="1:12" x14ac:dyDescent="0.25">
      <c r="A454">
        <v>454</v>
      </c>
      <c r="B454" t="s">
        <v>1663</v>
      </c>
      <c r="C454" t="s">
        <v>935</v>
      </c>
      <c r="D454" t="s">
        <v>18</v>
      </c>
      <c r="E454" t="s">
        <v>519</v>
      </c>
      <c r="F454" t="s">
        <v>716</v>
      </c>
      <c r="G454" s="22">
        <v>36774</v>
      </c>
      <c r="H454" s="21">
        <v>20.835616438356166</v>
      </c>
      <c r="I454" t="s">
        <v>1225</v>
      </c>
      <c r="J454" t="s">
        <v>3933</v>
      </c>
      <c r="K454" t="s">
        <v>3934</v>
      </c>
      <c r="L454">
        <v>3115060125</v>
      </c>
    </row>
    <row r="455" spans="1:12" x14ac:dyDescent="0.25">
      <c r="A455">
        <v>455</v>
      </c>
      <c r="B455" t="s">
        <v>2206</v>
      </c>
      <c r="C455" t="s">
        <v>347</v>
      </c>
      <c r="D455" t="s">
        <v>1099</v>
      </c>
      <c r="E455" t="s">
        <v>834</v>
      </c>
      <c r="F455" t="s">
        <v>711</v>
      </c>
      <c r="G455" s="22">
        <v>25184</v>
      </c>
      <c r="H455" s="21">
        <v>52.589041095890408</v>
      </c>
      <c r="I455" t="s">
        <v>586</v>
      </c>
      <c r="J455" t="s">
        <v>2965</v>
      </c>
      <c r="K455" t="s">
        <v>2966</v>
      </c>
      <c r="L455">
        <v>3115060110</v>
      </c>
    </row>
    <row r="456" spans="1:12" x14ac:dyDescent="0.25">
      <c r="A456">
        <v>456</v>
      </c>
      <c r="B456" t="s">
        <v>1664</v>
      </c>
      <c r="C456" t="s">
        <v>10</v>
      </c>
      <c r="D456" t="s">
        <v>159</v>
      </c>
      <c r="E456" t="s">
        <v>772</v>
      </c>
      <c r="F456" t="s">
        <v>687</v>
      </c>
      <c r="G456" s="22">
        <v>37582</v>
      </c>
      <c r="H456" s="21">
        <v>18.621917808219177</v>
      </c>
      <c r="I456" t="s">
        <v>1193</v>
      </c>
      <c r="J456" t="s">
        <v>3935</v>
      </c>
      <c r="K456" t="s">
        <v>3936</v>
      </c>
      <c r="L456">
        <v>3115060110</v>
      </c>
    </row>
    <row r="457" spans="1:12" x14ac:dyDescent="0.25">
      <c r="A457">
        <v>457</v>
      </c>
      <c r="B457" t="s">
        <v>2207</v>
      </c>
      <c r="C457" t="s">
        <v>662</v>
      </c>
      <c r="D457" t="s">
        <v>333</v>
      </c>
      <c r="E457" t="s">
        <v>812</v>
      </c>
      <c r="F457" t="s">
        <v>729</v>
      </c>
      <c r="G457" s="22">
        <v>30545</v>
      </c>
      <c r="H457" s="21">
        <v>37.901369863013699</v>
      </c>
      <c r="I457" t="s">
        <v>1280</v>
      </c>
      <c r="J457" t="s">
        <v>2967</v>
      </c>
      <c r="K457" t="s">
        <v>2968</v>
      </c>
      <c r="L457">
        <v>3115060091</v>
      </c>
    </row>
    <row r="458" spans="1:12" x14ac:dyDescent="0.25">
      <c r="A458">
        <v>458</v>
      </c>
      <c r="B458" t="s">
        <v>1665</v>
      </c>
      <c r="C458" t="s">
        <v>926</v>
      </c>
      <c r="D458" t="s">
        <v>936</v>
      </c>
      <c r="E458" t="s">
        <v>673</v>
      </c>
      <c r="F458" t="s">
        <v>771</v>
      </c>
      <c r="G458" s="22">
        <v>34232</v>
      </c>
      <c r="H458" s="21">
        <v>27.8</v>
      </c>
      <c r="I458" t="s">
        <v>1197</v>
      </c>
      <c r="J458" t="s">
        <v>3937</v>
      </c>
      <c r="K458" t="s">
        <v>3938</v>
      </c>
      <c r="L458">
        <v>3115060091</v>
      </c>
    </row>
    <row r="459" spans="1:12" x14ac:dyDescent="0.25">
      <c r="A459">
        <v>459</v>
      </c>
      <c r="B459" t="s">
        <v>2208</v>
      </c>
      <c r="C459" t="s">
        <v>488</v>
      </c>
      <c r="D459" t="s">
        <v>387</v>
      </c>
      <c r="E459" t="s">
        <v>706</v>
      </c>
      <c r="F459" t="s">
        <v>235</v>
      </c>
      <c r="G459" s="22">
        <v>28461</v>
      </c>
      <c r="H459" s="21">
        <v>43.610958904109587</v>
      </c>
      <c r="I459" t="s">
        <v>596</v>
      </c>
      <c r="J459" t="s">
        <v>2969</v>
      </c>
      <c r="K459" t="s">
        <v>2970</v>
      </c>
      <c r="L459">
        <v>3115060080</v>
      </c>
    </row>
    <row r="460" spans="1:12" x14ac:dyDescent="0.25">
      <c r="A460">
        <v>460</v>
      </c>
      <c r="B460" t="s">
        <v>1666</v>
      </c>
      <c r="C460" t="s">
        <v>9</v>
      </c>
      <c r="D460" t="s">
        <v>36</v>
      </c>
      <c r="E460" t="s">
        <v>773</v>
      </c>
      <c r="F460" t="s">
        <v>683</v>
      </c>
      <c r="G460" s="22">
        <v>29984</v>
      </c>
      <c r="H460" s="21">
        <v>39.438356164383563</v>
      </c>
      <c r="I460" t="s">
        <v>1178</v>
      </c>
      <c r="J460" t="s">
        <v>3939</v>
      </c>
      <c r="K460" t="s">
        <v>3940</v>
      </c>
      <c r="L460">
        <v>3115060080</v>
      </c>
    </row>
    <row r="461" spans="1:12" x14ac:dyDescent="0.25">
      <c r="A461">
        <v>461</v>
      </c>
      <c r="B461" t="s">
        <v>2209</v>
      </c>
      <c r="C461" t="s">
        <v>391</v>
      </c>
      <c r="D461" t="s">
        <v>332</v>
      </c>
      <c r="E461" t="s">
        <v>802</v>
      </c>
      <c r="F461" t="s">
        <v>736</v>
      </c>
      <c r="G461" s="22">
        <v>30102</v>
      </c>
      <c r="H461" s="21">
        <v>39.115068493150687</v>
      </c>
      <c r="I461" t="s">
        <v>1372</v>
      </c>
      <c r="J461" t="s">
        <v>2971</v>
      </c>
      <c r="K461" t="s">
        <v>2972</v>
      </c>
      <c r="L461">
        <v>3115114385</v>
      </c>
    </row>
    <row r="462" spans="1:12" x14ac:dyDescent="0.25">
      <c r="A462">
        <v>462</v>
      </c>
      <c r="B462" t="s">
        <v>1667</v>
      </c>
      <c r="C462" t="s">
        <v>937</v>
      </c>
      <c r="D462" t="s">
        <v>938</v>
      </c>
      <c r="E462" t="s">
        <v>774</v>
      </c>
      <c r="F462" t="s">
        <v>828</v>
      </c>
      <c r="G462" s="22">
        <v>31186</v>
      </c>
      <c r="H462" s="21">
        <v>36.145205479452052</v>
      </c>
      <c r="I462" t="s">
        <v>1229</v>
      </c>
      <c r="J462" t="s">
        <v>3941</v>
      </c>
      <c r="K462" t="s">
        <v>3942</v>
      </c>
      <c r="L462">
        <v>3115114385</v>
      </c>
    </row>
    <row r="463" spans="1:12" x14ac:dyDescent="0.25">
      <c r="A463">
        <v>463</v>
      </c>
      <c r="B463" t="s">
        <v>2210</v>
      </c>
      <c r="C463" t="s">
        <v>439</v>
      </c>
      <c r="D463" t="s">
        <v>483</v>
      </c>
      <c r="E463" t="s">
        <v>754</v>
      </c>
      <c r="F463" t="s">
        <v>687</v>
      </c>
      <c r="G463" s="22">
        <v>29803</v>
      </c>
      <c r="H463" s="21">
        <v>39.934246575342463</v>
      </c>
      <c r="I463" t="s">
        <v>1373</v>
      </c>
      <c r="J463" t="s">
        <v>2973</v>
      </c>
      <c r="K463" t="s">
        <v>2974</v>
      </c>
      <c r="L463">
        <v>3115114360</v>
      </c>
    </row>
    <row r="464" spans="1:12" x14ac:dyDescent="0.25">
      <c r="A464">
        <v>464</v>
      </c>
      <c r="B464" t="s">
        <v>1668</v>
      </c>
      <c r="C464" t="s">
        <v>939</v>
      </c>
      <c r="D464" t="s">
        <v>940</v>
      </c>
      <c r="E464" t="s">
        <v>775</v>
      </c>
      <c r="F464" t="s">
        <v>477</v>
      </c>
      <c r="G464" s="22">
        <v>37204</v>
      </c>
      <c r="H464" s="21">
        <v>19.657534246575342</v>
      </c>
      <c r="I464" t="s">
        <v>1253</v>
      </c>
      <c r="J464" t="s">
        <v>3943</v>
      </c>
      <c r="K464" t="s">
        <v>3944</v>
      </c>
      <c r="L464">
        <v>3115114360</v>
      </c>
    </row>
    <row r="465" spans="1:12" x14ac:dyDescent="0.25">
      <c r="A465">
        <v>465</v>
      </c>
      <c r="B465" t="s">
        <v>2211</v>
      </c>
      <c r="C465" t="s">
        <v>877</v>
      </c>
      <c r="D465" t="s">
        <v>1100</v>
      </c>
      <c r="E465" t="s">
        <v>742</v>
      </c>
      <c r="F465" t="s">
        <v>783</v>
      </c>
      <c r="G465" s="22">
        <v>23647</v>
      </c>
      <c r="H465" s="21">
        <v>56.8</v>
      </c>
      <c r="I465" t="s">
        <v>591</v>
      </c>
      <c r="J465" t="s">
        <v>2975</v>
      </c>
      <c r="K465" t="s">
        <v>2976</v>
      </c>
      <c r="L465">
        <v>3115093653</v>
      </c>
    </row>
    <row r="466" spans="1:12" x14ac:dyDescent="0.25">
      <c r="A466">
        <v>466</v>
      </c>
      <c r="B466" t="s">
        <v>1669</v>
      </c>
      <c r="C466" t="s">
        <v>941</v>
      </c>
      <c r="D466" t="s">
        <v>218</v>
      </c>
      <c r="E466" t="s">
        <v>776</v>
      </c>
      <c r="F466" t="s">
        <v>797</v>
      </c>
      <c r="G466" s="22">
        <v>30169</v>
      </c>
      <c r="H466" s="21">
        <v>38.93150684931507</v>
      </c>
      <c r="I466" t="s">
        <v>1185</v>
      </c>
      <c r="J466" t="s">
        <v>3945</v>
      </c>
      <c r="K466" t="s">
        <v>3946</v>
      </c>
      <c r="L466">
        <v>3115093653</v>
      </c>
    </row>
    <row r="467" spans="1:12" x14ac:dyDescent="0.25">
      <c r="A467">
        <v>467</v>
      </c>
      <c r="B467" t="s">
        <v>2212</v>
      </c>
      <c r="C467" t="s">
        <v>92</v>
      </c>
      <c r="D467" t="s">
        <v>878</v>
      </c>
      <c r="E467" t="s">
        <v>839</v>
      </c>
      <c r="F467" t="s">
        <v>692</v>
      </c>
      <c r="G467" s="22">
        <v>24890</v>
      </c>
      <c r="H467" s="21">
        <v>53.394520547945206</v>
      </c>
      <c r="I467" t="s">
        <v>1374</v>
      </c>
      <c r="J467" t="s">
        <v>2977</v>
      </c>
      <c r="K467" t="s">
        <v>2978</v>
      </c>
      <c r="L467">
        <v>3115093598</v>
      </c>
    </row>
    <row r="468" spans="1:12" x14ac:dyDescent="0.25">
      <c r="A468">
        <v>468</v>
      </c>
      <c r="B468" t="s">
        <v>1670</v>
      </c>
      <c r="C468" t="s">
        <v>942</v>
      </c>
      <c r="D468" t="s">
        <v>7</v>
      </c>
      <c r="E468" t="s">
        <v>777</v>
      </c>
      <c r="F468" t="s">
        <v>825</v>
      </c>
      <c r="G468" s="22">
        <v>26220</v>
      </c>
      <c r="H468" s="21">
        <v>49.750684931506846</v>
      </c>
      <c r="I468" t="s">
        <v>606</v>
      </c>
      <c r="J468" t="s">
        <v>3947</v>
      </c>
      <c r="K468" t="s">
        <v>3948</v>
      </c>
      <c r="L468">
        <v>3115093598</v>
      </c>
    </row>
    <row r="469" spans="1:12" x14ac:dyDescent="0.25">
      <c r="A469">
        <v>469</v>
      </c>
      <c r="B469" t="s">
        <v>2213</v>
      </c>
      <c r="C469" t="s">
        <v>351</v>
      </c>
      <c r="D469" t="s">
        <v>487</v>
      </c>
      <c r="E469" t="s">
        <v>752</v>
      </c>
      <c r="F469" t="s">
        <v>702</v>
      </c>
      <c r="G469" s="22">
        <v>22599</v>
      </c>
      <c r="H469" s="21">
        <v>59.671232876712331</v>
      </c>
      <c r="I469" t="s">
        <v>584</v>
      </c>
      <c r="J469" t="s">
        <v>2979</v>
      </c>
      <c r="K469" t="s">
        <v>2980</v>
      </c>
      <c r="L469">
        <v>3115093583</v>
      </c>
    </row>
    <row r="470" spans="1:12" x14ac:dyDescent="0.25">
      <c r="A470">
        <v>470</v>
      </c>
      <c r="B470" t="s">
        <v>1671</v>
      </c>
      <c r="C470" t="s">
        <v>198</v>
      </c>
      <c r="D470" t="s">
        <v>195</v>
      </c>
      <c r="E470" t="s">
        <v>778</v>
      </c>
      <c r="F470" t="s">
        <v>816</v>
      </c>
      <c r="G470" s="22">
        <v>37344</v>
      </c>
      <c r="H470" s="21">
        <v>19.273972602739725</v>
      </c>
      <c r="I470" t="s">
        <v>575</v>
      </c>
      <c r="J470" t="s">
        <v>3949</v>
      </c>
      <c r="K470" t="s">
        <v>3950</v>
      </c>
      <c r="L470">
        <v>3115093583</v>
      </c>
    </row>
    <row r="471" spans="1:12" x14ac:dyDescent="0.25">
      <c r="A471">
        <v>471</v>
      </c>
      <c r="B471" t="s">
        <v>2214</v>
      </c>
      <c r="C471" t="s">
        <v>879</v>
      </c>
      <c r="D471" t="s">
        <v>660</v>
      </c>
      <c r="E471" t="s">
        <v>817</v>
      </c>
      <c r="F471" t="s">
        <v>822</v>
      </c>
      <c r="G471" s="22">
        <v>37306</v>
      </c>
      <c r="H471" s="21">
        <v>19.378082191780823</v>
      </c>
      <c r="I471" t="s">
        <v>1375</v>
      </c>
      <c r="J471" t="s">
        <v>2981</v>
      </c>
      <c r="K471" t="s">
        <v>2982</v>
      </c>
      <c r="L471">
        <v>3115092386</v>
      </c>
    </row>
    <row r="472" spans="1:12" x14ac:dyDescent="0.25">
      <c r="A472">
        <v>472</v>
      </c>
      <c r="B472" t="s">
        <v>1672</v>
      </c>
      <c r="C472" t="s">
        <v>24</v>
      </c>
      <c r="D472" t="s">
        <v>306</v>
      </c>
      <c r="E472" t="s">
        <v>779</v>
      </c>
      <c r="F472" t="s">
        <v>760</v>
      </c>
      <c r="G472" s="22">
        <v>28354</v>
      </c>
      <c r="H472" s="21">
        <v>43.904109589041099</v>
      </c>
      <c r="I472" t="s">
        <v>580</v>
      </c>
      <c r="J472" t="s">
        <v>3951</v>
      </c>
      <c r="K472" t="s">
        <v>3952</v>
      </c>
      <c r="L472">
        <v>3115092386</v>
      </c>
    </row>
    <row r="473" spans="1:12" x14ac:dyDescent="0.25">
      <c r="A473">
        <v>473</v>
      </c>
      <c r="B473" t="s">
        <v>2215</v>
      </c>
      <c r="C473" t="s">
        <v>1101</v>
      </c>
      <c r="D473" t="s">
        <v>448</v>
      </c>
      <c r="E473" t="s">
        <v>829</v>
      </c>
      <c r="F473" t="s">
        <v>762</v>
      </c>
      <c r="G473" s="22">
        <v>23147</v>
      </c>
      <c r="H473" s="21">
        <v>58.169863013698631</v>
      </c>
      <c r="I473" t="s">
        <v>564</v>
      </c>
      <c r="J473" t="s">
        <v>2983</v>
      </c>
      <c r="K473" t="s">
        <v>2984</v>
      </c>
      <c r="L473">
        <v>3115092375</v>
      </c>
    </row>
    <row r="474" spans="1:12" x14ac:dyDescent="0.25">
      <c r="A474">
        <v>474</v>
      </c>
      <c r="B474" t="s">
        <v>1673</v>
      </c>
      <c r="C474" t="s">
        <v>204</v>
      </c>
      <c r="D474" t="s">
        <v>50</v>
      </c>
      <c r="E474" t="s">
        <v>780</v>
      </c>
      <c r="F474" t="s">
        <v>701</v>
      </c>
      <c r="G474" s="22">
        <v>26916</v>
      </c>
      <c r="H474" s="21">
        <v>47.843835616438355</v>
      </c>
      <c r="I474" t="s">
        <v>1252</v>
      </c>
      <c r="J474" t="s">
        <v>3953</v>
      </c>
      <c r="K474" t="s">
        <v>3954</v>
      </c>
      <c r="L474">
        <v>3115092375</v>
      </c>
    </row>
    <row r="475" spans="1:12" x14ac:dyDescent="0.25">
      <c r="A475">
        <v>475</v>
      </c>
      <c r="B475" t="s">
        <v>2216</v>
      </c>
      <c r="C475" t="s">
        <v>341</v>
      </c>
      <c r="D475" t="s">
        <v>365</v>
      </c>
      <c r="E475" t="s">
        <v>470</v>
      </c>
      <c r="F475" t="s">
        <v>220</v>
      </c>
      <c r="G475" s="22">
        <v>30663</v>
      </c>
      <c r="H475" s="21">
        <v>37.578082191780823</v>
      </c>
      <c r="I475" t="s">
        <v>1376</v>
      </c>
      <c r="J475" t="s">
        <v>2985</v>
      </c>
      <c r="K475" t="s">
        <v>2986</v>
      </c>
      <c r="L475">
        <v>3115092369</v>
      </c>
    </row>
    <row r="476" spans="1:12" x14ac:dyDescent="0.25">
      <c r="A476">
        <v>476</v>
      </c>
      <c r="B476" t="s">
        <v>1674</v>
      </c>
      <c r="C476" t="s">
        <v>30</v>
      </c>
      <c r="D476" t="s">
        <v>620</v>
      </c>
      <c r="E476" t="s">
        <v>781</v>
      </c>
      <c r="F476" t="s">
        <v>755</v>
      </c>
      <c r="G476" s="22">
        <v>37342</v>
      </c>
      <c r="H476" s="21">
        <v>19.279452054794522</v>
      </c>
      <c r="I476" t="s">
        <v>1246</v>
      </c>
      <c r="J476" t="s">
        <v>3955</v>
      </c>
      <c r="K476" t="s">
        <v>3956</v>
      </c>
      <c r="L476">
        <v>3115092369</v>
      </c>
    </row>
    <row r="477" spans="1:12" x14ac:dyDescent="0.25">
      <c r="A477">
        <v>477</v>
      </c>
      <c r="B477" t="s">
        <v>2217</v>
      </c>
      <c r="C477" t="s">
        <v>1102</v>
      </c>
      <c r="D477" t="s">
        <v>485</v>
      </c>
      <c r="E477" t="s">
        <v>799</v>
      </c>
      <c r="F477" t="s">
        <v>475</v>
      </c>
      <c r="G477" s="22">
        <v>29834</v>
      </c>
      <c r="H477" s="21">
        <v>39.849315068493148</v>
      </c>
      <c r="I477" t="s">
        <v>533</v>
      </c>
      <c r="J477" t="s">
        <v>2987</v>
      </c>
      <c r="K477" t="s">
        <v>2988</v>
      </c>
      <c r="L477">
        <v>3115092360</v>
      </c>
    </row>
    <row r="478" spans="1:12" x14ac:dyDescent="0.25">
      <c r="A478">
        <v>478</v>
      </c>
      <c r="B478" t="s">
        <v>1675</v>
      </c>
      <c r="C478" t="s">
        <v>149</v>
      </c>
      <c r="D478" t="s">
        <v>50</v>
      </c>
      <c r="E478" t="s">
        <v>782</v>
      </c>
      <c r="F478" t="s">
        <v>830</v>
      </c>
      <c r="G478" s="22">
        <v>27073</v>
      </c>
      <c r="H478" s="21">
        <v>47.413698630136984</v>
      </c>
      <c r="I478" t="s">
        <v>1168</v>
      </c>
      <c r="J478" t="s">
        <v>3957</v>
      </c>
      <c r="K478" t="s">
        <v>3958</v>
      </c>
      <c r="L478">
        <v>3115092360</v>
      </c>
    </row>
    <row r="479" spans="1:12" x14ac:dyDescent="0.25">
      <c r="A479">
        <v>479</v>
      </c>
      <c r="B479" t="s">
        <v>2218</v>
      </c>
      <c r="C479" t="s">
        <v>1103</v>
      </c>
      <c r="D479" t="s">
        <v>333</v>
      </c>
      <c r="E479" t="s">
        <v>61</v>
      </c>
      <c r="F479" t="s">
        <v>238</v>
      </c>
      <c r="G479" s="22">
        <v>21729</v>
      </c>
      <c r="H479" s="21">
        <v>62.054794520547944</v>
      </c>
      <c r="I479" t="s">
        <v>587</v>
      </c>
      <c r="J479" t="s">
        <v>2989</v>
      </c>
      <c r="K479" t="s">
        <v>2990</v>
      </c>
      <c r="L479">
        <v>3115092352</v>
      </c>
    </row>
    <row r="480" spans="1:12" x14ac:dyDescent="0.25">
      <c r="A480">
        <v>480</v>
      </c>
      <c r="B480" t="s">
        <v>1676</v>
      </c>
      <c r="C480" t="s">
        <v>943</v>
      </c>
      <c r="D480" t="s">
        <v>8</v>
      </c>
      <c r="E480" t="s">
        <v>783</v>
      </c>
      <c r="F480" t="s">
        <v>99</v>
      </c>
      <c r="G480" s="22">
        <v>36782</v>
      </c>
      <c r="H480" s="21">
        <v>20.813698630136987</v>
      </c>
      <c r="I480" t="s">
        <v>1177</v>
      </c>
      <c r="J480" t="s">
        <v>3959</v>
      </c>
      <c r="K480" t="s">
        <v>3960</v>
      </c>
      <c r="L480">
        <v>3115092352</v>
      </c>
    </row>
    <row r="481" spans="1:12" x14ac:dyDescent="0.25">
      <c r="A481">
        <v>481</v>
      </c>
      <c r="B481" t="s">
        <v>2219</v>
      </c>
      <c r="C481" t="s">
        <v>341</v>
      </c>
      <c r="D481" t="s">
        <v>369</v>
      </c>
      <c r="E481" t="s">
        <v>760</v>
      </c>
      <c r="F481" t="s">
        <v>715</v>
      </c>
      <c r="G481" s="22">
        <v>25055</v>
      </c>
      <c r="H481" s="21">
        <v>52.942465753424656</v>
      </c>
      <c r="I481" t="s">
        <v>1377</v>
      </c>
      <c r="J481" t="s">
        <v>2991</v>
      </c>
      <c r="K481" t="s">
        <v>2992</v>
      </c>
      <c r="L481">
        <v>3115114930</v>
      </c>
    </row>
    <row r="482" spans="1:12" x14ac:dyDescent="0.25">
      <c r="A482">
        <v>482</v>
      </c>
      <c r="B482" t="s">
        <v>1677</v>
      </c>
      <c r="C482" t="s">
        <v>944</v>
      </c>
      <c r="D482" t="s">
        <v>945</v>
      </c>
      <c r="E482" t="s">
        <v>278</v>
      </c>
      <c r="F482" t="s">
        <v>727</v>
      </c>
      <c r="G482" s="22">
        <v>25931</v>
      </c>
      <c r="H482" s="21">
        <v>50.542465753424658</v>
      </c>
      <c r="I482" t="s">
        <v>589</v>
      </c>
      <c r="J482" t="s">
        <v>3961</v>
      </c>
      <c r="K482" t="s">
        <v>3962</v>
      </c>
      <c r="L482">
        <v>3115114930</v>
      </c>
    </row>
    <row r="483" spans="1:12" x14ac:dyDescent="0.25">
      <c r="A483">
        <v>483</v>
      </c>
      <c r="B483" t="s">
        <v>2220</v>
      </c>
      <c r="C483" t="s">
        <v>1104</v>
      </c>
      <c r="D483" t="s">
        <v>353</v>
      </c>
      <c r="E483" t="s">
        <v>813</v>
      </c>
      <c r="F483" t="s">
        <v>683</v>
      </c>
      <c r="G483" s="22">
        <v>23106</v>
      </c>
      <c r="H483" s="21">
        <v>58.282191780821918</v>
      </c>
      <c r="I483" t="s">
        <v>574</v>
      </c>
      <c r="J483" t="s">
        <v>2993</v>
      </c>
      <c r="K483" t="s">
        <v>2994</v>
      </c>
      <c r="L483">
        <v>3115114916</v>
      </c>
    </row>
    <row r="484" spans="1:12" x14ac:dyDescent="0.25">
      <c r="A484">
        <v>484</v>
      </c>
      <c r="B484" t="s">
        <v>1678</v>
      </c>
      <c r="C484" t="s">
        <v>625</v>
      </c>
      <c r="D484" t="s">
        <v>50</v>
      </c>
      <c r="E484" t="s">
        <v>784</v>
      </c>
      <c r="F484" t="s">
        <v>793</v>
      </c>
      <c r="G484" s="22">
        <v>37066</v>
      </c>
      <c r="H484" s="21">
        <v>20.035616438356165</v>
      </c>
      <c r="I484" t="s">
        <v>1202</v>
      </c>
      <c r="J484" t="s">
        <v>3963</v>
      </c>
      <c r="K484" t="s">
        <v>3964</v>
      </c>
      <c r="L484">
        <v>3115114916</v>
      </c>
    </row>
    <row r="485" spans="1:12" x14ac:dyDescent="0.25">
      <c r="A485">
        <v>485</v>
      </c>
      <c r="B485" t="s">
        <v>2221</v>
      </c>
      <c r="C485" t="s">
        <v>1095</v>
      </c>
      <c r="D485" t="s">
        <v>335</v>
      </c>
      <c r="E485" t="s">
        <v>821</v>
      </c>
      <c r="F485" t="s">
        <v>784</v>
      </c>
      <c r="G485" s="22">
        <v>26836</v>
      </c>
      <c r="H485" s="21">
        <v>48.063013698630137</v>
      </c>
      <c r="I485" t="s">
        <v>532</v>
      </c>
      <c r="J485" t="s">
        <v>2995</v>
      </c>
      <c r="K485" t="s">
        <v>2996</v>
      </c>
      <c r="L485">
        <v>3115114911</v>
      </c>
    </row>
    <row r="486" spans="1:12" x14ac:dyDescent="0.25">
      <c r="A486">
        <v>486</v>
      </c>
      <c r="B486" t="s">
        <v>1679</v>
      </c>
      <c r="C486" t="s">
        <v>946</v>
      </c>
      <c r="D486" t="s">
        <v>78</v>
      </c>
      <c r="E486" t="s">
        <v>785</v>
      </c>
      <c r="F486" t="s">
        <v>474</v>
      </c>
      <c r="G486" s="22">
        <v>29734</v>
      </c>
      <c r="H486" s="21">
        <v>40.123287671232873</v>
      </c>
      <c r="I486" t="s">
        <v>1255</v>
      </c>
      <c r="J486" t="s">
        <v>3965</v>
      </c>
      <c r="K486" t="s">
        <v>3966</v>
      </c>
      <c r="L486">
        <v>3115114911</v>
      </c>
    </row>
    <row r="487" spans="1:12" x14ac:dyDescent="0.25">
      <c r="A487">
        <v>487</v>
      </c>
      <c r="B487" t="s">
        <v>2222</v>
      </c>
      <c r="C487" t="s">
        <v>365</v>
      </c>
      <c r="D487" t="s">
        <v>429</v>
      </c>
      <c r="E487" t="s">
        <v>458</v>
      </c>
      <c r="F487" t="s">
        <v>845</v>
      </c>
      <c r="G487" s="22">
        <v>35679</v>
      </c>
      <c r="H487" s="21">
        <v>23.835616438356166</v>
      </c>
      <c r="I487" t="s">
        <v>544</v>
      </c>
      <c r="J487" t="s">
        <v>2997</v>
      </c>
      <c r="K487" t="s">
        <v>2998</v>
      </c>
      <c r="L487">
        <v>3115114910</v>
      </c>
    </row>
    <row r="488" spans="1:12" x14ac:dyDescent="0.25">
      <c r="A488">
        <v>488</v>
      </c>
      <c r="B488" t="s">
        <v>1680</v>
      </c>
      <c r="C488" t="s">
        <v>108</v>
      </c>
      <c r="D488" t="s">
        <v>13</v>
      </c>
      <c r="E488" t="s">
        <v>522</v>
      </c>
      <c r="F488" t="s">
        <v>773</v>
      </c>
      <c r="G488" s="22">
        <v>24741</v>
      </c>
      <c r="H488" s="21">
        <v>53.802739726027397</v>
      </c>
      <c r="I488" t="s">
        <v>1263</v>
      </c>
      <c r="J488" t="s">
        <v>3967</v>
      </c>
      <c r="K488" t="s">
        <v>3968</v>
      </c>
      <c r="L488">
        <v>3115114910</v>
      </c>
    </row>
    <row r="489" spans="1:12" x14ac:dyDescent="0.25">
      <c r="A489">
        <v>489</v>
      </c>
      <c r="B489" t="s">
        <v>2223</v>
      </c>
      <c r="C489" t="s">
        <v>1105</v>
      </c>
      <c r="D489" t="s">
        <v>349</v>
      </c>
      <c r="E489" t="s">
        <v>735</v>
      </c>
      <c r="F489" t="s">
        <v>780</v>
      </c>
      <c r="G489" s="22">
        <v>24685</v>
      </c>
      <c r="H489" s="21">
        <v>53.956164383561642</v>
      </c>
      <c r="I489" t="s">
        <v>579</v>
      </c>
      <c r="J489" t="s">
        <v>2999</v>
      </c>
      <c r="K489" t="s">
        <v>3000</v>
      </c>
      <c r="L489">
        <v>3115114909</v>
      </c>
    </row>
    <row r="490" spans="1:12" x14ac:dyDescent="0.25">
      <c r="A490">
        <v>490</v>
      </c>
      <c r="B490" t="s">
        <v>1681</v>
      </c>
      <c r="C490" t="s">
        <v>947</v>
      </c>
      <c r="D490" t="s">
        <v>948</v>
      </c>
      <c r="E490" t="s">
        <v>786</v>
      </c>
      <c r="F490" t="s">
        <v>836</v>
      </c>
      <c r="G490" s="22">
        <v>35087</v>
      </c>
      <c r="H490" s="21">
        <v>25.457534246575342</v>
      </c>
      <c r="I490" t="s">
        <v>1163</v>
      </c>
      <c r="J490" t="s">
        <v>3969</v>
      </c>
      <c r="K490" t="s">
        <v>3970</v>
      </c>
      <c r="L490">
        <v>3115114909</v>
      </c>
    </row>
    <row r="491" spans="1:12" x14ac:dyDescent="0.25">
      <c r="A491">
        <v>491</v>
      </c>
      <c r="B491" t="s">
        <v>2224</v>
      </c>
      <c r="C491" t="s">
        <v>1106</v>
      </c>
      <c r="D491" t="s">
        <v>503</v>
      </c>
      <c r="E491" t="s">
        <v>684</v>
      </c>
      <c r="F491" t="s">
        <v>838</v>
      </c>
      <c r="G491" s="22">
        <v>31832</v>
      </c>
      <c r="H491" s="21">
        <v>34.375342465753427</v>
      </c>
      <c r="I491" t="s">
        <v>567</v>
      </c>
      <c r="J491" t="s">
        <v>3001</v>
      </c>
      <c r="K491" t="s">
        <v>3002</v>
      </c>
      <c r="L491">
        <v>3115060130</v>
      </c>
    </row>
    <row r="492" spans="1:12" x14ac:dyDescent="0.25">
      <c r="A492">
        <v>492</v>
      </c>
      <c r="B492" t="s">
        <v>1682</v>
      </c>
      <c r="C492" t="s">
        <v>109</v>
      </c>
      <c r="D492" t="s">
        <v>134</v>
      </c>
      <c r="E492" t="s">
        <v>787</v>
      </c>
      <c r="F492" t="s">
        <v>726</v>
      </c>
      <c r="G492" s="22">
        <v>30475</v>
      </c>
      <c r="H492" s="21">
        <v>38.093150684931508</v>
      </c>
      <c r="I492" t="s">
        <v>547</v>
      </c>
      <c r="J492" t="s">
        <v>3971</v>
      </c>
      <c r="K492" t="s">
        <v>3972</v>
      </c>
      <c r="L492">
        <v>3115060130</v>
      </c>
    </row>
    <row r="493" spans="1:12" x14ac:dyDescent="0.25">
      <c r="A493">
        <v>493</v>
      </c>
      <c r="B493" t="s">
        <v>2225</v>
      </c>
      <c r="C493" t="s">
        <v>341</v>
      </c>
      <c r="D493" t="s">
        <v>342</v>
      </c>
      <c r="E493" t="s">
        <v>681</v>
      </c>
      <c r="F493" t="s">
        <v>774</v>
      </c>
      <c r="G493" s="22">
        <v>27054</v>
      </c>
      <c r="H493" s="21">
        <v>47.465753424657535</v>
      </c>
      <c r="I493" t="s">
        <v>593</v>
      </c>
      <c r="J493" t="s">
        <v>3003</v>
      </c>
      <c r="K493" t="s">
        <v>3004</v>
      </c>
      <c r="L493">
        <v>3115060125</v>
      </c>
    </row>
    <row r="494" spans="1:12" x14ac:dyDescent="0.25">
      <c r="A494">
        <v>494</v>
      </c>
      <c r="B494" t="s">
        <v>1683</v>
      </c>
      <c r="C494" t="s">
        <v>30</v>
      </c>
      <c r="D494" t="s">
        <v>304</v>
      </c>
      <c r="E494" t="s">
        <v>788</v>
      </c>
      <c r="F494" t="s">
        <v>788</v>
      </c>
      <c r="G494" s="22">
        <v>35093</v>
      </c>
      <c r="H494" s="21">
        <v>25.44109589041096</v>
      </c>
      <c r="I494" t="s">
        <v>1218</v>
      </c>
      <c r="J494" t="s">
        <v>3973</v>
      </c>
      <c r="K494" t="s">
        <v>3974</v>
      </c>
      <c r="L494">
        <v>3115060125</v>
      </c>
    </row>
    <row r="495" spans="1:12" x14ac:dyDescent="0.25">
      <c r="A495">
        <v>495</v>
      </c>
      <c r="B495" t="s">
        <v>2226</v>
      </c>
      <c r="C495" t="s">
        <v>483</v>
      </c>
      <c r="D495" t="s">
        <v>342</v>
      </c>
      <c r="E495" t="s">
        <v>238</v>
      </c>
      <c r="F495" t="s">
        <v>846</v>
      </c>
      <c r="G495" s="22">
        <v>29146</v>
      </c>
      <c r="H495" s="21">
        <v>41.734246575342468</v>
      </c>
      <c r="I495" t="s">
        <v>1300</v>
      </c>
      <c r="J495" t="s">
        <v>3005</v>
      </c>
      <c r="K495" t="s">
        <v>3006</v>
      </c>
      <c r="L495">
        <v>3115060110</v>
      </c>
    </row>
    <row r="496" spans="1:12" x14ac:dyDescent="0.25">
      <c r="A496">
        <v>496</v>
      </c>
      <c r="B496" t="s">
        <v>1684</v>
      </c>
      <c r="C496" t="s">
        <v>306</v>
      </c>
      <c r="D496" t="s">
        <v>38</v>
      </c>
      <c r="E496" t="s">
        <v>789</v>
      </c>
      <c r="F496" t="s">
        <v>670</v>
      </c>
      <c r="G496" s="22">
        <v>31192</v>
      </c>
      <c r="H496" s="21">
        <v>36.128767123287673</v>
      </c>
      <c r="I496" t="s">
        <v>1189</v>
      </c>
      <c r="J496" t="s">
        <v>3975</v>
      </c>
      <c r="K496" t="s">
        <v>3976</v>
      </c>
      <c r="L496">
        <v>3115060110</v>
      </c>
    </row>
    <row r="497" spans="1:12" x14ac:dyDescent="0.25">
      <c r="A497">
        <v>497</v>
      </c>
      <c r="B497" t="s">
        <v>2227</v>
      </c>
      <c r="C497" t="s">
        <v>483</v>
      </c>
      <c r="D497" t="s">
        <v>663</v>
      </c>
      <c r="E497" t="s">
        <v>458</v>
      </c>
      <c r="F497" t="s">
        <v>821</v>
      </c>
      <c r="G497" s="22">
        <v>28128</v>
      </c>
      <c r="H497" s="21">
        <v>44.523287671232879</v>
      </c>
      <c r="I497" t="s">
        <v>1207</v>
      </c>
      <c r="J497" t="s">
        <v>3007</v>
      </c>
      <c r="K497" t="s">
        <v>3008</v>
      </c>
      <c r="L497">
        <v>3115060091</v>
      </c>
    </row>
    <row r="498" spans="1:12" x14ac:dyDescent="0.25">
      <c r="A498">
        <v>498</v>
      </c>
      <c r="B498" t="s">
        <v>1685</v>
      </c>
      <c r="C498" t="s">
        <v>949</v>
      </c>
      <c r="D498" t="s">
        <v>306</v>
      </c>
      <c r="E498" t="s">
        <v>790</v>
      </c>
      <c r="F498" t="s">
        <v>721</v>
      </c>
      <c r="G498" s="22">
        <v>31092</v>
      </c>
      <c r="H498" s="21">
        <v>36.402739726027399</v>
      </c>
      <c r="I498" t="s">
        <v>566</v>
      </c>
      <c r="J498" t="s">
        <v>3977</v>
      </c>
      <c r="K498" t="s">
        <v>3978</v>
      </c>
      <c r="L498">
        <v>3115060091</v>
      </c>
    </row>
    <row r="499" spans="1:12" x14ac:dyDescent="0.25">
      <c r="A499">
        <v>499</v>
      </c>
      <c r="B499" t="s">
        <v>2228</v>
      </c>
      <c r="C499" t="s">
        <v>397</v>
      </c>
      <c r="D499" t="s">
        <v>387</v>
      </c>
      <c r="E499" t="s">
        <v>714</v>
      </c>
      <c r="F499" t="s">
        <v>746</v>
      </c>
      <c r="G499" s="22">
        <v>33728</v>
      </c>
      <c r="H499" s="21">
        <v>29.18082191780822</v>
      </c>
      <c r="I499" t="s">
        <v>542</v>
      </c>
      <c r="J499" t="s">
        <v>3009</v>
      </c>
      <c r="K499" t="s">
        <v>3010</v>
      </c>
      <c r="L499">
        <v>3115060080</v>
      </c>
    </row>
    <row r="500" spans="1:12" x14ac:dyDescent="0.25">
      <c r="A500">
        <v>500</v>
      </c>
      <c r="B500" t="s">
        <v>1686</v>
      </c>
      <c r="C500" t="s">
        <v>50</v>
      </c>
      <c r="D500" t="s">
        <v>17</v>
      </c>
      <c r="E500" t="s">
        <v>791</v>
      </c>
      <c r="F500" t="s">
        <v>298</v>
      </c>
      <c r="G500" s="22">
        <v>32767</v>
      </c>
      <c r="H500" s="21">
        <v>31.813698630136987</v>
      </c>
      <c r="I500" t="s">
        <v>1202</v>
      </c>
      <c r="J500" t="s">
        <v>3979</v>
      </c>
      <c r="K500" t="s">
        <v>3980</v>
      </c>
      <c r="L500">
        <v>3115060080</v>
      </c>
    </row>
    <row r="501" spans="1:12" x14ac:dyDescent="0.25">
      <c r="A501">
        <v>501</v>
      </c>
      <c r="B501" t="s">
        <v>2229</v>
      </c>
      <c r="C501" t="s">
        <v>341</v>
      </c>
      <c r="D501" t="s">
        <v>382</v>
      </c>
      <c r="E501" t="s">
        <v>843</v>
      </c>
      <c r="F501" t="s">
        <v>729</v>
      </c>
      <c r="G501" s="22">
        <v>31234</v>
      </c>
      <c r="H501" s="21">
        <v>36.013698630136986</v>
      </c>
      <c r="I501" t="s">
        <v>550</v>
      </c>
      <c r="J501" t="s">
        <v>3011</v>
      </c>
      <c r="K501" t="s">
        <v>3012</v>
      </c>
      <c r="L501">
        <v>3115114385</v>
      </c>
    </row>
    <row r="502" spans="1:12" x14ac:dyDescent="0.25">
      <c r="A502">
        <v>502</v>
      </c>
      <c r="B502" t="s">
        <v>1687</v>
      </c>
      <c r="C502" t="s">
        <v>950</v>
      </c>
      <c r="D502" t="s">
        <v>50</v>
      </c>
      <c r="E502" t="s">
        <v>792</v>
      </c>
      <c r="F502" t="s">
        <v>786</v>
      </c>
      <c r="G502" s="22">
        <v>37133</v>
      </c>
      <c r="H502" s="21">
        <v>19.852054794520548</v>
      </c>
      <c r="I502" t="s">
        <v>1189</v>
      </c>
      <c r="J502" t="s">
        <v>3981</v>
      </c>
      <c r="K502" t="s">
        <v>3982</v>
      </c>
      <c r="L502">
        <v>3115114385</v>
      </c>
    </row>
    <row r="503" spans="1:12" x14ac:dyDescent="0.25">
      <c r="A503">
        <v>503</v>
      </c>
      <c r="B503" t="s">
        <v>2230</v>
      </c>
      <c r="C503" t="s">
        <v>341</v>
      </c>
      <c r="D503" t="s">
        <v>369</v>
      </c>
      <c r="E503" t="s">
        <v>721</v>
      </c>
      <c r="F503" t="s">
        <v>687</v>
      </c>
      <c r="G503" s="22">
        <v>29452</v>
      </c>
      <c r="H503" s="21">
        <v>40.895890410958906</v>
      </c>
      <c r="I503" t="s">
        <v>581</v>
      </c>
      <c r="J503" t="s">
        <v>3013</v>
      </c>
      <c r="K503" t="s">
        <v>3014</v>
      </c>
      <c r="L503">
        <v>3115114360</v>
      </c>
    </row>
    <row r="504" spans="1:12" x14ac:dyDescent="0.25">
      <c r="A504">
        <v>504</v>
      </c>
      <c r="B504" t="s">
        <v>1688</v>
      </c>
      <c r="C504" t="s">
        <v>20</v>
      </c>
      <c r="D504" t="s">
        <v>951</v>
      </c>
      <c r="E504" t="s">
        <v>793</v>
      </c>
      <c r="F504" t="s">
        <v>749</v>
      </c>
      <c r="G504" s="22">
        <v>29322</v>
      </c>
      <c r="H504" s="21">
        <v>41.252054794520546</v>
      </c>
      <c r="I504" t="s">
        <v>1227</v>
      </c>
      <c r="J504" t="s">
        <v>3983</v>
      </c>
      <c r="K504" t="s">
        <v>3984</v>
      </c>
      <c r="L504">
        <v>3115114360</v>
      </c>
    </row>
    <row r="505" spans="1:12" x14ac:dyDescent="0.25">
      <c r="A505">
        <v>505</v>
      </c>
      <c r="B505" t="s">
        <v>2231</v>
      </c>
      <c r="C505" t="s">
        <v>341</v>
      </c>
      <c r="D505" t="s">
        <v>402</v>
      </c>
      <c r="E505" t="s">
        <v>798</v>
      </c>
      <c r="F505" t="s">
        <v>765</v>
      </c>
      <c r="G505" s="22">
        <v>31713</v>
      </c>
      <c r="H505" s="21">
        <v>34.701369863013696</v>
      </c>
      <c r="I505" t="s">
        <v>1378</v>
      </c>
      <c r="J505" t="s">
        <v>3015</v>
      </c>
      <c r="K505" t="s">
        <v>3016</v>
      </c>
      <c r="L505">
        <v>3115093653</v>
      </c>
    </row>
    <row r="506" spans="1:12" x14ac:dyDescent="0.25">
      <c r="A506">
        <v>506</v>
      </c>
      <c r="B506" t="s">
        <v>1689</v>
      </c>
      <c r="C506" t="s">
        <v>30</v>
      </c>
      <c r="D506" t="s">
        <v>195</v>
      </c>
      <c r="E506" t="s">
        <v>794</v>
      </c>
      <c r="F506" t="s">
        <v>778</v>
      </c>
      <c r="G506" s="22">
        <v>24593</v>
      </c>
      <c r="H506" s="21">
        <v>54.208219178082189</v>
      </c>
      <c r="I506" t="s">
        <v>1163</v>
      </c>
      <c r="J506" t="s">
        <v>3985</v>
      </c>
      <c r="K506" t="s">
        <v>3986</v>
      </c>
      <c r="L506">
        <v>3115093653</v>
      </c>
    </row>
    <row r="507" spans="1:12" x14ac:dyDescent="0.25">
      <c r="A507">
        <v>507</v>
      </c>
      <c r="B507" t="s">
        <v>2232</v>
      </c>
      <c r="C507" t="s">
        <v>341</v>
      </c>
      <c r="D507" t="s">
        <v>483</v>
      </c>
      <c r="E507" t="s">
        <v>744</v>
      </c>
      <c r="F507" t="s">
        <v>812</v>
      </c>
      <c r="G507" s="22">
        <v>32131</v>
      </c>
      <c r="H507" s="21">
        <v>33.556164383561644</v>
      </c>
      <c r="I507" t="s">
        <v>539</v>
      </c>
      <c r="J507" t="s">
        <v>3017</v>
      </c>
      <c r="K507" t="s">
        <v>3018</v>
      </c>
      <c r="L507">
        <v>3115093598</v>
      </c>
    </row>
    <row r="508" spans="1:12" x14ac:dyDescent="0.25">
      <c r="A508">
        <v>508</v>
      </c>
      <c r="B508" t="s">
        <v>1690</v>
      </c>
      <c r="C508" t="s">
        <v>952</v>
      </c>
      <c r="D508" t="s">
        <v>953</v>
      </c>
      <c r="E508" t="s">
        <v>795</v>
      </c>
      <c r="F508" t="s">
        <v>756</v>
      </c>
      <c r="G508" s="22">
        <v>28245</v>
      </c>
      <c r="H508" s="21">
        <v>44.202739726027396</v>
      </c>
      <c r="I508" t="s">
        <v>1237</v>
      </c>
      <c r="J508" t="s">
        <v>3987</v>
      </c>
      <c r="K508" t="s">
        <v>3988</v>
      </c>
      <c r="L508">
        <v>3115093598</v>
      </c>
    </row>
    <row r="509" spans="1:12" x14ac:dyDescent="0.25">
      <c r="A509">
        <v>509</v>
      </c>
      <c r="B509" t="s">
        <v>2233</v>
      </c>
      <c r="C509" t="s">
        <v>483</v>
      </c>
      <c r="D509" t="s">
        <v>481</v>
      </c>
      <c r="E509" t="s">
        <v>847</v>
      </c>
      <c r="F509" t="s">
        <v>828</v>
      </c>
      <c r="G509" s="22">
        <v>32703</v>
      </c>
      <c r="H509" s="21">
        <v>31.989041095890411</v>
      </c>
      <c r="I509" t="s">
        <v>555</v>
      </c>
      <c r="J509" t="s">
        <v>3019</v>
      </c>
      <c r="K509" t="s">
        <v>3020</v>
      </c>
      <c r="L509">
        <v>3115093583</v>
      </c>
    </row>
    <row r="510" spans="1:12" x14ac:dyDescent="0.25">
      <c r="A510">
        <v>510</v>
      </c>
      <c r="B510" t="s">
        <v>1691</v>
      </c>
      <c r="C510" t="s">
        <v>140</v>
      </c>
      <c r="D510" t="s">
        <v>933</v>
      </c>
      <c r="E510" t="s">
        <v>709</v>
      </c>
      <c r="F510" t="s">
        <v>735</v>
      </c>
      <c r="G510" s="22">
        <v>30423</v>
      </c>
      <c r="H510" s="21">
        <v>38.235616438356168</v>
      </c>
      <c r="I510" t="s">
        <v>1248</v>
      </c>
      <c r="J510" t="s">
        <v>3989</v>
      </c>
      <c r="K510" t="s">
        <v>3990</v>
      </c>
      <c r="L510">
        <v>3115093583</v>
      </c>
    </row>
    <row r="511" spans="1:12" x14ac:dyDescent="0.25">
      <c r="A511">
        <v>511</v>
      </c>
      <c r="B511" t="s">
        <v>2234</v>
      </c>
      <c r="C511" t="s">
        <v>431</v>
      </c>
      <c r="D511" t="s">
        <v>880</v>
      </c>
      <c r="E511" t="s">
        <v>805</v>
      </c>
      <c r="F511" t="s">
        <v>744</v>
      </c>
      <c r="G511" s="22">
        <v>33826</v>
      </c>
      <c r="H511" s="21">
        <v>28.912328767123288</v>
      </c>
      <c r="I511" t="s">
        <v>586</v>
      </c>
      <c r="J511" t="s">
        <v>3021</v>
      </c>
      <c r="K511" t="s">
        <v>3022</v>
      </c>
      <c r="L511">
        <v>3115092386</v>
      </c>
    </row>
    <row r="512" spans="1:12" x14ac:dyDescent="0.25">
      <c r="A512">
        <v>512</v>
      </c>
      <c r="B512" t="s">
        <v>1692</v>
      </c>
      <c r="C512" t="s">
        <v>31</v>
      </c>
      <c r="D512" t="s">
        <v>954</v>
      </c>
      <c r="E512" t="s">
        <v>796</v>
      </c>
      <c r="F512" t="s">
        <v>708</v>
      </c>
      <c r="G512" s="22">
        <v>37429</v>
      </c>
      <c r="H512" s="21">
        <v>19.041095890410958</v>
      </c>
      <c r="I512" t="s">
        <v>1226</v>
      </c>
      <c r="J512" t="s">
        <v>3991</v>
      </c>
      <c r="K512" t="s">
        <v>3992</v>
      </c>
      <c r="L512">
        <v>3115092386</v>
      </c>
    </row>
    <row r="513" spans="1:12" x14ac:dyDescent="0.25">
      <c r="A513">
        <v>513</v>
      </c>
      <c r="B513" t="s">
        <v>2235</v>
      </c>
      <c r="C513" t="s">
        <v>507</v>
      </c>
      <c r="D513" t="s">
        <v>481</v>
      </c>
      <c r="E513" t="s">
        <v>839</v>
      </c>
      <c r="F513" t="s">
        <v>759</v>
      </c>
      <c r="G513" s="22">
        <v>25011</v>
      </c>
      <c r="H513" s="21">
        <v>53.063013698630137</v>
      </c>
      <c r="I513" t="s">
        <v>532</v>
      </c>
      <c r="J513" t="s">
        <v>3023</v>
      </c>
      <c r="K513" t="s">
        <v>3024</v>
      </c>
      <c r="L513">
        <v>3115092375</v>
      </c>
    </row>
    <row r="514" spans="1:12" x14ac:dyDescent="0.25">
      <c r="A514">
        <v>514</v>
      </c>
      <c r="B514" t="s">
        <v>1693</v>
      </c>
      <c r="C514" t="s">
        <v>20</v>
      </c>
      <c r="D514" t="s">
        <v>955</v>
      </c>
      <c r="E514" t="s">
        <v>670</v>
      </c>
      <c r="F514" t="s">
        <v>827</v>
      </c>
      <c r="G514" s="22">
        <v>33368</v>
      </c>
      <c r="H514" s="21">
        <v>30.167123287671235</v>
      </c>
      <c r="I514" t="s">
        <v>1188</v>
      </c>
      <c r="J514" t="s">
        <v>3993</v>
      </c>
      <c r="K514" t="s">
        <v>3994</v>
      </c>
      <c r="L514">
        <v>3115092375</v>
      </c>
    </row>
    <row r="515" spans="1:12" x14ac:dyDescent="0.25">
      <c r="A515">
        <v>515</v>
      </c>
      <c r="B515" t="s">
        <v>2236</v>
      </c>
      <c r="C515" t="s">
        <v>341</v>
      </c>
      <c r="D515" t="s">
        <v>349</v>
      </c>
      <c r="E515" t="s">
        <v>673</v>
      </c>
      <c r="F515" t="s">
        <v>235</v>
      </c>
      <c r="G515" s="22">
        <v>21031</v>
      </c>
      <c r="H515" s="21">
        <v>63.967123287671235</v>
      </c>
      <c r="I515" t="s">
        <v>559</v>
      </c>
      <c r="J515" t="s">
        <v>3025</v>
      </c>
      <c r="K515" t="s">
        <v>3026</v>
      </c>
      <c r="L515">
        <v>3115092369</v>
      </c>
    </row>
    <row r="516" spans="1:12" x14ac:dyDescent="0.25">
      <c r="A516">
        <v>516</v>
      </c>
      <c r="B516" t="s">
        <v>1694</v>
      </c>
      <c r="C516" t="s">
        <v>956</v>
      </c>
      <c r="D516" t="s">
        <v>306</v>
      </c>
      <c r="E516" t="s">
        <v>797</v>
      </c>
      <c r="F516" t="s">
        <v>791</v>
      </c>
      <c r="G516" s="22">
        <v>24624</v>
      </c>
      <c r="H516" s="21">
        <v>54.123287671232873</v>
      </c>
      <c r="I516" t="s">
        <v>1250</v>
      </c>
      <c r="J516" t="s">
        <v>3995</v>
      </c>
      <c r="K516" t="s">
        <v>3996</v>
      </c>
      <c r="L516">
        <v>3115092369</v>
      </c>
    </row>
    <row r="517" spans="1:12" x14ac:dyDescent="0.25">
      <c r="A517">
        <v>517</v>
      </c>
      <c r="B517" t="s">
        <v>2237</v>
      </c>
      <c r="C517" t="s">
        <v>330</v>
      </c>
      <c r="D517" t="s">
        <v>1107</v>
      </c>
      <c r="E517" t="s">
        <v>814</v>
      </c>
      <c r="F517" t="s">
        <v>714</v>
      </c>
      <c r="G517" s="22">
        <v>32486</v>
      </c>
      <c r="H517" s="21">
        <v>32.583561643835615</v>
      </c>
      <c r="I517" t="s">
        <v>1379</v>
      </c>
      <c r="J517" t="s">
        <v>3027</v>
      </c>
      <c r="K517" t="s">
        <v>3028</v>
      </c>
      <c r="L517">
        <v>3115092360</v>
      </c>
    </row>
    <row r="518" spans="1:12" x14ac:dyDescent="0.25">
      <c r="A518">
        <v>518</v>
      </c>
      <c r="B518" t="s">
        <v>1695</v>
      </c>
      <c r="C518" t="s">
        <v>625</v>
      </c>
      <c r="D518" t="s">
        <v>957</v>
      </c>
      <c r="E518" t="s">
        <v>798</v>
      </c>
      <c r="F518" t="s">
        <v>747</v>
      </c>
      <c r="G518" s="22">
        <v>30125</v>
      </c>
      <c r="H518" s="21">
        <v>39.052054794520551</v>
      </c>
      <c r="I518" t="s">
        <v>1167</v>
      </c>
      <c r="J518" t="s">
        <v>3997</v>
      </c>
      <c r="K518" t="s">
        <v>3998</v>
      </c>
      <c r="L518">
        <v>3115092360</v>
      </c>
    </row>
    <row r="519" spans="1:12" x14ac:dyDescent="0.25">
      <c r="A519">
        <v>519</v>
      </c>
      <c r="B519" t="s">
        <v>2238</v>
      </c>
      <c r="C519" t="s">
        <v>513</v>
      </c>
      <c r="D519" t="s">
        <v>330</v>
      </c>
      <c r="E519" t="s">
        <v>825</v>
      </c>
      <c r="F519" t="s">
        <v>844</v>
      </c>
      <c r="G519" s="22">
        <v>28805</v>
      </c>
      <c r="H519" s="21">
        <v>42.668493150684931</v>
      </c>
      <c r="I519" t="s">
        <v>535</v>
      </c>
      <c r="J519" t="s">
        <v>3029</v>
      </c>
      <c r="K519" t="s">
        <v>3030</v>
      </c>
      <c r="L519">
        <v>3115092352</v>
      </c>
    </row>
    <row r="520" spans="1:12" x14ac:dyDescent="0.25">
      <c r="A520">
        <v>520</v>
      </c>
      <c r="B520" t="s">
        <v>1696</v>
      </c>
      <c r="C520" t="s">
        <v>67</v>
      </c>
      <c r="D520" t="s">
        <v>620</v>
      </c>
      <c r="E520" t="s">
        <v>470</v>
      </c>
      <c r="F520" t="s">
        <v>766</v>
      </c>
      <c r="G520" s="22">
        <v>33649</v>
      </c>
      <c r="H520" s="21">
        <v>29.397260273972602</v>
      </c>
      <c r="I520" t="s">
        <v>588</v>
      </c>
      <c r="J520" t="s">
        <v>3999</v>
      </c>
      <c r="K520" t="s">
        <v>4000</v>
      </c>
      <c r="L520">
        <v>3115092352</v>
      </c>
    </row>
    <row r="521" spans="1:12" x14ac:dyDescent="0.25">
      <c r="A521">
        <v>521</v>
      </c>
      <c r="B521" t="s">
        <v>2239</v>
      </c>
      <c r="C521" t="s">
        <v>431</v>
      </c>
      <c r="D521" t="s">
        <v>450</v>
      </c>
      <c r="E521" t="s">
        <v>686</v>
      </c>
      <c r="F521" t="s">
        <v>761</v>
      </c>
      <c r="G521" s="22">
        <v>22973</v>
      </c>
      <c r="H521" s="21">
        <v>58.646575342465752</v>
      </c>
      <c r="I521" t="s">
        <v>1301</v>
      </c>
      <c r="J521" t="s">
        <v>3031</v>
      </c>
      <c r="K521" t="s">
        <v>3032</v>
      </c>
      <c r="L521">
        <v>3115114930</v>
      </c>
    </row>
    <row r="522" spans="1:12" x14ac:dyDescent="0.25">
      <c r="A522">
        <v>522</v>
      </c>
      <c r="B522" t="s">
        <v>1697</v>
      </c>
      <c r="C522" t="s">
        <v>958</v>
      </c>
      <c r="D522" t="s">
        <v>959</v>
      </c>
      <c r="E522" t="s">
        <v>235</v>
      </c>
      <c r="F522" t="s">
        <v>713</v>
      </c>
      <c r="G522" s="22">
        <v>26738</v>
      </c>
      <c r="H522" s="21">
        <v>48.331506849315069</v>
      </c>
      <c r="I522" t="s">
        <v>1171</v>
      </c>
      <c r="J522" t="s">
        <v>4001</v>
      </c>
      <c r="K522" t="s">
        <v>4002</v>
      </c>
      <c r="L522">
        <v>3115114930</v>
      </c>
    </row>
    <row r="523" spans="1:12" x14ac:dyDescent="0.25">
      <c r="A523">
        <v>523</v>
      </c>
      <c r="B523" t="s">
        <v>2240</v>
      </c>
      <c r="C523" t="s">
        <v>341</v>
      </c>
      <c r="D523" t="s">
        <v>387</v>
      </c>
      <c r="E523" t="s">
        <v>802</v>
      </c>
      <c r="F523" t="s">
        <v>803</v>
      </c>
      <c r="G523" s="22">
        <v>23272</v>
      </c>
      <c r="H523" s="21">
        <v>57.827397260273976</v>
      </c>
      <c r="I523" t="s">
        <v>1380</v>
      </c>
      <c r="J523" t="s">
        <v>3033</v>
      </c>
      <c r="K523" t="s">
        <v>3034</v>
      </c>
      <c r="L523">
        <v>3115114916</v>
      </c>
    </row>
    <row r="524" spans="1:12" x14ac:dyDescent="0.25">
      <c r="A524">
        <v>524</v>
      </c>
      <c r="B524" t="s">
        <v>1698</v>
      </c>
      <c r="C524" t="s">
        <v>7</v>
      </c>
      <c r="D524" t="s">
        <v>960</v>
      </c>
      <c r="E524" t="s">
        <v>799</v>
      </c>
      <c r="F524" t="s">
        <v>672</v>
      </c>
      <c r="G524" s="22">
        <v>27610</v>
      </c>
      <c r="H524" s="21">
        <v>45.942465753424656</v>
      </c>
      <c r="I524" t="s">
        <v>1216</v>
      </c>
      <c r="J524" t="s">
        <v>4003</v>
      </c>
      <c r="K524" t="s">
        <v>4004</v>
      </c>
      <c r="L524">
        <v>3115114916</v>
      </c>
    </row>
    <row r="525" spans="1:12" x14ac:dyDescent="0.25">
      <c r="A525">
        <v>525</v>
      </c>
      <c r="B525" t="s">
        <v>2241</v>
      </c>
      <c r="C525" t="s">
        <v>356</v>
      </c>
      <c r="D525" t="s">
        <v>669</v>
      </c>
      <c r="E525" t="s">
        <v>684</v>
      </c>
      <c r="F525" t="s">
        <v>672</v>
      </c>
      <c r="G525" s="22">
        <v>30362</v>
      </c>
      <c r="H525" s="21">
        <v>38.402739726027399</v>
      </c>
      <c r="I525" t="s">
        <v>608</v>
      </c>
      <c r="J525" t="s">
        <v>3035</v>
      </c>
      <c r="K525" t="s">
        <v>3036</v>
      </c>
      <c r="L525">
        <v>3115114911</v>
      </c>
    </row>
    <row r="526" spans="1:12" x14ac:dyDescent="0.25">
      <c r="A526">
        <v>526</v>
      </c>
      <c r="B526" t="s">
        <v>1699</v>
      </c>
      <c r="C526" t="s">
        <v>961</v>
      </c>
      <c r="D526" t="s">
        <v>31</v>
      </c>
      <c r="E526" t="s">
        <v>682</v>
      </c>
      <c r="F526" t="s">
        <v>812</v>
      </c>
      <c r="G526" s="22">
        <v>36139</v>
      </c>
      <c r="H526" s="21">
        <v>22.575342465753426</v>
      </c>
      <c r="I526" t="s">
        <v>1215</v>
      </c>
      <c r="J526" t="s">
        <v>4005</v>
      </c>
      <c r="K526" t="s">
        <v>4006</v>
      </c>
      <c r="L526">
        <v>3115114911</v>
      </c>
    </row>
    <row r="527" spans="1:12" x14ac:dyDescent="0.25">
      <c r="A527">
        <v>527</v>
      </c>
      <c r="B527" t="s">
        <v>2242</v>
      </c>
      <c r="C527" t="s">
        <v>483</v>
      </c>
      <c r="D527" t="s">
        <v>399</v>
      </c>
      <c r="E527" t="s">
        <v>784</v>
      </c>
      <c r="F527" t="s">
        <v>684</v>
      </c>
      <c r="G527" s="22">
        <v>21492</v>
      </c>
      <c r="H527" s="21">
        <v>62.704109589041096</v>
      </c>
      <c r="I527" t="s">
        <v>594</v>
      </c>
      <c r="J527" t="s">
        <v>3037</v>
      </c>
      <c r="K527" t="s">
        <v>3038</v>
      </c>
      <c r="L527">
        <v>3115114910</v>
      </c>
    </row>
    <row r="528" spans="1:12" x14ac:dyDescent="0.25">
      <c r="A528">
        <v>528</v>
      </c>
      <c r="B528" t="s">
        <v>1700</v>
      </c>
      <c r="C528" t="s">
        <v>962</v>
      </c>
      <c r="D528" t="s">
        <v>963</v>
      </c>
      <c r="E528" t="s">
        <v>800</v>
      </c>
      <c r="F528" t="s">
        <v>61</v>
      </c>
      <c r="G528" s="22">
        <v>33852</v>
      </c>
      <c r="H528" s="21">
        <v>28.841095890410958</v>
      </c>
      <c r="I528" t="s">
        <v>1178</v>
      </c>
      <c r="J528" t="s">
        <v>4007</v>
      </c>
      <c r="K528" t="s">
        <v>4008</v>
      </c>
      <c r="L528">
        <v>3115114910</v>
      </c>
    </row>
    <row r="529" spans="1:12" x14ac:dyDescent="0.25">
      <c r="A529">
        <v>529</v>
      </c>
      <c r="B529" t="s">
        <v>2243</v>
      </c>
      <c r="C529" t="s">
        <v>1108</v>
      </c>
      <c r="D529" t="s">
        <v>1054</v>
      </c>
      <c r="E529" t="s">
        <v>235</v>
      </c>
      <c r="F529" t="s">
        <v>730</v>
      </c>
      <c r="G529" s="22">
        <v>35308</v>
      </c>
      <c r="H529" s="21">
        <v>24.852054794520548</v>
      </c>
      <c r="I529" t="s">
        <v>583</v>
      </c>
      <c r="J529" t="s">
        <v>3039</v>
      </c>
      <c r="K529" t="s">
        <v>3040</v>
      </c>
      <c r="L529">
        <v>3115114909</v>
      </c>
    </row>
    <row r="530" spans="1:12" x14ac:dyDescent="0.25">
      <c r="A530">
        <v>530</v>
      </c>
      <c r="B530" t="s">
        <v>1701</v>
      </c>
      <c r="C530" t="s">
        <v>949</v>
      </c>
      <c r="D530" t="s">
        <v>13</v>
      </c>
      <c r="E530" t="s">
        <v>801</v>
      </c>
      <c r="F530" t="s">
        <v>842</v>
      </c>
      <c r="G530" s="22">
        <v>31973</v>
      </c>
      <c r="H530" s="21">
        <v>33.989041095890414</v>
      </c>
      <c r="I530" t="s">
        <v>606</v>
      </c>
      <c r="J530" t="s">
        <v>4009</v>
      </c>
      <c r="K530" t="s">
        <v>4010</v>
      </c>
      <c r="L530">
        <v>3115114909</v>
      </c>
    </row>
    <row r="531" spans="1:12" x14ac:dyDescent="0.25">
      <c r="A531">
        <v>531</v>
      </c>
      <c r="B531" t="s">
        <v>2244</v>
      </c>
      <c r="C531" t="s">
        <v>401</v>
      </c>
      <c r="D531" t="s">
        <v>448</v>
      </c>
      <c r="E531" t="s">
        <v>718</v>
      </c>
      <c r="F531" t="s">
        <v>723</v>
      </c>
      <c r="G531" s="22">
        <v>27825</v>
      </c>
      <c r="H531" s="21">
        <v>45.353424657534248</v>
      </c>
      <c r="I531" t="s">
        <v>1312</v>
      </c>
      <c r="J531" t="s">
        <v>3041</v>
      </c>
      <c r="K531" t="s">
        <v>3042</v>
      </c>
      <c r="L531">
        <v>3115060130</v>
      </c>
    </row>
    <row r="532" spans="1:12" x14ac:dyDescent="0.25">
      <c r="A532">
        <v>532</v>
      </c>
      <c r="B532" t="s">
        <v>1702</v>
      </c>
      <c r="C532" t="s">
        <v>19</v>
      </c>
      <c r="D532" t="s">
        <v>25</v>
      </c>
      <c r="E532" t="s">
        <v>684</v>
      </c>
      <c r="F532" t="s">
        <v>781</v>
      </c>
      <c r="G532" s="22">
        <v>25248</v>
      </c>
      <c r="H532" s="21">
        <v>52.413698630136984</v>
      </c>
      <c r="I532" t="s">
        <v>1181</v>
      </c>
      <c r="J532" t="s">
        <v>4011</v>
      </c>
      <c r="K532" t="s">
        <v>4012</v>
      </c>
      <c r="L532">
        <v>3115060130</v>
      </c>
    </row>
    <row r="533" spans="1:12" x14ac:dyDescent="0.25">
      <c r="A533">
        <v>533</v>
      </c>
      <c r="B533" t="s">
        <v>2245</v>
      </c>
      <c r="C533" t="s">
        <v>431</v>
      </c>
      <c r="D533" t="s">
        <v>498</v>
      </c>
      <c r="E533" t="s">
        <v>731</v>
      </c>
      <c r="F533" t="s">
        <v>717</v>
      </c>
      <c r="G533" s="22">
        <v>22609</v>
      </c>
      <c r="H533" s="21">
        <v>59.643835616438359</v>
      </c>
      <c r="I533" t="s">
        <v>1381</v>
      </c>
      <c r="J533" t="s">
        <v>3043</v>
      </c>
      <c r="K533" t="s">
        <v>3044</v>
      </c>
      <c r="L533">
        <v>3115060125</v>
      </c>
    </row>
    <row r="534" spans="1:12" x14ac:dyDescent="0.25">
      <c r="A534">
        <v>534</v>
      </c>
      <c r="B534" t="s">
        <v>1703</v>
      </c>
      <c r="C534" t="s">
        <v>964</v>
      </c>
      <c r="D534" t="s">
        <v>190</v>
      </c>
      <c r="E534" t="s">
        <v>802</v>
      </c>
      <c r="F534" t="s">
        <v>278</v>
      </c>
      <c r="G534" s="22">
        <v>36366</v>
      </c>
      <c r="H534" s="21">
        <v>21.953424657534246</v>
      </c>
      <c r="I534" t="s">
        <v>575</v>
      </c>
      <c r="J534" t="s">
        <v>4013</v>
      </c>
      <c r="K534" t="s">
        <v>4014</v>
      </c>
      <c r="L534">
        <v>3115060125</v>
      </c>
    </row>
    <row r="535" spans="1:12" x14ac:dyDescent="0.25">
      <c r="A535">
        <v>535</v>
      </c>
      <c r="B535" t="s">
        <v>2246</v>
      </c>
      <c r="C535" t="s">
        <v>483</v>
      </c>
      <c r="D535" t="s">
        <v>432</v>
      </c>
      <c r="E535" t="s">
        <v>711</v>
      </c>
      <c r="F535" t="s">
        <v>794</v>
      </c>
      <c r="G535" s="22">
        <v>28821</v>
      </c>
      <c r="H535" s="21">
        <v>42.624657534246573</v>
      </c>
      <c r="I535" t="s">
        <v>575</v>
      </c>
      <c r="J535" t="s">
        <v>3045</v>
      </c>
      <c r="K535" t="s">
        <v>3046</v>
      </c>
      <c r="L535">
        <v>3115060110</v>
      </c>
    </row>
    <row r="536" spans="1:12" x14ac:dyDescent="0.25">
      <c r="A536">
        <v>536</v>
      </c>
      <c r="B536" t="s">
        <v>1704</v>
      </c>
      <c r="C536" t="s">
        <v>965</v>
      </c>
      <c r="D536" t="s">
        <v>25</v>
      </c>
      <c r="E536" t="s">
        <v>803</v>
      </c>
      <c r="F536" t="s">
        <v>679</v>
      </c>
      <c r="G536" s="22">
        <v>30008</v>
      </c>
      <c r="H536" s="21">
        <v>39.372602739726027</v>
      </c>
      <c r="I536" t="s">
        <v>1209</v>
      </c>
      <c r="J536" t="s">
        <v>4015</v>
      </c>
      <c r="K536" t="s">
        <v>4016</v>
      </c>
      <c r="L536">
        <v>3115060110</v>
      </c>
    </row>
    <row r="537" spans="1:12" x14ac:dyDescent="0.25">
      <c r="A537">
        <v>537</v>
      </c>
      <c r="B537" t="s">
        <v>2247</v>
      </c>
      <c r="C537" t="s">
        <v>371</v>
      </c>
      <c r="D537" t="s">
        <v>391</v>
      </c>
      <c r="E537" t="s">
        <v>712</v>
      </c>
      <c r="F537" t="s">
        <v>754</v>
      </c>
      <c r="G537" s="22">
        <v>30202</v>
      </c>
      <c r="H537" s="21">
        <v>38.841095890410962</v>
      </c>
      <c r="I537" t="s">
        <v>1326</v>
      </c>
      <c r="J537" t="s">
        <v>3047</v>
      </c>
      <c r="K537" t="s">
        <v>3048</v>
      </c>
      <c r="L537">
        <v>3115060091</v>
      </c>
    </row>
    <row r="538" spans="1:12" x14ac:dyDescent="0.25">
      <c r="A538">
        <v>538</v>
      </c>
      <c r="B538" t="s">
        <v>1705</v>
      </c>
      <c r="C538" t="s">
        <v>966</v>
      </c>
      <c r="D538" t="s">
        <v>624</v>
      </c>
      <c r="E538" t="s">
        <v>804</v>
      </c>
      <c r="F538" t="s">
        <v>800</v>
      </c>
      <c r="G538" s="22">
        <v>31775</v>
      </c>
      <c r="H538" s="21">
        <v>34.531506849315072</v>
      </c>
      <c r="I538" t="s">
        <v>547</v>
      </c>
      <c r="J538" t="s">
        <v>4017</v>
      </c>
      <c r="K538" t="s">
        <v>4018</v>
      </c>
      <c r="L538">
        <v>3115060091</v>
      </c>
    </row>
    <row r="539" spans="1:12" x14ac:dyDescent="0.25">
      <c r="A539">
        <v>539</v>
      </c>
      <c r="B539" t="s">
        <v>2248</v>
      </c>
      <c r="C539" t="s">
        <v>866</v>
      </c>
      <c r="D539" t="s">
        <v>426</v>
      </c>
      <c r="E539" t="s">
        <v>793</v>
      </c>
      <c r="F539" t="s">
        <v>721</v>
      </c>
      <c r="G539" s="22">
        <v>27245</v>
      </c>
      <c r="H539" s="21">
        <v>46.942465753424656</v>
      </c>
      <c r="I539" t="s">
        <v>578</v>
      </c>
      <c r="J539" t="s">
        <v>3049</v>
      </c>
      <c r="K539" t="s">
        <v>3050</v>
      </c>
      <c r="L539">
        <v>3115060080</v>
      </c>
    </row>
    <row r="540" spans="1:12" x14ac:dyDescent="0.25">
      <c r="A540">
        <v>540</v>
      </c>
      <c r="B540" t="s">
        <v>1706</v>
      </c>
      <c r="C540" t="s">
        <v>24</v>
      </c>
      <c r="D540" t="s">
        <v>967</v>
      </c>
      <c r="E540" t="s">
        <v>708</v>
      </c>
      <c r="F540" t="s">
        <v>737</v>
      </c>
      <c r="G540" s="22">
        <v>30058</v>
      </c>
      <c r="H540" s="21">
        <v>39.235616438356168</v>
      </c>
      <c r="I540" t="s">
        <v>1204</v>
      </c>
      <c r="J540" t="s">
        <v>4019</v>
      </c>
      <c r="K540" t="s">
        <v>4020</v>
      </c>
      <c r="L540">
        <v>3115060080</v>
      </c>
    </row>
    <row r="541" spans="1:12" x14ac:dyDescent="0.25">
      <c r="A541">
        <v>541</v>
      </c>
      <c r="B541" t="s">
        <v>2249</v>
      </c>
      <c r="C541" t="s">
        <v>1109</v>
      </c>
      <c r="D541" t="s">
        <v>491</v>
      </c>
      <c r="E541" t="s">
        <v>710</v>
      </c>
      <c r="F541" t="s">
        <v>832</v>
      </c>
      <c r="G541" s="22">
        <v>21211</v>
      </c>
      <c r="H541" s="21">
        <v>63.473972602739728</v>
      </c>
      <c r="I541" t="s">
        <v>1382</v>
      </c>
      <c r="J541" t="s">
        <v>3051</v>
      </c>
      <c r="K541" t="s">
        <v>3052</v>
      </c>
      <c r="L541">
        <v>3115114385</v>
      </c>
    </row>
    <row r="542" spans="1:12" x14ac:dyDescent="0.25">
      <c r="A542">
        <v>542</v>
      </c>
      <c r="B542" t="s">
        <v>1707</v>
      </c>
      <c r="C542" t="s">
        <v>968</v>
      </c>
      <c r="D542" t="s">
        <v>319</v>
      </c>
      <c r="E542" t="s">
        <v>805</v>
      </c>
      <c r="F542" t="s">
        <v>247</v>
      </c>
      <c r="G542" s="22">
        <v>34843</v>
      </c>
      <c r="H542" s="21">
        <v>26.126027397260273</v>
      </c>
      <c r="I542" t="s">
        <v>1186</v>
      </c>
      <c r="J542" t="s">
        <v>4021</v>
      </c>
      <c r="K542" t="s">
        <v>4022</v>
      </c>
      <c r="L542">
        <v>3115114385</v>
      </c>
    </row>
    <row r="543" spans="1:12" x14ac:dyDescent="0.25">
      <c r="A543">
        <v>543</v>
      </c>
      <c r="B543" t="s">
        <v>2250</v>
      </c>
      <c r="C543" t="s">
        <v>1110</v>
      </c>
      <c r="D543" t="s">
        <v>349</v>
      </c>
      <c r="E543" t="s">
        <v>829</v>
      </c>
      <c r="F543" t="s">
        <v>780</v>
      </c>
      <c r="G543" s="22">
        <v>26326</v>
      </c>
      <c r="H543" s="21">
        <v>49.460273972602742</v>
      </c>
      <c r="I543" t="s">
        <v>542</v>
      </c>
      <c r="J543" t="s">
        <v>3053</v>
      </c>
      <c r="K543" t="s">
        <v>3054</v>
      </c>
      <c r="L543">
        <v>3115114360</v>
      </c>
    </row>
    <row r="544" spans="1:12" x14ac:dyDescent="0.25">
      <c r="A544">
        <v>544</v>
      </c>
      <c r="B544" t="s">
        <v>1708</v>
      </c>
      <c r="C544" t="s">
        <v>969</v>
      </c>
      <c r="D544" t="s">
        <v>630</v>
      </c>
      <c r="E544" t="s">
        <v>806</v>
      </c>
      <c r="F544" t="s">
        <v>772</v>
      </c>
      <c r="G544" s="22">
        <v>31502</v>
      </c>
      <c r="H544" s="21">
        <v>35.279452054794518</v>
      </c>
      <c r="I544" t="s">
        <v>566</v>
      </c>
      <c r="J544" t="s">
        <v>4023</v>
      </c>
      <c r="K544" t="s">
        <v>4024</v>
      </c>
      <c r="L544">
        <v>3115114360</v>
      </c>
    </row>
    <row r="545" spans="1:12" x14ac:dyDescent="0.25">
      <c r="A545">
        <v>545</v>
      </c>
      <c r="B545" t="s">
        <v>2251</v>
      </c>
      <c r="C545" t="s">
        <v>359</v>
      </c>
      <c r="D545" t="s">
        <v>330</v>
      </c>
      <c r="E545" t="s">
        <v>769</v>
      </c>
      <c r="F545" t="s">
        <v>719</v>
      </c>
      <c r="G545" s="22">
        <v>29440</v>
      </c>
      <c r="H545" s="21">
        <v>40.92876712328767</v>
      </c>
      <c r="I545" t="s">
        <v>564</v>
      </c>
      <c r="J545" t="s">
        <v>3055</v>
      </c>
      <c r="K545" t="s">
        <v>3056</v>
      </c>
      <c r="L545">
        <v>3115093653</v>
      </c>
    </row>
    <row r="546" spans="1:12" x14ac:dyDescent="0.25">
      <c r="A546">
        <v>546</v>
      </c>
      <c r="B546" t="s">
        <v>1709</v>
      </c>
      <c r="C546" t="s">
        <v>324</v>
      </c>
      <c r="D546" t="s">
        <v>970</v>
      </c>
      <c r="E546" t="s">
        <v>807</v>
      </c>
      <c r="F546" t="s">
        <v>677</v>
      </c>
      <c r="G546" s="22">
        <v>28162</v>
      </c>
      <c r="H546" s="21">
        <v>44.43013698630137</v>
      </c>
      <c r="I546" t="s">
        <v>1210</v>
      </c>
      <c r="J546" t="s">
        <v>4025</v>
      </c>
      <c r="K546" t="s">
        <v>4026</v>
      </c>
      <c r="L546">
        <v>3115093653</v>
      </c>
    </row>
    <row r="547" spans="1:12" x14ac:dyDescent="0.25">
      <c r="A547">
        <v>547</v>
      </c>
      <c r="B547" t="s">
        <v>2252</v>
      </c>
      <c r="C547" t="s">
        <v>335</v>
      </c>
      <c r="D547" t="s">
        <v>1111</v>
      </c>
      <c r="E547" t="s">
        <v>221</v>
      </c>
      <c r="F547" t="s">
        <v>824</v>
      </c>
      <c r="G547" s="22">
        <v>30049</v>
      </c>
      <c r="H547" s="21">
        <v>39.260273972602739</v>
      </c>
      <c r="I547" t="s">
        <v>1284</v>
      </c>
      <c r="J547" t="s">
        <v>3057</v>
      </c>
      <c r="K547" t="s">
        <v>3058</v>
      </c>
      <c r="L547">
        <v>3115093598</v>
      </c>
    </row>
    <row r="548" spans="1:12" x14ac:dyDescent="0.25">
      <c r="A548">
        <v>548</v>
      </c>
      <c r="B548" t="s">
        <v>1710</v>
      </c>
      <c r="C548" t="s">
        <v>78</v>
      </c>
      <c r="D548" t="s">
        <v>306</v>
      </c>
      <c r="E548" t="s">
        <v>701</v>
      </c>
      <c r="F548" t="s">
        <v>686</v>
      </c>
      <c r="G548" s="22">
        <v>34634</v>
      </c>
      <c r="H548" s="21">
        <v>26.698630136986303</v>
      </c>
      <c r="I548" t="s">
        <v>1242</v>
      </c>
      <c r="J548" t="s">
        <v>4027</v>
      </c>
      <c r="K548" t="s">
        <v>4028</v>
      </c>
      <c r="L548">
        <v>3115093598</v>
      </c>
    </row>
    <row r="549" spans="1:12" x14ac:dyDescent="0.25">
      <c r="A549">
        <v>549</v>
      </c>
      <c r="B549" t="s">
        <v>2253</v>
      </c>
      <c r="C549" t="s">
        <v>431</v>
      </c>
      <c r="D549" t="s">
        <v>402</v>
      </c>
      <c r="E549" t="s">
        <v>800</v>
      </c>
      <c r="F549" t="s">
        <v>745</v>
      </c>
      <c r="G549" s="22">
        <v>32745</v>
      </c>
      <c r="H549" s="21">
        <v>31.873972602739727</v>
      </c>
      <c r="I549" t="s">
        <v>544</v>
      </c>
      <c r="J549" t="s">
        <v>3059</v>
      </c>
      <c r="K549" t="s">
        <v>3060</v>
      </c>
      <c r="L549">
        <v>3115093583</v>
      </c>
    </row>
    <row r="550" spans="1:12" x14ac:dyDescent="0.25">
      <c r="A550">
        <v>550</v>
      </c>
      <c r="B550" t="s">
        <v>1711</v>
      </c>
      <c r="C550" t="s">
        <v>629</v>
      </c>
      <c r="D550" t="s">
        <v>8</v>
      </c>
      <c r="E550" t="s">
        <v>808</v>
      </c>
      <c r="F550" t="s">
        <v>712</v>
      </c>
      <c r="G550" s="22">
        <v>32087</v>
      </c>
      <c r="H550" s="21">
        <v>33.676712328767124</v>
      </c>
      <c r="I550" t="s">
        <v>1167</v>
      </c>
      <c r="J550" t="s">
        <v>4029</v>
      </c>
      <c r="K550" t="s">
        <v>4030</v>
      </c>
      <c r="L550">
        <v>3115093583</v>
      </c>
    </row>
    <row r="551" spans="1:12" x14ac:dyDescent="0.25">
      <c r="A551">
        <v>551</v>
      </c>
      <c r="B551" t="s">
        <v>2254</v>
      </c>
      <c r="C551" t="s">
        <v>880</v>
      </c>
      <c r="D551" t="s">
        <v>656</v>
      </c>
      <c r="E551" t="s">
        <v>717</v>
      </c>
      <c r="F551" t="s">
        <v>692</v>
      </c>
      <c r="G551" s="22">
        <v>34293</v>
      </c>
      <c r="H551" s="21">
        <v>27.632876712328766</v>
      </c>
      <c r="I551" t="s">
        <v>1383</v>
      </c>
      <c r="J551" t="s">
        <v>3061</v>
      </c>
      <c r="K551" t="s">
        <v>3062</v>
      </c>
      <c r="L551">
        <v>3115092386</v>
      </c>
    </row>
    <row r="552" spans="1:12" x14ac:dyDescent="0.25">
      <c r="A552">
        <v>552</v>
      </c>
      <c r="B552" t="s">
        <v>1712</v>
      </c>
      <c r="C552" t="s">
        <v>108</v>
      </c>
      <c r="D552" t="s">
        <v>634</v>
      </c>
      <c r="E552" t="s">
        <v>809</v>
      </c>
      <c r="F552" t="s">
        <v>743</v>
      </c>
      <c r="G552" s="22">
        <v>25376</v>
      </c>
      <c r="H552" s="21">
        <v>52.063013698630137</v>
      </c>
      <c r="I552" t="s">
        <v>549</v>
      </c>
      <c r="J552" t="s">
        <v>4031</v>
      </c>
      <c r="K552" t="s">
        <v>4032</v>
      </c>
      <c r="L552">
        <v>3115092386</v>
      </c>
    </row>
    <row r="553" spans="1:12" x14ac:dyDescent="0.25">
      <c r="A553">
        <v>553</v>
      </c>
      <c r="B553" t="s">
        <v>2255</v>
      </c>
      <c r="C553" t="s">
        <v>342</v>
      </c>
      <c r="D553" t="s">
        <v>402</v>
      </c>
      <c r="E553" t="s">
        <v>767</v>
      </c>
      <c r="F553" t="s">
        <v>736</v>
      </c>
      <c r="G553" s="22">
        <v>33322</v>
      </c>
      <c r="H553" s="21">
        <v>30.293150684931508</v>
      </c>
      <c r="I553" t="s">
        <v>1384</v>
      </c>
      <c r="J553" t="s">
        <v>3063</v>
      </c>
      <c r="K553" t="s">
        <v>3064</v>
      </c>
      <c r="L553">
        <v>3115092375</v>
      </c>
    </row>
    <row r="554" spans="1:12" x14ac:dyDescent="0.25">
      <c r="A554">
        <v>554</v>
      </c>
      <c r="B554" t="s">
        <v>1713</v>
      </c>
      <c r="C554" t="s">
        <v>896</v>
      </c>
      <c r="D554" t="s">
        <v>971</v>
      </c>
      <c r="E554" t="s">
        <v>810</v>
      </c>
      <c r="F554" t="s">
        <v>846</v>
      </c>
      <c r="G554" s="22">
        <v>27731</v>
      </c>
      <c r="H554" s="21">
        <v>45.610958904109587</v>
      </c>
      <c r="I554" t="s">
        <v>1177</v>
      </c>
      <c r="J554" t="s">
        <v>4033</v>
      </c>
      <c r="K554" t="s">
        <v>4034</v>
      </c>
      <c r="L554">
        <v>3115092375</v>
      </c>
    </row>
    <row r="555" spans="1:12" x14ac:dyDescent="0.25">
      <c r="A555">
        <v>555</v>
      </c>
      <c r="B555" t="s">
        <v>2256</v>
      </c>
      <c r="C555" t="s">
        <v>341</v>
      </c>
      <c r="D555" t="s">
        <v>342</v>
      </c>
      <c r="E555" t="s">
        <v>750</v>
      </c>
      <c r="F555" t="s">
        <v>829</v>
      </c>
      <c r="G555" s="22">
        <v>24751</v>
      </c>
      <c r="H555" s="21">
        <v>53.775342465753425</v>
      </c>
      <c r="I555" t="s">
        <v>1385</v>
      </c>
      <c r="J555" t="s">
        <v>3065</v>
      </c>
      <c r="K555" t="s">
        <v>3066</v>
      </c>
      <c r="L555">
        <v>3115092369</v>
      </c>
    </row>
    <row r="556" spans="1:12" x14ac:dyDescent="0.25">
      <c r="A556">
        <v>556</v>
      </c>
      <c r="B556" t="s">
        <v>1714</v>
      </c>
      <c r="C556" t="s">
        <v>972</v>
      </c>
      <c r="D556" t="s">
        <v>50</v>
      </c>
      <c r="E556" t="s">
        <v>811</v>
      </c>
      <c r="F556" t="s">
        <v>42</v>
      </c>
      <c r="G556" s="22">
        <v>25713</v>
      </c>
      <c r="H556" s="21">
        <v>51.139726027397259</v>
      </c>
      <c r="I556" t="s">
        <v>1203</v>
      </c>
      <c r="J556" t="s">
        <v>4035</v>
      </c>
      <c r="K556" t="s">
        <v>4036</v>
      </c>
      <c r="L556">
        <v>3115092369</v>
      </c>
    </row>
    <row r="557" spans="1:12" x14ac:dyDescent="0.25">
      <c r="A557">
        <v>557</v>
      </c>
      <c r="B557" t="s">
        <v>2257</v>
      </c>
      <c r="C557" t="s">
        <v>341</v>
      </c>
      <c r="D557" t="s">
        <v>483</v>
      </c>
      <c r="E557" t="s">
        <v>755</v>
      </c>
      <c r="F557" t="s">
        <v>673</v>
      </c>
      <c r="G557" s="22">
        <v>28132</v>
      </c>
      <c r="H557" s="21">
        <v>44.512328767123286</v>
      </c>
      <c r="I557" t="s">
        <v>568</v>
      </c>
      <c r="J557" t="s">
        <v>3067</v>
      </c>
      <c r="K557" t="s">
        <v>3068</v>
      </c>
      <c r="L557">
        <v>3115092360</v>
      </c>
    </row>
    <row r="558" spans="1:12" x14ac:dyDescent="0.25">
      <c r="A558">
        <v>558</v>
      </c>
      <c r="B558" t="s">
        <v>1715</v>
      </c>
      <c r="C558" t="s">
        <v>50</v>
      </c>
      <c r="D558" t="s">
        <v>620</v>
      </c>
      <c r="E558" t="s">
        <v>812</v>
      </c>
      <c r="F558" t="s">
        <v>808</v>
      </c>
      <c r="G558" s="22">
        <v>35432</v>
      </c>
      <c r="H558" s="21">
        <v>24.512328767123286</v>
      </c>
      <c r="I558" t="s">
        <v>1165</v>
      </c>
      <c r="J558" t="s">
        <v>4037</v>
      </c>
      <c r="K558" t="s">
        <v>4038</v>
      </c>
      <c r="L558">
        <v>3115092360</v>
      </c>
    </row>
    <row r="559" spans="1:12" x14ac:dyDescent="0.25">
      <c r="A559">
        <v>559</v>
      </c>
      <c r="B559" t="s">
        <v>2258</v>
      </c>
      <c r="C559" t="s">
        <v>483</v>
      </c>
      <c r="D559" t="s">
        <v>880</v>
      </c>
      <c r="E559" t="s">
        <v>845</v>
      </c>
      <c r="F559" t="s">
        <v>688</v>
      </c>
      <c r="G559" s="22">
        <v>34032</v>
      </c>
      <c r="H559" s="21">
        <v>28.347945205479451</v>
      </c>
      <c r="I559" t="s">
        <v>537</v>
      </c>
      <c r="J559" t="s">
        <v>3069</v>
      </c>
      <c r="K559" t="s">
        <v>3070</v>
      </c>
      <c r="L559">
        <v>3115092352</v>
      </c>
    </row>
    <row r="560" spans="1:12" x14ac:dyDescent="0.25">
      <c r="A560">
        <v>560</v>
      </c>
      <c r="B560" t="s">
        <v>1716</v>
      </c>
      <c r="C560" t="s">
        <v>973</v>
      </c>
      <c r="D560" t="s">
        <v>974</v>
      </c>
      <c r="E560" t="s">
        <v>813</v>
      </c>
      <c r="F560" t="s">
        <v>779</v>
      </c>
      <c r="G560" s="22">
        <v>35427</v>
      </c>
      <c r="H560" s="21">
        <v>24.526027397260275</v>
      </c>
      <c r="I560" t="s">
        <v>1174</v>
      </c>
      <c r="J560" t="s">
        <v>4039</v>
      </c>
      <c r="K560" t="s">
        <v>4040</v>
      </c>
      <c r="L560">
        <v>3115092352</v>
      </c>
    </row>
    <row r="561" spans="1:12" x14ac:dyDescent="0.25">
      <c r="A561">
        <v>561</v>
      </c>
      <c r="B561" t="s">
        <v>2259</v>
      </c>
      <c r="C561" t="s">
        <v>483</v>
      </c>
      <c r="D561" t="s">
        <v>369</v>
      </c>
      <c r="E561" t="s">
        <v>699</v>
      </c>
      <c r="F561" t="s">
        <v>831</v>
      </c>
      <c r="G561" s="22">
        <v>23065</v>
      </c>
      <c r="H561" s="21">
        <v>58.394520547945206</v>
      </c>
      <c r="I561" t="s">
        <v>1386</v>
      </c>
      <c r="J561" t="s">
        <v>3071</v>
      </c>
      <c r="K561" t="s">
        <v>3072</v>
      </c>
      <c r="L561">
        <v>3115114930</v>
      </c>
    </row>
    <row r="562" spans="1:12" x14ac:dyDescent="0.25">
      <c r="A562">
        <v>562</v>
      </c>
      <c r="B562" t="s">
        <v>1717</v>
      </c>
      <c r="C562" t="s">
        <v>975</v>
      </c>
      <c r="D562" t="s">
        <v>7</v>
      </c>
      <c r="E562" t="s">
        <v>814</v>
      </c>
      <c r="F562" t="s">
        <v>777</v>
      </c>
      <c r="G562" s="22">
        <v>27908</v>
      </c>
      <c r="H562" s="21">
        <v>45.126027397260273</v>
      </c>
      <c r="I562" t="s">
        <v>1192</v>
      </c>
      <c r="J562" t="s">
        <v>4041</v>
      </c>
      <c r="K562" t="s">
        <v>4042</v>
      </c>
      <c r="L562">
        <v>3115114930</v>
      </c>
    </row>
    <row r="563" spans="1:12" x14ac:dyDescent="0.25">
      <c r="A563">
        <v>563</v>
      </c>
      <c r="B563" t="s">
        <v>2260</v>
      </c>
      <c r="C563" t="s">
        <v>654</v>
      </c>
      <c r="D563" t="s">
        <v>511</v>
      </c>
      <c r="E563" t="s">
        <v>713</v>
      </c>
      <c r="F563" t="s">
        <v>795</v>
      </c>
      <c r="G563" s="22">
        <v>21051</v>
      </c>
      <c r="H563" s="21">
        <v>63.912328767123284</v>
      </c>
      <c r="I563" t="s">
        <v>1165</v>
      </c>
      <c r="J563" t="s">
        <v>3073</v>
      </c>
      <c r="K563" t="s">
        <v>3074</v>
      </c>
      <c r="L563">
        <v>3115114916</v>
      </c>
    </row>
    <row r="564" spans="1:12" x14ac:dyDescent="0.25">
      <c r="A564">
        <v>564</v>
      </c>
      <c r="B564" t="s">
        <v>1718</v>
      </c>
      <c r="C564" t="s">
        <v>976</v>
      </c>
      <c r="D564" t="s">
        <v>9</v>
      </c>
      <c r="E564" t="s">
        <v>687</v>
      </c>
      <c r="F564" t="s">
        <v>782</v>
      </c>
      <c r="G564" s="22">
        <v>25702</v>
      </c>
      <c r="H564" s="21">
        <v>51.169863013698631</v>
      </c>
      <c r="I564" t="s">
        <v>1182</v>
      </c>
      <c r="J564" t="s">
        <v>4043</v>
      </c>
      <c r="K564" t="s">
        <v>4044</v>
      </c>
      <c r="L564">
        <v>3115114916</v>
      </c>
    </row>
    <row r="565" spans="1:12" x14ac:dyDescent="0.25">
      <c r="A565">
        <v>565</v>
      </c>
      <c r="B565" t="s">
        <v>2261</v>
      </c>
      <c r="C565" t="s">
        <v>431</v>
      </c>
      <c r="D565" t="s">
        <v>339</v>
      </c>
      <c r="E565" t="s">
        <v>702</v>
      </c>
      <c r="F565" t="s">
        <v>675</v>
      </c>
      <c r="G565" s="22">
        <v>25172</v>
      </c>
      <c r="H565" s="21">
        <v>52.62191780821918</v>
      </c>
      <c r="I565" t="s">
        <v>1313</v>
      </c>
      <c r="J565" t="s">
        <v>3075</v>
      </c>
      <c r="K565" t="s">
        <v>3076</v>
      </c>
      <c r="L565">
        <v>3115114911</v>
      </c>
    </row>
    <row r="566" spans="1:12" x14ac:dyDescent="0.25">
      <c r="A566">
        <v>566</v>
      </c>
      <c r="B566" t="s">
        <v>1719</v>
      </c>
      <c r="C566" t="s">
        <v>977</v>
      </c>
      <c r="D566" t="s">
        <v>622</v>
      </c>
      <c r="E566" t="s">
        <v>815</v>
      </c>
      <c r="F566" t="s">
        <v>839</v>
      </c>
      <c r="G566" s="22">
        <v>26508</v>
      </c>
      <c r="H566" s="21">
        <v>48.961643835616435</v>
      </c>
      <c r="I566" t="s">
        <v>1214</v>
      </c>
      <c r="J566" t="s">
        <v>4045</v>
      </c>
      <c r="K566" t="s">
        <v>4046</v>
      </c>
      <c r="L566">
        <v>3115114911</v>
      </c>
    </row>
    <row r="567" spans="1:12" x14ac:dyDescent="0.25">
      <c r="A567">
        <v>567</v>
      </c>
      <c r="B567" t="s">
        <v>2262</v>
      </c>
      <c r="C567" t="s">
        <v>342</v>
      </c>
      <c r="D567" t="s">
        <v>402</v>
      </c>
      <c r="E567" t="s">
        <v>832</v>
      </c>
      <c r="F567" t="s">
        <v>815</v>
      </c>
      <c r="G567" s="22">
        <v>37499</v>
      </c>
      <c r="H567" s="21">
        <v>18.849315068493151</v>
      </c>
      <c r="I567" t="s">
        <v>533</v>
      </c>
      <c r="J567" t="s">
        <v>3077</v>
      </c>
      <c r="K567" t="s">
        <v>3078</v>
      </c>
      <c r="L567">
        <v>3115114910</v>
      </c>
    </row>
    <row r="568" spans="1:12" x14ac:dyDescent="0.25">
      <c r="A568">
        <v>568</v>
      </c>
      <c r="B568" t="s">
        <v>1720</v>
      </c>
      <c r="C568" t="s">
        <v>324</v>
      </c>
      <c r="D568" t="s">
        <v>626</v>
      </c>
      <c r="E568" t="s">
        <v>679</v>
      </c>
      <c r="F568" t="s">
        <v>470</v>
      </c>
      <c r="G568" s="22">
        <v>33879</v>
      </c>
      <c r="H568" s="21">
        <v>28.767123287671232</v>
      </c>
      <c r="I568" t="s">
        <v>1189</v>
      </c>
      <c r="J568" t="s">
        <v>4047</v>
      </c>
      <c r="K568" t="s">
        <v>4048</v>
      </c>
      <c r="L568">
        <v>3115114910</v>
      </c>
    </row>
    <row r="569" spans="1:12" x14ac:dyDescent="0.25">
      <c r="A569">
        <v>569</v>
      </c>
      <c r="B569" t="s">
        <v>2263</v>
      </c>
      <c r="C569" t="s">
        <v>492</v>
      </c>
      <c r="D569" t="s">
        <v>50</v>
      </c>
      <c r="E569" t="s">
        <v>811</v>
      </c>
      <c r="F569" t="s">
        <v>845</v>
      </c>
      <c r="G569" s="22">
        <v>37097</v>
      </c>
      <c r="H569" s="21">
        <v>19.950684931506849</v>
      </c>
      <c r="I569" t="s">
        <v>593</v>
      </c>
      <c r="J569" t="s">
        <v>3079</v>
      </c>
      <c r="K569" t="s">
        <v>3080</v>
      </c>
      <c r="L569">
        <v>3115114909</v>
      </c>
    </row>
    <row r="570" spans="1:12" x14ac:dyDescent="0.25">
      <c r="A570">
        <v>570</v>
      </c>
      <c r="B570" t="s">
        <v>1721</v>
      </c>
      <c r="C570" t="s">
        <v>978</v>
      </c>
      <c r="D570" t="s">
        <v>979</v>
      </c>
      <c r="E570" t="s">
        <v>816</v>
      </c>
      <c r="F570" t="s">
        <v>803</v>
      </c>
      <c r="G570" s="22">
        <v>36269</v>
      </c>
      <c r="H570" s="21">
        <v>22.219178082191782</v>
      </c>
      <c r="I570" t="s">
        <v>1201</v>
      </c>
      <c r="J570" t="s">
        <v>4049</v>
      </c>
      <c r="K570" t="s">
        <v>4050</v>
      </c>
      <c r="L570">
        <v>3115114909</v>
      </c>
    </row>
    <row r="571" spans="1:12" x14ac:dyDescent="0.25">
      <c r="A571">
        <v>571</v>
      </c>
      <c r="B571" t="s">
        <v>2264</v>
      </c>
      <c r="C571" t="s">
        <v>371</v>
      </c>
      <c r="D571" t="s">
        <v>391</v>
      </c>
      <c r="E571" t="s">
        <v>733</v>
      </c>
      <c r="F571" t="s">
        <v>701</v>
      </c>
      <c r="G571" s="22">
        <v>31873</v>
      </c>
      <c r="H571" s="21">
        <v>34.263013698630139</v>
      </c>
      <c r="I571" t="s">
        <v>589</v>
      </c>
      <c r="J571" t="s">
        <v>3081</v>
      </c>
      <c r="K571" t="s">
        <v>3082</v>
      </c>
      <c r="L571">
        <v>3115060130</v>
      </c>
    </row>
    <row r="572" spans="1:12" x14ac:dyDescent="0.25">
      <c r="A572">
        <v>572</v>
      </c>
      <c r="B572" t="s">
        <v>1722</v>
      </c>
      <c r="C572" t="s">
        <v>980</v>
      </c>
      <c r="D572" t="s">
        <v>50</v>
      </c>
      <c r="E572" t="s">
        <v>458</v>
      </c>
      <c r="F572" t="s">
        <v>753</v>
      </c>
      <c r="G572" s="22">
        <v>25986</v>
      </c>
      <c r="H572" s="21">
        <v>50.391780821917806</v>
      </c>
      <c r="I572" t="s">
        <v>1176</v>
      </c>
      <c r="J572" t="s">
        <v>4051</v>
      </c>
      <c r="K572" t="s">
        <v>4052</v>
      </c>
      <c r="L572">
        <v>3115060130</v>
      </c>
    </row>
    <row r="573" spans="1:12" x14ac:dyDescent="0.25">
      <c r="A573">
        <v>573</v>
      </c>
      <c r="B573" t="s">
        <v>2265</v>
      </c>
      <c r="C573" t="s">
        <v>873</v>
      </c>
      <c r="D573" t="s">
        <v>431</v>
      </c>
      <c r="E573" t="s">
        <v>471</v>
      </c>
      <c r="F573" t="s">
        <v>731</v>
      </c>
      <c r="G573" s="22">
        <v>24985</v>
      </c>
      <c r="H573" s="21">
        <v>53.134246575342466</v>
      </c>
      <c r="I573" t="s">
        <v>585</v>
      </c>
      <c r="J573" t="s">
        <v>3083</v>
      </c>
      <c r="K573" t="s">
        <v>3084</v>
      </c>
      <c r="L573">
        <v>3115060125</v>
      </c>
    </row>
    <row r="574" spans="1:12" x14ac:dyDescent="0.25">
      <c r="A574">
        <v>574</v>
      </c>
      <c r="B574" t="s">
        <v>1723</v>
      </c>
      <c r="C574" t="s">
        <v>981</v>
      </c>
      <c r="D574" t="s">
        <v>482</v>
      </c>
      <c r="E574" t="s">
        <v>817</v>
      </c>
      <c r="F574" t="s">
        <v>838</v>
      </c>
      <c r="G574" s="22">
        <v>31799</v>
      </c>
      <c r="H574" s="21">
        <v>34.465753424657535</v>
      </c>
      <c r="I574" t="s">
        <v>1189</v>
      </c>
      <c r="J574" t="s">
        <v>4053</v>
      </c>
      <c r="K574" t="s">
        <v>4054</v>
      </c>
      <c r="L574">
        <v>3115060125</v>
      </c>
    </row>
    <row r="575" spans="1:12" x14ac:dyDescent="0.25">
      <c r="A575">
        <v>575</v>
      </c>
      <c r="B575" t="s">
        <v>2266</v>
      </c>
      <c r="C575" t="s">
        <v>431</v>
      </c>
      <c r="D575" t="s">
        <v>339</v>
      </c>
      <c r="E575" t="s">
        <v>698</v>
      </c>
      <c r="F575" t="s">
        <v>797</v>
      </c>
      <c r="G575" s="22">
        <v>33972</v>
      </c>
      <c r="H575" s="21">
        <v>28.512328767123286</v>
      </c>
      <c r="I575" t="s">
        <v>1252</v>
      </c>
      <c r="J575" t="s">
        <v>3085</v>
      </c>
      <c r="K575" t="s">
        <v>3086</v>
      </c>
      <c r="L575">
        <v>3115060110</v>
      </c>
    </row>
    <row r="576" spans="1:12" x14ac:dyDescent="0.25">
      <c r="A576">
        <v>576</v>
      </c>
      <c r="B576" t="s">
        <v>1724</v>
      </c>
      <c r="C576" t="s">
        <v>20</v>
      </c>
      <c r="D576" t="s">
        <v>19</v>
      </c>
      <c r="E576" t="s">
        <v>818</v>
      </c>
      <c r="F576" t="s">
        <v>456</v>
      </c>
      <c r="G576" s="22">
        <v>28782</v>
      </c>
      <c r="H576" s="21">
        <v>42.731506849315068</v>
      </c>
      <c r="I576" t="s">
        <v>569</v>
      </c>
      <c r="J576" t="s">
        <v>4055</v>
      </c>
      <c r="K576" t="s">
        <v>4056</v>
      </c>
      <c r="L576">
        <v>3115060110</v>
      </c>
    </row>
    <row r="577" spans="1:12" x14ac:dyDescent="0.25">
      <c r="A577">
        <v>577</v>
      </c>
      <c r="B577" t="s">
        <v>2267</v>
      </c>
      <c r="C577" t="s">
        <v>374</v>
      </c>
      <c r="D577" t="s">
        <v>432</v>
      </c>
      <c r="E577" t="s">
        <v>776</v>
      </c>
      <c r="F577" t="s">
        <v>686</v>
      </c>
      <c r="G577" s="22">
        <v>29331</v>
      </c>
      <c r="H577" s="21">
        <v>41.227397260273975</v>
      </c>
      <c r="I577" t="s">
        <v>561</v>
      </c>
      <c r="J577" t="s">
        <v>3087</v>
      </c>
      <c r="K577" t="s">
        <v>3088</v>
      </c>
      <c r="L577">
        <v>3115060091</v>
      </c>
    </row>
    <row r="578" spans="1:12" x14ac:dyDescent="0.25">
      <c r="A578">
        <v>578</v>
      </c>
      <c r="B578" t="s">
        <v>1725</v>
      </c>
      <c r="C578" t="s">
        <v>942</v>
      </c>
      <c r="D578" t="s">
        <v>629</v>
      </c>
      <c r="E578" t="s">
        <v>819</v>
      </c>
      <c r="F578" t="s">
        <v>821</v>
      </c>
      <c r="G578" s="22">
        <v>24551</v>
      </c>
      <c r="H578" s="21">
        <v>54.323287671232876</v>
      </c>
      <c r="I578" t="s">
        <v>1191</v>
      </c>
      <c r="J578" t="s">
        <v>4057</v>
      </c>
      <c r="K578" t="s">
        <v>4058</v>
      </c>
      <c r="L578">
        <v>3115060091</v>
      </c>
    </row>
    <row r="579" spans="1:12" x14ac:dyDescent="0.25">
      <c r="A579">
        <v>579</v>
      </c>
      <c r="B579" t="s">
        <v>2268</v>
      </c>
      <c r="C579" t="s">
        <v>507</v>
      </c>
      <c r="D579" t="s">
        <v>886</v>
      </c>
      <c r="E579" t="s">
        <v>817</v>
      </c>
      <c r="F579" t="s">
        <v>782</v>
      </c>
      <c r="G579" s="22">
        <v>30890</v>
      </c>
      <c r="H579" s="21">
        <v>36.956164383561642</v>
      </c>
      <c r="I579" t="s">
        <v>551</v>
      </c>
      <c r="J579" t="s">
        <v>3089</v>
      </c>
      <c r="K579" t="s">
        <v>3090</v>
      </c>
      <c r="L579">
        <v>3115060080</v>
      </c>
    </row>
    <row r="580" spans="1:12" x14ac:dyDescent="0.25">
      <c r="A580">
        <v>580</v>
      </c>
      <c r="B580" t="s">
        <v>1726</v>
      </c>
      <c r="C580" t="s">
        <v>949</v>
      </c>
      <c r="D580" t="s">
        <v>306</v>
      </c>
      <c r="E580" t="s">
        <v>820</v>
      </c>
      <c r="F580" t="s">
        <v>811</v>
      </c>
      <c r="G580" s="22">
        <v>28445</v>
      </c>
      <c r="H580" s="21">
        <v>43.654794520547945</v>
      </c>
      <c r="I580" t="s">
        <v>1243</v>
      </c>
      <c r="J580" t="s">
        <v>4059</v>
      </c>
      <c r="K580" t="s">
        <v>4060</v>
      </c>
      <c r="L580">
        <v>3115060080</v>
      </c>
    </row>
    <row r="581" spans="1:12" x14ac:dyDescent="0.25">
      <c r="A581">
        <v>581</v>
      </c>
      <c r="B581" t="s">
        <v>2269</v>
      </c>
      <c r="C581" t="s">
        <v>481</v>
      </c>
      <c r="D581" t="s">
        <v>483</v>
      </c>
      <c r="E581" t="s">
        <v>786</v>
      </c>
      <c r="F581" t="s">
        <v>805</v>
      </c>
      <c r="G581" s="22">
        <v>37217</v>
      </c>
      <c r="H581" s="21">
        <v>19.621917808219177</v>
      </c>
      <c r="I581" t="s">
        <v>549</v>
      </c>
      <c r="J581" t="s">
        <v>3091</v>
      </c>
      <c r="K581" t="s">
        <v>3092</v>
      </c>
      <c r="L581">
        <v>3115114385</v>
      </c>
    </row>
    <row r="582" spans="1:12" x14ac:dyDescent="0.25">
      <c r="A582">
        <v>582</v>
      </c>
      <c r="B582" t="s">
        <v>1727</v>
      </c>
      <c r="C582" t="s">
        <v>920</v>
      </c>
      <c r="D582" t="s">
        <v>951</v>
      </c>
      <c r="E582" t="s">
        <v>680</v>
      </c>
      <c r="F582" t="s">
        <v>693</v>
      </c>
      <c r="G582" s="22">
        <v>28496</v>
      </c>
      <c r="H582" s="21">
        <v>43.515068493150686</v>
      </c>
      <c r="I582" t="s">
        <v>1240</v>
      </c>
      <c r="J582" t="s">
        <v>4061</v>
      </c>
      <c r="K582" t="s">
        <v>4062</v>
      </c>
      <c r="L582">
        <v>3115114385</v>
      </c>
    </row>
    <row r="583" spans="1:12" x14ac:dyDescent="0.25">
      <c r="A583">
        <v>583</v>
      </c>
      <c r="B583" t="s">
        <v>2270</v>
      </c>
      <c r="C583" t="s">
        <v>356</v>
      </c>
      <c r="D583" t="s">
        <v>498</v>
      </c>
      <c r="E583" t="s">
        <v>728</v>
      </c>
      <c r="F583" t="s">
        <v>834</v>
      </c>
      <c r="G583" s="22">
        <v>28831</v>
      </c>
      <c r="H583" s="21">
        <v>42.597260273972601</v>
      </c>
      <c r="I583" t="s">
        <v>1387</v>
      </c>
      <c r="J583" t="s">
        <v>3093</v>
      </c>
      <c r="K583" t="s">
        <v>3094</v>
      </c>
      <c r="L583">
        <v>3115114360</v>
      </c>
    </row>
    <row r="584" spans="1:12" x14ac:dyDescent="0.25">
      <c r="A584">
        <v>584</v>
      </c>
      <c r="B584" t="s">
        <v>1728</v>
      </c>
      <c r="C584" t="s">
        <v>324</v>
      </c>
      <c r="D584" t="s">
        <v>306</v>
      </c>
      <c r="E584" t="s">
        <v>712</v>
      </c>
      <c r="F584" t="s">
        <v>837</v>
      </c>
      <c r="G584" s="22">
        <v>25287</v>
      </c>
      <c r="H584" s="21">
        <v>52.30684931506849</v>
      </c>
      <c r="I584" t="s">
        <v>1241</v>
      </c>
      <c r="J584" t="s">
        <v>4063</v>
      </c>
      <c r="K584" t="s">
        <v>4064</v>
      </c>
      <c r="L584">
        <v>3115114360</v>
      </c>
    </row>
    <row r="585" spans="1:12" x14ac:dyDescent="0.25">
      <c r="A585">
        <v>585</v>
      </c>
      <c r="B585" t="s">
        <v>2271</v>
      </c>
      <c r="C585" t="s">
        <v>429</v>
      </c>
      <c r="D585" t="s">
        <v>483</v>
      </c>
      <c r="E585" t="s">
        <v>818</v>
      </c>
      <c r="F585" t="s">
        <v>818</v>
      </c>
      <c r="G585" s="22">
        <v>30541</v>
      </c>
      <c r="H585" s="21">
        <v>37.912328767123284</v>
      </c>
      <c r="I585" t="s">
        <v>532</v>
      </c>
      <c r="J585" t="s">
        <v>3095</v>
      </c>
      <c r="K585" t="s">
        <v>3096</v>
      </c>
      <c r="L585">
        <v>3115093653</v>
      </c>
    </row>
    <row r="586" spans="1:12" x14ac:dyDescent="0.25">
      <c r="A586">
        <v>586</v>
      </c>
      <c r="B586" t="s">
        <v>1729</v>
      </c>
      <c r="C586" t="s">
        <v>7</v>
      </c>
      <c r="D586" t="s">
        <v>8</v>
      </c>
      <c r="E586" t="s">
        <v>821</v>
      </c>
      <c r="F586" t="s">
        <v>792</v>
      </c>
      <c r="G586" s="22">
        <v>32875</v>
      </c>
      <c r="H586" s="21">
        <v>31.517808219178082</v>
      </c>
      <c r="I586" t="s">
        <v>569</v>
      </c>
      <c r="J586" t="s">
        <v>4065</v>
      </c>
      <c r="K586" t="s">
        <v>4066</v>
      </c>
      <c r="L586">
        <v>3115093653</v>
      </c>
    </row>
    <row r="587" spans="1:12" x14ac:dyDescent="0.25">
      <c r="A587">
        <v>587</v>
      </c>
      <c r="B587" t="s">
        <v>2272</v>
      </c>
      <c r="C587" t="s">
        <v>483</v>
      </c>
      <c r="D587" t="s">
        <v>431</v>
      </c>
      <c r="E587" t="s">
        <v>768</v>
      </c>
      <c r="F587" t="s">
        <v>278</v>
      </c>
      <c r="G587" s="22">
        <v>25877</v>
      </c>
      <c r="H587" s="21">
        <v>50.69041095890411</v>
      </c>
      <c r="I587" t="s">
        <v>1388</v>
      </c>
      <c r="J587" t="s">
        <v>3097</v>
      </c>
      <c r="K587" t="s">
        <v>3098</v>
      </c>
      <c r="L587">
        <v>3115093598</v>
      </c>
    </row>
    <row r="588" spans="1:12" x14ac:dyDescent="0.25">
      <c r="A588">
        <v>588</v>
      </c>
      <c r="B588" t="s">
        <v>1730</v>
      </c>
      <c r="C588" t="s">
        <v>50</v>
      </c>
      <c r="D588" t="s">
        <v>895</v>
      </c>
      <c r="E588" t="s">
        <v>822</v>
      </c>
      <c r="F588" t="s">
        <v>822</v>
      </c>
      <c r="G588" s="22">
        <v>27066</v>
      </c>
      <c r="H588" s="21">
        <v>47.43287671232877</v>
      </c>
      <c r="I588" t="s">
        <v>1266</v>
      </c>
      <c r="J588" t="s">
        <v>4067</v>
      </c>
      <c r="K588" t="s">
        <v>4068</v>
      </c>
      <c r="L588">
        <v>3115093598</v>
      </c>
    </row>
    <row r="589" spans="1:12" x14ac:dyDescent="0.25">
      <c r="A589">
        <v>589</v>
      </c>
      <c r="B589" t="s">
        <v>2273</v>
      </c>
      <c r="C589" t="s">
        <v>341</v>
      </c>
      <c r="D589" t="s">
        <v>483</v>
      </c>
      <c r="E589" t="s">
        <v>740</v>
      </c>
      <c r="F589" t="s">
        <v>298</v>
      </c>
      <c r="G589" s="22">
        <v>27727</v>
      </c>
      <c r="H589" s="21">
        <v>45.62191780821918</v>
      </c>
      <c r="I589" t="s">
        <v>571</v>
      </c>
      <c r="J589" t="s">
        <v>3099</v>
      </c>
      <c r="K589" t="s">
        <v>3100</v>
      </c>
      <c r="L589">
        <v>3115093583</v>
      </c>
    </row>
    <row r="590" spans="1:12" x14ac:dyDescent="0.25">
      <c r="A590">
        <v>590</v>
      </c>
      <c r="B590" t="s">
        <v>1731</v>
      </c>
      <c r="C590" t="s">
        <v>982</v>
      </c>
      <c r="D590" t="s">
        <v>894</v>
      </c>
      <c r="E590" t="s">
        <v>471</v>
      </c>
      <c r="F590" t="s">
        <v>762</v>
      </c>
      <c r="G590" s="22">
        <v>32475</v>
      </c>
      <c r="H590" s="21">
        <v>32.613698630136987</v>
      </c>
      <c r="I590" t="s">
        <v>1258</v>
      </c>
      <c r="J590" t="s">
        <v>4069</v>
      </c>
      <c r="K590" t="s">
        <v>4070</v>
      </c>
      <c r="L590">
        <v>3115093583</v>
      </c>
    </row>
    <row r="591" spans="1:12" x14ac:dyDescent="0.25">
      <c r="A591">
        <v>591</v>
      </c>
      <c r="B591" t="s">
        <v>2274</v>
      </c>
      <c r="C591" t="s">
        <v>1112</v>
      </c>
      <c r="D591" t="s">
        <v>479</v>
      </c>
      <c r="E591" t="s">
        <v>830</v>
      </c>
      <c r="F591" t="s">
        <v>816</v>
      </c>
      <c r="G591" s="22">
        <v>28794</v>
      </c>
      <c r="H591" s="21">
        <v>42.698630136986303</v>
      </c>
      <c r="I591" t="s">
        <v>538</v>
      </c>
      <c r="J591" t="s">
        <v>3101</v>
      </c>
      <c r="K591" t="s">
        <v>3102</v>
      </c>
      <c r="L591">
        <v>3115092386</v>
      </c>
    </row>
    <row r="592" spans="1:12" x14ac:dyDescent="0.25">
      <c r="A592">
        <v>592</v>
      </c>
      <c r="B592" t="s">
        <v>1732</v>
      </c>
      <c r="C592" t="s">
        <v>324</v>
      </c>
      <c r="D592" t="s">
        <v>629</v>
      </c>
      <c r="E592" t="s">
        <v>823</v>
      </c>
      <c r="F592" t="s">
        <v>685</v>
      </c>
      <c r="G592" s="22">
        <v>33049</v>
      </c>
      <c r="H592" s="21">
        <v>31.041095890410958</v>
      </c>
      <c r="I592" t="s">
        <v>1199</v>
      </c>
      <c r="J592" t="s">
        <v>4071</v>
      </c>
      <c r="K592" t="s">
        <v>4072</v>
      </c>
      <c r="L592">
        <v>3115092386</v>
      </c>
    </row>
    <row r="593" spans="1:12" x14ac:dyDescent="0.25">
      <c r="A593">
        <v>593</v>
      </c>
      <c r="B593" t="s">
        <v>2275</v>
      </c>
      <c r="C593" t="s">
        <v>345</v>
      </c>
      <c r="D593" t="s">
        <v>654</v>
      </c>
      <c r="E593" t="s">
        <v>746</v>
      </c>
      <c r="F593" t="s">
        <v>779</v>
      </c>
      <c r="G593" s="22">
        <v>26206</v>
      </c>
      <c r="H593" s="21">
        <v>49.789041095890411</v>
      </c>
      <c r="I593" t="s">
        <v>1389</v>
      </c>
      <c r="J593" t="s">
        <v>3103</v>
      </c>
      <c r="K593" t="s">
        <v>3104</v>
      </c>
      <c r="L593">
        <v>3115092375</v>
      </c>
    </row>
    <row r="594" spans="1:12" x14ac:dyDescent="0.25">
      <c r="A594">
        <v>594</v>
      </c>
      <c r="B594" t="s">
        <v>1733</v>
      </c>
      <c r="C594" t="s">
        <v>50</v>
      </c>
      <c r="D594" t="s">
        <v>159</v>
      </c>
      <c r="E594" t="s">
        <v>706</v>
      </c>
      <c r="F594" t="s">
        <v>707</v>
      </c>
      <c r="G594" s="22">
        <v>28375</v>
      </c>
      <c r="H594" s="21">
        <v>43.846575342465755</v>
      </c>
      <c r="I594" t="s">
        <v>1213</v>
      </c>
      <c r="J594" t="s">
        <v>4073</v>
      </c>
      <c r="K594" t="s">
        <v>4074</v>
      </c>
      <c r="L594">
        <v>3115092375</v>
      </c>
    </row>
    <row r="595" spans="1:12" x14ac:dyDescent="0.25">
      <c r="A595">
        <v>595</v>
      </c>
      <c r="B595" t="s">
        <v>2276</v>
      </c>
      <c r="C595" t="s">
        <v>342</v>
      </c>
      <c r="D595" t="s">
        <v>1113</v>
      </c>
      <c r="E595" t="s">
        <v>705</v>
      </c>
      <c r="F595" t="s">
        <v>475</v>
      </c>
      <c r="G595" s="22">
        <v>33005</v>
      </c>
      <c r="H595" s="21">
        <v>31.161643835616438</v>
      </c>
      <c r="I595" t="s">
        <v>1390</v>
      </c>
      <c r="J595" t="s">
        <v>3105</v>
      </c>
      <c r="K595" t="s">
        <v>3106</v>
      </c>
      <c r="L595">
        <v>3115092369</v>
      </c>
    </row>
    <row r="596" spans="1:12" x14ac:dyDescent="0.25">
      <c r="A596">
        <v>596</v>
      </c>
      <c r="B596" t="s">
        <v>1734</v>
      </c>
      <c r="C596" t="s">
        <v>983</v>
      </c>
      <c r="D596" t="s">
        <v>306</v>
      </c>
      <c r="E596" t="s">
        <v>824</v>
      </c>
      <c r="F596" t="s">
        <v>714</v>
      </c>
      <c r="G596" s="22">
        <v>36108</v>
      </c>
      <c r="H596" s="21">
        <v>22.660273972602738</v>
      </c>
      <c r="I596" t="s">
        <v>1164</v>
      </c>
      <c r="J596" t="s">
        <v>4075</v>
      </c>
      <c r="K596" t="s">
        <v>4076</v>
      </c>
      <c r="L596">
        <v>3115092369</v>
      </c>
    </row>
    <row r="597" spans="1:12" x14ac:dyDescent="0.25">
      <c r="A597">
        <v>597</v>
      </c>
      <c r="B597" t="s">
        <v>2277</v>
      </c>
      <c r="C597" t="s">
        <v>332</v>
      </c>
      <c r="D597" t="s">
        <v>658</v>
      </c>
      <c r="E597" t="s">
        <v>708</v>
      </c>
      <c r="F597" t="s">
        <v>680</v>
      </c>
      <c r="G597" s="22">
        <v>25626</v>
      </c>
      <c r="H597" s="21">
        <v>51.37808219178082</v>
      </c>
      <c r="I597" t="s">
        <v>604</v>
      </c>
      <c r="J597" t="s">
        <v>3107</v>
      </c>
      <c r="K597" t="s">
        <v>3108</v>
      </c>
      <c r="L597">
        <v>3115092360</v>
      </c>
    </row>
    <row r="598" spans="1:12" x14ac:dyDescent="0.25">
      <c r="A598">
        <v>598</v>
      </c>
      <c r="B598" t="s">
        <v>1735</v>
      </c>
      <c r="C598" t="s">
        <v>984</v>
      </c>
      <c r="D598" t="s">
        <v>102</v>
      </c>
      <c r="E598" t="s">
        <v>825</v>
      </c>
      <c r="F598" t="s">
        <v>730</v>
      </c>
      <c r="G598" s="22">
        <v>25463</v>
      </c>
      <c r="H598" s="21">
        <v>51.824657534246576</v>
      </c>
      <c r="I598" t="s">
        <v>1208</v>
      </c>
      <c r="J598" t="s">
        <v>4077</v>
      </c>
      <c r="K598" t="s">
        <v>4078</v>
      </c>
      <c r="L598">
        <v>3115092360</v>
      </c>
    </row>
    <row r="599" spans="1:12" x14ac:dyDescent="0.25">
      <c r="A599">
        <v>599</v>
      </c>
      <c r="B599" t="s">
        <v>2278</v>
      </c>
      <c r="C599" t="s">
        <v>860</v>
      </c>
      <c r="D599" t="s">
        <v>498</v>
      </c>
      <c r="E599" t="s">
        <v>777</v>
      </c>
      <c r="F599" t="s">
        <v>727</v>
      </c>
      <c r="G599" s="22">
        <v>20852</v>
      </c>
      <c r="H599" s="21">
        <v>64.457534246575349</v>
      </c>
      <c r="I599" t="s">
        <v>1391</v>
      </c>
      <c r="J599" t="s">
        <v>3109</v>
      </c>
      <c r="K599" t="s">
        <v>3110</v>
      </c>
      <c r="L599">
        <v>3115092352</v>
      </c>
    </row>
    <row r="600" spans="1:12" x14ac:dyDescent="0.25">
      <c r="A600">
        <v>600</v>
      </c>
      <c r="B600" t="s">
        <v>1736</v>
      </c>
      <c r="C600" t="s">
        <v>942</v>
      </c>
      <c r="D600" t="s">
        <v>17</v>
      </c>
      <c r="E600" t="s">
        <v>711</v>
      </c>
      <c r="F600" t="s">
        <v>475</v>
      </c>
      <c r="G600" s="22">
        <v>25812</v>
      </c>
      <c r="H600" s="21">
        <v>50.868493150684934</v>
      </c>
      <c r="I600" t="s">
        <v>566</v>
      </c>
      <c r="J600" t="s">
        <v>4079</v>
      </c>
      <c r="K600" t="s">
        <v>4080</v>
      </c>
      <c r="L600">
        <v>3115092352</v>
      </c>
    </row>
    <row r="601" spans="1:12" x14ac:dyDescent="0.25">
      <c r="A601">
        <v>601</v>
      </c>
      <c r="B601" t="s">
        <v>2279</v>
      </c>
      <c r="C601" t="s">
        <v>448</v>
      </c>
      <c r="D601" t="s">
        <v>333</v>
      </c>
      <c r="E601" t="s">
        <v>749</v>
      </c>
      <c r="F601" t="s">
        <v>683</v>
      </c>
      <c r="G601" s="22">
        <v>31700</v>
      </c>
      <c r="H601" s="21">
        <v>34.736986301369861</v>
      </c>
      <c r="I601" t="s">
        <v>1392</v>
      </c>
      <c r="J601" t="s">
        <v>3111</v>
      </c>
      <c r="K601" t="s">
        <v>3112</v>
      </c>
      <c r="L601">
        <v>3115114930</v>
      </c>
    </row>
    <row r="602" spans="1:12" x14ac:dyDescent="0.25">
      <c r="A602">
        <v>602</v>
      </c>
      <c r="B602" t="s">
        <v>1737</v>
      </c>
      <c r="C602" t="s">
        <v>50</v>
      </c>
      <c r="D602" t="s">
        <v>492</v>
      </c>
      <c r="E602" t="s">
        <v>826</v>
      </c>
      <c r="F602" t="s">
        <v>776</v>
      </c>
      <c r="G602" s="22">
        <v>36026</v>
      </c>
      <c r="H602" s="21">
        <v>22.884931506849316</v>
      </c>
      <c r="I602" t="s">
        <v>1200</v>
      </c>
      <c r="J602" t="s">
        <v>4081</v>
      </c>
      <c r="K602" t="s">
        <v>4082</v>
      </c>
      <c r="L602">
        <v>3115114930</v>
      </c>
    </row>
    <row r="603" spans="1:12" x14ac:dyDescent="0.25">
      <c r="A603">
        <v>603</v>
      </c>
      <c r="B603" t="s">
        <v>2280</v>
      </c>
      <c r="C603" t="s">
        <v>873</v>
      </c>
      <c r="D603" t="s">
        <v>365</v>
      </c>
      <c r="E603" t="s">
        <v>701</v>
      </c>
      <c r="F603" t="s">
        <v>837</v>
      </c>
      <c r="G603" s="22">
        <v>20851</v>
      </c>
      <c r="H603" s="21">
        <v>64.460273972602735</v>
      </c>
      <c r="I603" t="s">
        <v>597</v>
      </c>
      <c r="J603" t="s">
        <v>3113</v>
      </c>
      <c r="K603" t="s">
        <v>3114</v>
      </c>
      <c r="L603">
        <v>3115114916</v>
      </c>
    </row>
    <row r="604" spans="1:12" x14ac:dyDescent="0.25">
      <c r="A604">
        <v>604</v>
      </c>
      <c r="B604" t="s">
        <v>1738</v>
      </c>
      <c r="C604" t="s">
        <v>31</v>
      </c>
      <c r="D604" t="s">
        <v>893</v>
      </c>
      <c r="E604" t="s">
        <v>827</v>
      </c>
      <c r="F604" t="s">
        <v>813</v>
      </c>
      <c r="G604" s="22">
        <v>26288</v>
      </c>
      <c r="H604" s="21">
        <v>49.564383561643837</v>
      </c>
      <c r="I604" t="s">
        <v>1183</v>
      </c>
      <c r="J604" t="s">
        <v>4083</v>
      </c>
      <c r="K604" t="s">
        <v>4084</v>
      </c>
      <c r="L604">
        <v>3115114916</v>
      </c>
    </row>
    <row r="605" spans="1:12" x14ac:dyDescent="0.25">
      <c r="A605">
        <v>605</v>
      </c>
      <c r="B605" t="s">
        <v>2281</v>
      </c>
      <c r="C605" t="s">
        <v>1114</v>
      </c>
      <c r="D605" t="s">
        <v>503</v>
      </c>
      <c r="E605" t="s">
        <v>729</v>
      </c>
      <c r="F605" t="s">
        <v>838</v>
      </c>
      <c r="G605" s="22">
        <v>29272</v>
      </c>
      <c r="H605" s="21">
        <v>41.389041095890413</v>
      </c>
      <c r="I605" t="s">
        <v>1393</v>
      </c>
      <c r="J605" t="s">
        <v>3115</v>
      </c>
      <c r="K605" t="s">
        <v>3116</v>
      </c>
      <c r="L605">
        <v>3115114911</v>
      </c>
    </row>
    <row r="606" spans="1:12" x14ac:dyDescent="0.25">
      <c r="A606">
        <v>606</v>
      </c>
      <c r="B606" t="s">
        <v>1739</v>
      </c>
      <c r="C606" t="s">
        <v>620</v>
      </c>
      <c r="D606" t="s">
        <v>897</v>
      </c>
      <c r="E606" t="s">
        <v>828</v>
      </c>
      <c r="F606" t="s">
        <v>476</v>
      </c>
      <c r="G606" s="22">
        <v>35467</v>
      </c>
      <c r="H606" s="21">
        <v>24.416438356164385</v>
      </c>
      <c r="I606" t="s">
        <v>1234</v>
      </c>
      <c r="J606" t="s">
        <v>4085</v>
      </c>
      <c r="K606" t="s">
        <v>4086</v>
      </c>
      <c r="L606">
        <v>3115114911</v>
      </c>
    </row>
    <row r="607" spans="1:12" x14ac:dyDescent="0.25">
      <c r="A607">
        <v>607</v>
      </c>
      <c r="B607" t="s">
        <v>2282</v>
      </c>
      <c r="C607" t="s">
        <v>401</v>
      </c>
      <c r="D607" t="s">
        <v>332</v>
      </c>
      <c r="E607" t="s">
        <v>846</v>
      </c>
      <c r="F607" t="s">
        <v>755</v>
      </c>
      <c r="G607" s="22">
        <v>28300</v>
      </c>
      <c r="H607" s="21">
        <v>44.052054794520551</v>
      </c>
      <c r="I607" t="s">
        <v>611</v>
      </c>
      <c r="J607" t="s">
        <v>3117</v>
      </c>
      <c r="K607" t="s">
        <v>3118</v>
      </c>
      <c r="L607">
        <v>3115114910</v>
      </c>
    </row>
    <row r="608" spans="1:12" x14ac:dyDescent="0.25">
      <c r="A608">
        <v>608</v>
      </c>
      <c r="B608" t="s">
        <v>1740</v>
      </c>
      <c r="C608" t="s">
        <v>190</v>
      </c>
      <c r="D608" t="s">
        <v>7</v>
      </c>
      <c r="E608" t="s">
        <v>692</v>
      </c>
      <c r="F608" t="s">
        <v>729</v>
      </c>
      <c r="G608" s="22">
        <v>32493</v>
      </c>
      <c r="H608" s="21">
        <v>32.564383561643837</v>
      </c>
      <c r="I608" t="s">
        <v>1177</v>
      </c>
      <c r="J608" t="s">
        <v>4087</v>
      </c>
      <c r="K608" t="s">
        <v>4088</v>
      </c>
      <c r="L608">
        <v>3115114910</v>
      </c>
    </row>
    <row r="609" spans="1:12" x14ac:dyDescent="0.25">
      <c r="A609">
        <v>609</v>
      </c>
      <c r="B609" t="s">
        <v>2283</v>
      </c>
      <c r="C609" t="s">
        <v>507</v>
      </c>
      <c r="D609" t="s">
        <v>1115</v>
      </c>
      <c r="E609" t="s">
        <v>687</v>
      </c>
      <c r="F609" t="s">
        <v>747</v>
      </c>
      <c r="G609" s="22">
        <v>29719</v>
      </c>
      <c r="H609" s="21">
        <v>40.164383561643838</v>
      </c>
      <c r="I609" t="s">
        <v>1394</v>
      </c>
      <c r="J609" t="s">
        <v>3119</v>
      </c>
      <c r="K609" t="s">
        <v>3120</v>
      </c>
      <c r="L609">
        <v>3115114909</v>
      </c>
    </row>
    <row r="610" spans="1:12" x14ac:dyDescent="0.25">
      <c r="A610">
        <v>610</v>
      </c>
      <c r="B610" t="s">
        <v>1741</v>
      </c>
      <c r="C610" t="s">
        <v>324</v>
      </c>
      <c r="D610" t="s">
        <v>985</v>
      </c>
      <c r="E610" t="s">
        <v>829</v>
      </c>
      <c r="F610" t="s">
        <v>744</v>
      </c>
      <c r="G610" s="22">
        <v>32755</v>
      </c>
      <c r="H610" s="21">
        <v>31.846575342465755</v>
      </c>
      <c r="I610" t="s">
        <v>1169</v>
      </c>
      <c r="J610" t="s">
        <v>4089</v>
      </c>
      <c r="K610" t="s">
        <v>4090</v>
      </c>
      <c r="L610">
        <v>3115114909</v>
      </c>
    </row>
    <row r="611" spans="1:12" x14ac:dyDescent="0.25">
      <c r="A611">
        <v>611</v>
      </c>
      <c r="B611" t="s">
        <v>2284</v>
      </c>
      <c r="C611" t="s">
        <v>341</v>
      </c>
      <c r="D611" t="s">
        <v>429</v>
      </c>
      <c r="E611" t="s">
        <v>243</v>
      </c>
      <c r="F611" t="s">
        <v>682</v>
      </c>
      <c r="G611" s="22">
        <v>25137</v>
      </c>
      <c r="H611" s="21">
        <v>52.717808219178082</v>
      </c>
      <c r="I611" t="s">
        <v>591</v>
      </c>
      <c r="J611" t="s">
        <v>3121</v>
      </c>
      <c r="K611" t="s">
        <v>3122</v>
      </c>
      <c r="L611">
        <v>3115060130</v>
      </c>
    </row>
    <row r="612" spans="1:12" x14ac:dyDescent="0.25">
      <c r="A612">
        <v>612</v>
      </c>
      <c r="B612" t="s">
        <v>1742</v>
      </c>
      <c r="C612" t="s">
        <v>986</v>
      </c>
      <c r="D612" t="s">
        <v>190</v>
      </c>
      <c r="E612" t="s">
        <v>476</v>
      </c>
      <c r="F612" t="s">
        <v>244</v>
      </c>
      <c r="G612" s="22">
        <v>36006</v>
      </c>
      <c r="H612" s="21">
        <v>22.93972602739726</v>
      </c>
      <c r="I612" t="s">
        <v>1188</v>
      </c>
      <c r="J612" t="s">
        <v>4091</v>
      </c>
      <c r="K612" t="s">
        <v>4092</v>
      </c>
      <c r="L612">
        <v>3115060130</v>
      </c>
    </row>
    <row r="613" spans="1:12" x14ac:dyDescent="0.25">
      <c r="A613">
        <v>613</v>
      </c>
      <c r="B613" t="s">
        <v>2285</v>
      </c>
      <c r="C613" t="s">
        <v>431</v>
      </c>
      <c r="D613" t="s">
        <v>1116</v>
      </c>
      <c r="E613" t="s">
        <v>677</v>
      </c>
      <c r="F613" t="s">
        <v>297</v>
      </c>
      <c r="G613" s="22">
        <v>30685</v>
      </c>
      <c r="H613" s="21">
        <v>37.517808219178079</v>
      </c>
      <c r="I613" t="s">
        <v>1332</v>
      </c>
      <c r="J613" t="s">
        <v>3123</v>
      </c>
      <c r="K613" t="s">
        <v>3124</v>
      </c>
      <c r="L613">
        <v>3115060125</v>
      </c>
    </row>
    <row r="614" spans="1:12" x14ac:dyDescent="0.25">
      <c r="A614">
        <v>614</v>
      </c>
      <c r="B614" t="s">
        <v>1743</v>
      </c>
      <c r="C614" t="s">
        <v>987</v>
      </c>
      <c r="D614" t="s">
        <v>988</v>
      </c>
      <c r="E614" t="s">
        <v>830</v>
      </c>
      <c r="F614" t="s">
        <v>709</v>
      </c>
      <c r="G614" s="22">
        <v>29373</v>
      </c>
      <c r="H614" s="21">
        <v>41.112328767123287</v>
      </c>
      <c r="I614" t="s">
        <v>1236</v>
      </c>
      <c r="J614" t="s">
        <v>4093</v>
      </c>
      <c r="K614" t="s">
        <v>4094</v>
      </c>
      <c r="L614">
        <v>3115060125</v>
      </c>
    </row>
    <row r="615" spans="1:12" x14ac:dyDescent="0.25">
      <c r="A615">
        <v>615</v>
      </c>
      <c r="B615" t="s">
        <v>2286</v>
      </c>
      <c r="C615" t="s">
        <v>341</v>
      </c>
      <c r="D615" t="s">
        <v>369</v>
      </c>
      <c r="E615" t="s">
        <v>745</v>
      </c>
      <c r="F615" t="s">
        <v>244</v>
      </c>
      <c r="G615" s="22">
        <v>28943</v>
      </c>
      <c r="H615" s="21">
        <v>42.290410958904111</v>
      </c>
      <c r="I615" t="s">
        <v>531</v>
      </c>
      <c r="J615" t="s">
        <v>3125</v>
      </c>
      <c r="K615" t="s">
        <v>3126</v>
      </c>
      <c r="L615">
        <v>3115060110</v>
      </c>
    </row>
    <row r="616" spans="1:12" x14ac:dyDescent="0.25">
      <c r="A616">
        <v>616</v>
      </c>
      <c r="B616" t="s">
        <v>1744</v>
      </c>
      <c r="C616" t="s">
        <v>989</v>
      </c>
      <c r="D616" t="s">
        <v>990</v>
      </c>
      <c r="E616" t="s">
        <v>831</v>
      </c>
      <c r="F616" t="s">
        <v>722</v>
      </c>
      <c r="G616" s="22">
        <v>27440</v>
      </c>
      <c r="H616" s="21">
        <v>46.408219178082192</v>
      </c>
      <c r="I616" t="s">
        <v>1228</v>
      </c>
      <c r="J616" t="s">
        <v>4095</v>
      </c>
      <c r="K616" t="s">
        <v>4096</v>
      </c>
      <c r="L616">
        <v>3115060110</v>
      </c>
    </row>
    <row r="617" spans="1:12" x14ac:dyDescent="0.25">
      <c r="A617">
        <v>617</v>
      </c>
      <c r="B617" t="s">
        <v>2287</v>
      </c>
      <c r="C617" t="s">
        <v>341</v>
      </c>
      <c r="D617" t="s">
        <v>1099</v>
      </c>
      <c r="E617" t="s">
        <v>470</v>
      </c>
      <c r="F617" t="s">
        <v>42</v>
      </c>
      <c r="G617" s="22">
        <v>37162</v>
      </c>
      <c r="H617" s="21">
        <v>19.772602739726029</v>
      </c>
      <c r="I617" t="s">
        <v>1395</v>
      </c>
      <c r="J617" t="s">
        <v>3127</v>
      </c>
      <c r="K617" t="s">
        <v>3128</v>
      </c>
      <c r="L617">
        <v>3115060091</v>
      </c>
    </row>
    <row r="618" spans="1:12" x14ac:dyDescent="0.25">
      <c r="A618">
        <v>618</v>
      </c>
      <c r="B618" t="s">
        <v>1745</v>
      </c>
      <c r="C618" t="s">
        <v>987</v>
      </c>
      <c r="D618" t="s">
        <v>991</v>
      </c>
      <c r="E618" t="s">
        <v>832</v>
      </c>
      <c r="F618" t="s">
        <v>758</v>
      </c>
      <c r="G618" s="22">
        <v>29004</v>
      </c>
      <c r="H618" s="21">
        <v>42.123287671232873</v>
      </c>
      <c r="I618" t="s">
        <v>1177</v>
      </c>
      <c r="J618" t="s">
        <v>4097</v>
      </c>
      <c r="K618" t="s">
        <v>4098</v>
      </c>
      <c r="L618">
        <v>3115060091</v>
      </c>
    </row>
    <row r="619" spans="1:12" x14ac:dyDescent="0.25">
      <c r="A619">
        <v>619</v>
      </c>
      <c r="B619" t="s">
        <v>2288</v>
      </c>
      <c r="C619" t="s">
        <v>394</v>
      </c>
      <c r="D619" t="s">
        <v>333</v>
      </c>
      <c r="E619" t="s">
        <v>715</v>
      </c>
      <c r="F619" t="s">
        <v>474</v>
      </c>
      <c r="G619" s="22">
        <v>34842</v>
      </c>
      <c r="H619" s="21">
        <v>26.12876712328767</v>
      </c>
      <c r="I619" t="s">
        <v>553</v>
      </c>
      <c r="J619" t="s">
        <v>3129</v>
      </c>
      <c r="K619" t="s">
        <v>3130</v>
      </c>
      <c r="L619">
        <v>3115060080</v>
      </c>
    </row>
    <row r="620" spans="1:12" x14ac:dyDescent="0.25">
      <c r="A620">
        <v>620</v>
      </c>
      <c r="B620" t="s">
        <v>1746</v>
      </c>
      <c r="C620" t="s">
        <v>992</v>
      </c>
      <c r="D620" t="s">
        <v>636</v>
      </c>
      <c r="E620" t="s">
        <v>833</v>
      </c>
      <c r="F620" t="s">
        <v>733</v>
      </c>
      <c r="G620" s="22">
        <v>34415</v>
      </c>
      <c r="H620" s="21">
        <v>27.298630136986301</v>
      </c>
      <c r="I620" t="s">
        <v>1247</v>
      </c>
      <c r="J620" t="s">
        <v>4099</v>
      </c>
      <c r="K620" t="s">
        <v>4100</v>
      </c>
      <c r="L620">
        <v>3115060080</v>
      </c>
    </row>
    <row r="621" spans="1:12" x14ac:dyDescent="0.25">
      <c r="A621">
        <v>621</v>
      </c>
      <c r="B621" t="s">
        <v>2289</v>
      </c>
      <c r="C621" t="s">
        <v>374</v>
      </c>
      <c r="D621" t="s">
        <v>432</v>
      </c>
      <c r="E621" t="s">
        <v>685</v>
      </c>
      <c r="F621" t="s">
        <v>817</v>
      </c>
      <c r="G621" s="22">
        <v>23509</v>
      </c>
      <c r="H621" s="21">
        <v>57.178082191780824</v>
      </c>
      <c r="I621" t="s">
        <v>922</v>
      </c>
      <c r="J621" t="s">
        <v>3131</v>
      </c>
      <c r="K621" t="s">
        <v>3132</v>
      </c>
      <c r="L621">
        <v>3115114385</v>
      </c>
    </row>
    <row r="622" spans="1:12" x14ac:dyDescent="0.25">
      <c r="A622">
        <v>622</v>
      </c>
      <c r="B622" t="s">
        <v>1747</v>
      </c>
      <c r="C622" t="s">
        <v>939</v>
      </c>
      <c r="D622" t="s">
        <v>993</v>
      </c>
      <c r="E622" t="s">
        <v>474</v>
      </c>
      <c r="F622" t="s">
        <v>823</v>
      </c>
      <c r="G622" s="22">
        <v>26746</v>
      </c>
      <c r="H622" s="21">
        <v>48.30958904109589</v>
      </c>
      <c r="I622" t="s">
        <v>569</v>
      </c>
      <c r="J622" t="s">
        <v>4101</v>
      </c>
      <c r="K622" t="s">
        <v>4102</v>
      </c>
      <c r="L622">
        <v>3115114385</v>
      </c>
    </row>
    <row r="623" spans="1:12" x14ac:dyDescent="0.25">
      <c r="A623">
        <v>623</v>
      </c>
      <c r="B623" t="s">
        <v>2290</v>
      </c>
      <c r="C623" t="s">
        <v>387</v>
      </c>
      <c r="D623" t="s">
        <v>353</v>
      </c>
      <c r="E623" t="s">
        <v>785</v>
      </c>
      <c r="F623" t="s">
        <v>766</v>
      </c>
      <c r="G623" s="22">
        <v>27583</v>
      </c>
      <c r="H623" s="21">
        <v>46.016438356164386</v>
      </c>
      <c r="I623" t="s">
        <v>1396</v>
      </c>
      <c r="J623" t="s">
        <v>3133</v>
      </c>
      <c r="K623" t="s">
        <v>3134</v>
      </c>
      <c r="L623">
        <v>3115114360</v>
      </c>
    </row>
    <row r="624" spans="1:12" x14ac:dyDescent="0.25">
      <c r="A624">
        <v>624</v>
      </c>
      <c r="B624" t="s">
        <v>1748</v>
      </c>
      <c r="C624" t="s">
        <v>994</v>
      </c>
      <c r="D624" t="s">
        <v>306</v>
      </c>
      <c r="E624" t="s">
        <v>834</v>
      </c>
      <c r="F624" t="s">
        <v>818</v>
      </c>
      <c r="G624" s="22">
        <v>32626</v>
      </c>
      <c r="H624" s="21">
        <v>32.200000000000003</v>
      </c>
      <c r="I624" t="s">
        <v>1227</v>
      </c>
      <c r="J624" t="s">
        <v>4103</v>
      </c>
      <c r="K624" t="s">
        <v>4104</v>
      </c>
      <c r="L624">
        <v>3115114360</v>
      </c>
    </row>
    <row r="625" spans="1:12" x14ac:dyDescent="0.25">
      <c r="A625">
        <v>625</v>
      </c>
      <c r="B625" t="s">
        <v>2291</v>
      </c>
      <c r="C625" t="s">
        <v>431</v>
      </c>
      <c r="D625" t="s">
        <v>656</v>
      </c>
      <c r="E625" t="s">
        <v>803</v>
      </c>
      <c r="F625" t="s">
        <v>807</v>
      </c>
      <c r="G625" s="22">
        <v>24393</v>
      </c>
      <c r="H625" s="21">
        <v>54.756164383561647</v>
      </c>
      <c r="I625" t="s">
        <v>593</v>
      </c>
      <c r="J625" t="s">
        <v>3135</v>
      </c>
      <c r="K625" t="s">
        <v>3136</v>
      </c>
      <c r="L625">
        <v>3115093653</v>
      </c>
    </row>
    <row r="626" spans="1:12" x14ac:dyDescent="0.25">
      <c r="A626">
        <v>626</v>
      </c>
      <c r="B626" t="s">
        <v>1749</v>
      </c>
      <c r="C626" t="s">
        <v>204</v>
      </c>
      <c r="D626" t="s">
        <v>50</v>
      </c>
      <c r="E626" t="s">
        <v>835</v>
      </c>
      <c r="F626" t="s">
        <v>750</v>
      </c>
      <c r="G626" s="22">
        <v>35242</v>
      </c>
      <c r="H626" s="21">
        <v>25.032876712328768</v>
      </c>
      <c r="I626" t="s">
        <v>1231</v>
      </c>
      <c r="J626" t="s">
        <v>4105</v>
      </c>
      <c r="K626" t="s">
        <v>4106</v>
      </c>
      <c r="L626">
        <v>3115093653</v>
      </c>
    </row>
    <row r="627" spans="1:12" x14ac:dyDescent="0.25">
      <c r="A627">
        <v>627</v>
      </c>
      <c r="B627" t="s">
        <v>2292</v>
      </c>
      <c r="C627" t="s">
        <v>483</v>
      </c>
      <c r="D627" t="s">
        <v>1111</v>
      </c>
      <c r="E627" t="s">
        <v>809</v>
      </c>
      <c r="F627" t="s">
        <v>710</v>
      </c>
      <c r="G627" s="22">
        <v>31040</v>
      </c>
      <c r="H627" s="21">
        <v>36.545205479452058</v>
      </c>
      <c r="I627" t="s">
        <v>583</v>
      </c>
      <c r="J627" t="s">
        <v>3137</v>
      </c>
      <c r="K627" t="s">
        <v>3138</v>
      </c>
      <c r="L627">
        <v>3115093598</v>
      </c>
    </row>
    <row r="628" spans="1:12" x14ac:dyDescent="0.25">
      <c r="A628">
        <v>628</v>
      </c>
      <c r="B628" t="s">
        <v>1750</v>
      </c>
      <c r="C628" t="s">
        <v>620</v>
      </c>
      <c r="D628" t="s">
        <v>36</v>
      </c>
      <c r="E628" t="s">
        <v>836</v>
      </c>
      <c r="F628" t="s">
        <v>676</v>
      </c>
      <c r="G628" s="22">
        <v>25242</v>
      </c>
      <c r="H628" s="21">
        <v>52.43013698630137</v>
      </c>
      <c r="I628" t="s">
        <v>1230</v>
      </c>
      <c r="J628" t="s">
        <v>4107</v>
      </c>
      <c r="K628" t="s">
        <v>4108</v>
      </c>
      <c r="L628">
        <v>3115093598</v>
      </c>
    </row>
    <row r="629" spans="1:12" x14ac:dyDescent="0.25">
      <c r="A629">
        <v>629</v>
      </c>
      <c r="B629" t="s">
        <v>2293</v>
      </c>
      <c r="C629" t="s">
        <v>1117</v>
      </c>
      <c r="D629" t="s">
        <v>330</v>
      </c>
      <c r="E629" t="s">
        <v>730</v>
      </c>
      <c r="F629" t="s">
        <v>763</v>
      </c>
      <c r="G629" s="22">
        <v>31096</v>
      </c>
      <c r="H629" s="21">
        <v>36.391780821917806</v>
      </c>
      <c r="I629" t="s">
        <v>1397</v>
      </c>
      <c r="J629" t="s">
        <v>3139</v>
      </c>
      <c r="K629" t="s">
        <v>3140</v>
      </c>
      <c r="L629">
        <v>3115093583</v>
      </c>
    </row>
    <row r="630" spans="1:12" x14ac:dyDescent="0.25">
      <c r="A630">
        <v>630</v>
      </c>
      <c r="B630" t="s">
        <v>1751</v>
      </c>
      <c r="C630" t="s">
        <v>995</v>
      </c>
      <c r="D630" t="s">
        <v>996</v>
      </c>
      <c r="E630" t="s">
        <v>837</v>
      </c>
      <c r="F630" t="s">
        <v>748</v>
      </c>
      <c r="G630" s="22">
        <v>26783</v>
      </c>
      <c r="H630" s="21">
        <v>48.208219178082189</v>
      </c>
      <c r="I630" t="s">
        <v>1239</v>
      </c>
      <c r="J630" t="s">
        <v>4109</v>
      </c>
      <c r="K630" t="s">
        <v>4110</v>
      </c>
      <c r="L630">
        <v>3115093583</v>
      </c>
    </row>
    <row r="631" spans="1:12" x14ac:dyDescent="0.25">
      <c r="A631">
        <v>631</v>
      </c>
      <c r="B631" t="s">
        <v>2294</v>
      </c>
      <c r="C631" t="s">
        <v>349</v>
      </c>
      <c r="D631" t="s">
        <v>649</v>
      </c>
      <c r="E631" t="s">
        <v>519</v>
      </c>
      <c r="F631" t="s">
        <v>753</v>
      </c>
      <c r="G631" s="22">
        <v>22450</v>
      </c>
      <c r="H631" s="21">
        <v>60.079452054794523</v>
      </c>
      <c r="I631" t="s">
        <v>582</v>
      </c>
      <c r="J631" t="s">
        <v>3141</v>
      </c>
      <c r="K631" t="s">
        <v>3142</v>
      </c>
      <c r="L631">
        <v>3115092386</v>
      </c>
    </row>
    <row r="632" spans="1:12" x14ac:dyDescent="0.25">
      <c r="A632">
        <v>632</v>
      </c>
      <c r="B632" t="s">
        <v>1752</v>
      </c>
      <c r="C632" t="s">
        <v>977</v>
      </c>
      <c r="D632" t="s">
        <v>990</v>
      </c>
      <c r="E632" t="s">
        <v>456</v>
      </c>
      <c r="F632" t="s">
        <v>759</v>
      </c>
      <c r="G632" s="22">
        <v>26783</v>
      </c>
      <c r="H632" s="21">
        <v>48.208219178082189</v>
      </c>
      <c r="I632" t="s">
        <v>1166</v>
      </c>
      <c r="J632" t="s">
        <v>4111</v>
      </c>
      <c r="K632" t="s">
        <v>4112</v>
      </c>
      <c r="L632">
        <v>3115092386</v>
      </c>
    </row>
    <row r="633" spans="1:12" x14ac:dyDescent="0.25">
      <c r="A633">
        <v>633</v>
      </c>
      <c r="B633" t="s">
        <v>2295</v>
      </c>
      <c r="C633" t="s">
        <v>491</v>
      </c>
      <c r="D633" t="s">
        <v>332</v>
      </c>
      <c r="E633" t="s">
        <v>779</v>
      </c>
      <c r="F633" t="s">
        <v>757</v>
      </c>
      <c r="G633" s="22">
        <v>28019</v>
      </c>
      <c r="H633" s="21">
        <v>44.821917808219176</v>
      </c>
      <c r="I633" t="s">
        <v>1398</v>
      </c>
      <c r="J633" t="s">
        <v>3143</v>
      </c>
      <c r="K633" t="s">
        <v>3144</v>
      </c>
      <c r="L633">
        <v>3115092375</v>
      </c>
    </row>
    <row r="634" spans="1:12" x14ac:dyDescent="0.25">
      <c r="A634">
        <v>634</v>
      </c>
      <c r="B634" t="s">
        <v>1753</v>
      </c>
      <c r="C634" t="s">
        <v>997</v>
      </c>
      <c r="D634" t="s">
        <v>938</v>
      </c>
      <c r="E634" t="s">
        <v>838</v>
      </c>
      <c r="F634" t="s">
        <v>840</v>
      </c>
      <c r="G634" s="22">
        <v>32997</v>
      </c>
      <c r="H634" s="21">
        <v>31.183561643835617</v>
      </c>
      <c r="I634" t="s">
        <v>1217</v>
      </c>
      <c r="J634" t="s">
        <v>4113</v>
      </c>
      <c r="K634" t="s">
        <v>4114</v>
      </c>
      <c r="L634">
        <v>3115092375</v>
      </c>
    </row>
    <row r="635" spans="1:12" x14ac:dyDescent="0.25">
      <c r="A635">
        <v>635</v>
      </c>
      <c r="B635" t="s">
        <v>2296</v>
      </c>
      <c r="C635" t="s">
        <v>353</v>
      </c>
      <c r="D635" t="s">
        <v>333</v>
      </c>
      <c r="E635" t="s">
        <v>675</v>
      </c>
      <c r="F635" t="s">
        <v>743</v>
      </c>
      <c r="G635" s="22">
        <v>25254</v>
      </c>
      <c r="H635" s="21">
        <v>52.397260273972606</v>
      </c>
      <c r="I635" t="s">
        <v>602</v>
      </c>
      <c r="J635" t="s">
        <v>3145</v>
      </c>
      <c r="K635" t="s">
        <v>3146</v>
      </c>
      <c r="L635">
        <v>3115092369</v>
      </c>
    </row>
    <row r="636" spans="1:12" x14ac:dyDescent="0.25">
      <c r="A636">
        <v>636</v>
      </c>
      <c r="B636" t="s">
        <v>1754</v>
      </c>
      <c r="C636" t="s">
        <v>998</v>
      </c>
      <c r="D636" t="s">
        <v>967</v>
      </c>
      <c r="E636" t="s">
        <v>686</v>
      </c>
      <c r="F636" t="s">
        <v>675</v>
      </c>
      <c r="G636" s="22">
        <v>26199</v>
      </c>
      <c r="H636" s="21">
        <v>49.80821917808219</v>
      </c>
      <c r="I636" t="s">
        <v>1197</v>
      </c>
      <c r="J636" t="s">
        <v>4115</v>
      </c>
      <c r="K636" t="s">
        <v>4116</v>
      </c>
      <c r="L636">
        <v>3115092369</v>
      </c>
    </row>
    <row r="637" spans="1:12" x14ac:dyDescent="0.25">
      <c r="A637">
        <v>637</v>
      </c>
      <c r="B637" t="s">
        <v>2297</v>
      </c>
      <c r="C637" t="s">
        <v>1118</v>
      </c>
      <c r="D637" t="s">
        <v>1119</v>
      </c>
      <c r="E637" t="s">
        <v>736</v>
      </c>
      <c r="F637" t="s">
        <v>770</v>
      </c>
      <c r="G637" s="22">
        <v>36034</v>
      </c>
      <c r="H637" s="21">
        <v>22.863013698630137</v>
      </c>
      <c r="I637" t="s">
        <v>1399</v>
      </c>
      <c r="J637" t="s">
        <v>3147</v>
      </c>
      <c r="K637" t="s">
        <v>3148</v>
      </c>
      <c r="L637">
        <v>3115092360</v>
      </c>
    </row>
    <row r="638" spans="1:12" x14ac:dyDescent="0.25">
      <c r="A638">
        <v>638</v>
      </c>
      <c r="B638" t="s">
        <v>1755</v>
      </c>
      <c r="C638" t="s">
        <v>31</v>
      </c>
      <c r="D638" t="s">
        <v>999</v>
      </c>
      <c r="E638" t="s">
        <v>839</v>
      </c>
      <c r="F638" t="s">
        <v>784</v>
      </c>
      <c r="G638" s="22">
        <v>36928</v>
      </c>
      <c r="H638" s="21">
        <v>20.413698630136988</v>
      </c>
      <c r="I638" t="s">
        <v>1212</v>
      </c>
      <c r="J638" t="s">
        <v>4117</v>
      </c>
      <c r="K638" t="s">
        <v>4118</v>
      </c>
      <c r="L638">
        <v>3115092360</v>
      </c>
    </row>
    <row r="639" spans="1:12" x14ac:dyDescent="0.25">
      <c r="A639">
        <v>639</v>
      </c>
      <c r="B639" t="s">
        <v>2298</v>
      </c>
      <c r="C639" t="s">
        <v>485</v>
      </c>
      <c r="D639" t="s">
        <v>349</v>
      </c>
      <c r="E639" t="s">
        <v>475</v>
      </c>
      <c r="F639" t="s">
        <v>726</v>
      </c>
      <c r="G639" s="22">
        <v>26329</v>
      </c>
      <c r="H639" s="21">
        <v>49.452054794520549</v>
      </c>
      <c r="I639" t="s">
        <v>575</v>
      </c>
      <c r="J639" t="s">
        <v>3149</v>
      </c>
      <c r="K639" t="s">
        <v>3150</v>
      </c>
      <c r="L639">
        <v>3115092352</v>
      </c>
    </row>
    <row r="640" spans="1:12" x14ac:dyDescent="0.25">
      <c r="A640">
        <v>640</v>
      </c>
      <c r="B640" t="s">
        <v>1756</v>
      </c>
      <c r="C640" t="s">
        <v>1000</v>
      </c>
      <c r="D640" t="s">
        <v>893</v>
      </c>
      <c r="E640" t="s">
        <v>840</v>
      </c>
      <c r="F640" t="s">
        <v>767</v>
      </c>
      <c r="G640" s="22">
        <v>30881</v>
      </c>
      <c r="H640" s="21">
        <v>36.980821917808221</v>
      </c>
      <c r="I640" t="s">
        <v>1264</v>
      </c>
      <c r="J640" t="s">
        <v>4119</v>
      </c>
      <c r="K640" t="s">
        <v>4120</v>
      </c>
      <c r="L640">
        <v>3115092352</v>
      </c>
    </row>
    <row r="641" spans="1:12" x14ac:dyDescent="0.25">
      <c r="A641">
        <v>641</v>
      </c>
      <c r="B641" t="s">
        <v>2299</v>
      </c>
      <c r="C641" t="s">
        <v>1120</v>
      </c>
      <c r="D641" t="s">
        <v>1121</v>
      </c>
      <c r="E641" t="s">
        <v>852</v>
      </c>
      <c r="F641" t="s">
        <v>712</v>
      </c>
      <c r="G641" s="22">
        <v>34030</v>
      </c>
      <c r="H641" s="21">
        <v>28.353424657534248</v>
      </c>
      <c r="I641" t="s">
        <v>1400</v>
      </c>
      <c r="J641" t="s">
        <v>3151</v>
      </c>
      <c r="K641" t="s">
        <v>3152</v>
      </c>
      <c r="L641">
        <v>3115114930</v>
      </c>
    </row>
    <row r="642" spans="1:12" x14ac:dyDescent="0.25">
      <c r="A642">
        <v>642</v>
      </c>
      <c r="B642" t="s">
        <v>1757</v>
      </c>
      <c r="C642" t="s">
        <v>14</v>
      </c>
      <c r="D642" t="s">
        <v>303</v>
      </c>
      <c r="E642" t="s">
        <v>841</v>
      </c>
      <c r="F642" t="s">
        <v>833</v>
      </c>
      <c r="G642" s="22">
        <v>31130</v>
      </c>
      <c r="H642" s="21">
        <v>36.298630136986304</v>
      </c>
      <c r="I642" t="s">
        <v>1201</v>
      </c>
      <c r="J642" t="s">
        <v>4121</v>
      </c>
      <c r="K642" t="s">
        <v>4122</v>
      </c>
      <c r="L642">
        <v>3115114930</v>
      </c>
    </row>
    <row r="643" spans="1:12" x14ac:dyDescent="0.25">
      <c r="A643">
        <v>643</v>
      </c>
      <c r="B643" t="s">
        <v>2300</v>
      </c>
      <c r="C643" t="s">
        <v>1122</v>
      </c>
      <c r="D643" t="s">
        <v>1123</v>
      </c>
      <c r="E643" t="s">
        <v>789</v>
      </c>
      <c r="F643" t="s">
        <v>793</v>
      </c>
      <c r="G643" s="22">
        <v>32071</v>
      </c>
      <c r="H643" s="21">
        <v>33.720547945205482</v>
      </c>
      <c r="I643" t="s">
        <v>1317</v>
      </c>
      <c r="J643" t="s">
        <v>3153</v>
      </c>
      <c r="K643" t="s">
        <v>3154</v>
      </c>
      <c r="L643">
        <v>3115114916</v>
      </c>
    </row>
    <row r="644" spans="1:12" x14ac:dyDescent="0.25">
      <c r="A644">
        <v>644</v>
      </c>
      <c r="B644" t="s">
        <v>1758</v>
      </c>
      <c r="C644" t="s">
        <v>1001</v>
      </c>
      <c r="D644" t="s">
        <v>17</v>
      </c>
      <c r="E644" t="s">
        <v>298</v>
      </c>
      <c r="F644" t="s">
        <v>728</v>
      </c>
      <c r="G644" s="22">
        <v>24372</v>
      </c>
      <c r="H644" s="21">
        <v>54.813698630136983</v>
      </c>
      <c r="I644" t="s">
        <v>1214</v>
      </c>
      <c r="J644" t="s">
        <v>4123</v>
      </c>
      <c r="K644" t="s">
        <v>4124</v>
      </c>
      <c r="L644">
        <v>3115114916</v>
      </c>
    </row>
    <row r="645" spans="1:12" x14ac:dyDescent="0.25">
      <c r="A645">
        <v>645</v>
      </c>
      <c r="B645" t="s">
        <v>2301</v>
      </c>
      <c r="C645" t="s">
        <v>1124</v>
      </c>
      <c r="D645" t="s">
        <v>333</v>
      </c>
      <c r="E645" t="s">
        <v>841</v>
      </c>
      <c r="F645" t="s">
        <v>810</v>
      </c>
      <c r="G645" s="22">
        <v>34795</v>
      </c>
      <c r="H645" s="21">
        <v>26.257534246575343</v>
      </c>
      <c r="I645" t="s">
        <v>533</v>
      </c>
      <c r="J645" t="s">
        <v>3155</v>
      </c>
      <c r="K645" t="s">
        <v>3156</v>
      </c>
      <c r="L645">
        <v>3115114911</v>
      </c>
    </row>
    <row r="646" spans="1:12" x14ac:dyDescent="0.25">
      <c r="A646">
        <v>646</v>
      </c>
      <c r="B646" t="s">
        <v>1759</v>
      </c>
      <c r="C646" t="s">
        <v>31</v>
      </c>
      <c r="D646" t="s">
        <v>33</v>
      </c>
      <c r="E646" t="s">
        <v>475</v>
      </c>
      <c r="F646" t="s">
        <v>141</v>
      </c>
      <c r="G646" s="22">
        <v>36013</v>
      </c>
      <c r="H646" s="21">
        <v>22.920547945205481</v>
      </c>
      <c r="I646" t="s">
        <v>1189</v>
      </c>
      <c r="J646" t="s">
        <v>4125</v>
      </c>
      <c r="K646" t="s">
        <v>4126</v>
      </c>
      <c r="L646">
        <v>3115114911</v>
      </c>
    </row>
    <row r="647" spans="1:12" x14ac:dyDescent="0.25">
      <c r="A647">
        <v>647</v>
      </c>
      <c r="B647" t="s">
        <v>2302</v>
      </c>
      <c r="C647" t="s">
        <v>53</v>
      </c>
      <c r="D647" t="s">
        <v>335</v>
      </c>
      <c r="E647" t="s">
        <v>720</v>
      </c>
      <c r="F647" t="s">
        <v>61</v>
      </c>
      <c r="G647" s="22">
        <v>21771</v>
      </c>
      <c r="H647" s="21">
        <v>61.939726027397263</v>
      </c>
      <c r="I647" t="s">
        <v>582</v>
      </c>
      <c r="J647" t="s">
        <v>3157</v>
      </c>
      <c r="K647" t="s">
        <v>3158</v>
      </c>
      <c r="L647">
        <v>3115114910</v>
      </c>
    </row>
    <row r="648" spans="1:12" x14ac:dyDescent="0.25">
      <c r="A648">
        <v>648</v>
      </c>
      <c r="B648" t="s">
        <v>1760</v>
      </c>
      <c r="C648" t="s">
        <v>1002</v>
      </c>
      <c r="D648" t="s">
        <v>26</v>
      </c>
      <c r="E648" t="s">
        <v>842</v>
      </c>
      <c r="F648" t="s">
        <v>699</v>
      </c>
      <c r="G648" s="22">
        <v>27028</v>
      </c>
      <c r="H648" s="21">
        <v>47.536986301369865</v>
      </c>
      <c r="I648" t="s">
        <v>1199</v>
      </c>
      <c r="J648" t="s">
        <v>4127</v>
      </c>
      <c r="K648" t="s">
        <v>4128</v>
      </c>
      <c r="L648">
        <v>3115114910</v>
      </c>
    </row>
    <row r="649" spans="1:12" x14ac:dyDescent="0.25">
      <c r="A649">
        <v>649</v>
      </c>
      <c r="B649" t="s">
        <v>2303</v>
      </c>
      <c r="C649" t="s">
        <v>1125</v>
      </c>
      <c r="D649" t="s">
        <v>1126</v>
      </c>
      <c r="E649" t="s">
        <v>763</v>
      </c>
      <c r="F649" t="s">
        <v>470</v>
      </c>
      <c r="G649" s="22">
        <v>23245</v>
      </c>
      <c r="H649" s="21">
        <v>57.901369863013699</v>
      </c>
      <c r="I649" t="s">
        <v>613</v>
      </c>
      <c r="J649" t="s">
        <v>3159</v>
      </c>
      <c r="K649" t="s">
        <v>3160</v>
      </c>
      <c r="L649">
        <v>3115114909</v>
      </c>
    </row>
    <row r="650" spans="1:12" x14ac:dyDescent="0.25">
      <c r="A650">
        <v>650</v>
      </c>
      <c r="B650" t="s">
        <v>1761</v>
      </c>
      <c r="C650" t="s">
        <v>1003</v>
      </c>
      <c r="D650" t="s">
        <v>1004</v>
      </c>
      <c r="E650" t="s">
        <v>843</v>
      </c>
      <c r="F650" t="s">
        <v>754</v>
      </c>
      <c r="G650" s="22">
        <v>24790</v>
      </c>
      <c r="H650" s="21">
        <v>53.668493150684931</v>
      </c>
      <c r="I650" t="s">
        <v>588</v>
      </c>
      <c r="J650" t="s">
        <v>4129</v>
      </c>
      <c r="K650" t="s">
        <v>4130</v>
      </c>
      <c r="L650">
        <v>3115114909</v>
      </c>
    </row>
    <row r="651" spans="1:12" x14ac:dyDescent="0.25">
      <c r="A651">
        <v>651</v>
      </c>
      <c r="B651" t="s">
        <v>2304</v>
      </c>
      <c r="C651" t="s">
        <v>1127</v>
      </c>
      <c r="D651" t="s">
        <v>429</v>
      </c>
      <c r="E651" t="s">
        <v>225</v>
      </c>
      <c r="F651" t="s">
        <v>704</v>
      </c>
      <c r="G651" s="22">
        <v>34668</v>
      </c>
      <c r="H651" s="21">
        <v>26.605479452054794</v>
      </c>
      <c r="I651" t="s">
        <v>563</v>
      </c>
      <c r="J651" t="s">
        <v>3161</v>
      </c>
      <c r="K651" t="s">
        <v>3162</v>
      </c>
      <c r="L651">
        <v>3115060130</v>
      </c>
    </row>
    <row r="652" spans="1:12" x14ac:dyDescent="0.25">
      <c r="A652">
        <v>652</v>
      </c>
      <c r="B652" t="s">
        <v>1762</v>
      </c>
      <c r="C652" t="s">
        <v>1005</v>
      </c>
      <c r="D652" t="s">
        <v>114</v>
      </c>
      <c r="E652" t="s">
        <v>61</v>
      </c>
      <c r="F652" t="s">
        <v>741</v>
      </c>
      <c r="G652" s="22">
        <v>27894</v>
      </c>
      <c r="H652" s="21">
        <v>45.164383561643838</v>
      </c>
      <c r="I652" t="s">
        <v>531</v>
      </c>
      <c r="J652" t="s">
        <v>4131</v>
      </c>
      <c r="K652" t="s">
        <v>4132</v>
      </c>
      <c r="L652">
        <v>3115060130</v>
      </c>
    </row>
    <row r="653" spans="1:12" x14ac:dyDescent="0.25">
      <c r="A653">
        <v>653</v>
      </c>
      <c r="B653" t="s">
        <v>2305</v>
      </c>
      <c r="C653" t="s">
        <v>1128</v>
      </c>
      <c r="D653" t="s">
        <v>1129</v>
      </c>
      <c r="E653" t="s">
        <v>828</v>
      </c>
      <c r="F653" t="s">
        <v>823</v>
      </c>
      <c r="G653" s="22">
        <v>32001</v>
      </c>
      <c r="H653" s="21">
        <v>33.912328767123284</v>
      </c>
      <c r="I653" t="s">
        <v>545</v>
      </c>
      <c r="J653" t="s">
        <v>3163</v>
      </c>
      <c r="K653" t="s">
        <v>3164</v>
      </c>
      <c r="L653">
        <v>3115060125</v>
      </c>
    </row>
    <row r="654" spans="1:12" x14ac:dyDescent="0.25">
      <c r="A654">
        <v>654</v>
      </c>
      <c r="B654" t="s">
        <v>1763</v>
      </c>
      <c r="C654" t="s">
        <v>143</v>
      </c>
      <c r="D654" t="s">
        <v>624</v>
      </c>
      <c r="E654" t="s">
        <v>844</v>
      </c>
      <c r="F654" t="s">
        <v>238</v>
      </c>
      <c r="G654" s="22">
        <v>24765</v>
      </c>
      <c r="H654" s="21">
        <v>53.736986301369861</v>
      </c>
      <c r="I654" t="s">
        <v>544</v>
      </c>
      <c r="J654" t="s">
        <v>4133</v>
      </c>
      <c r="K654" t="s">
        <v>4134</v>
      </c>
      <c r="L654">
        <v>3115060125</v>
      </c>
    </row>
    <row r="655" spans="1:12" x14ac:dyDescent="0.25">
      <c r="A655">
        <v>655</v>
      </c>
      <c r="B655" t="s">
        <v>2306</v>
      </c>
      <c r="C655" t="s">
        <v>1130</v>
      </c>
      <c r="D655" t="s">
        <v>491</v>
      </c>
      <c r="E655" t="s">
        <v>298</v>
      </c>
      <c r="F655" t="s">
        <v>734</v>
      </c>
      <c r="G655" s="22">
        <v>24067</v>
      </c>
      <c r="H655" s="21">
        <v>55.649315068493152</v>
      </c>
      <c r="I655" t="s">
        <v>1401</v>
      </c>
      <c r="J655" t="s">
        <v>3165</v>
      </c>
      <c r="K655" t="s">
        <v>3166</v>
      </c>
      <c r="L655">
        <v>3115060110</v>
      </c>
    </row>
    <row r="656" spans="1:12" x14ac:dyDescent="0.25">
      <c r="A656">
        <v>656</v>
      </c>
      <c r="B656" t="s">
        <v>1764</v>
      </c>
      <c r="C656" t="s">
        <v>184</v>
      </c>
      <c r="D656" t="s">
        <v>893</v>
      </c>
      <c r="E656" t="s">
        <v>845</v>
      </c>
      <c r="F656" t="s">
        <v>805</v>
      </c>
      <c r="G656" s="22">
        <v>35842</v>
      </c>
      <c r="H656" s="21">
        <v>23.389041095890413</v>
      </c>
      <c r="I656" t="s">
        <v>1184</v>
      </c>
      <c r="J656" t="s">
        <v>4135</v>
      </c>
      <c r="K656" t="s">
        <v>4136</v>
      </c>
      <c r="L656">
        <v>3115060110</v>
      </c>
    </row>
    <row r="657" spans="1:12" x14ac:dyDescent="0.25">
      <c r="A657">
        <v>657</v>
      </c>
      <c r="B657" t="s">
        <v>2307</v>
      </c>
      <c r="C657" t="s">
        <v>341</v>
      </c>
      <c r="D657" t="s">
        <v>421</v>
      </c>
      <c r="E657" t="s">
        <v>842</v>
      </c>
      <c r="F657" t="s">
        <v>720</v>
      </c>
      <c r="G657" s="22">
        <v>24419</v>
      </c>
      <c r="H657" s="21">
        <v>54.684931506849317</v>
      </c>
      <c r="I657" t="s">
        <v>1275</v>
      </c>
      <c r="J657" t="s">
        <v>3167</v>
      </c>
      <c r="K657" t="s">
        <v>3168</v>
      </c>
      <c r="L657">
        <v>3115060091</v>
      </c>
    </row>
    <row r="658" spans="1:12" x14ac:dyDescent="0.25">
      <c r="A658">
        <v>658</v>
      </c>
      <c r="B658" t="s">
        <v>1765</v>
      </c>
      <c r="C658" t="s">
        <v>78</v>
      </c>
      <c r="D658" t="s">
        <v>7</v>
      </c>
      <c r="E658" t="s">
        <v>846</v>
      </c>
      <c r="F658" t="s">
        <v>819</v>
      </c>
      <c r="G658" s="22">
        <v>36156</v>
      </c>
      <c r="H658" s="21">
        <v>22.528767123287672</v>
      </c>
      <c r="I658" t="s">
        <v>1233</v>
      </c>
      <c r="J658" t="s">
        <v>4137</v>
      </c>
      <c r="K658" t="s">
        <v>4138</v>
      </c>
      <c r="L658">
        <v>3115060091</v>
      </c>
    </row>
    <row r="659" spans="1:12" x14ac:dyDescent="0.25">
      <c r="A659">
        <v>659</v>
      </c>
      <c r="B659" t="s">
        <v>2308</v>
      </c>
      <c r="C659" t="s">
        <v>1131</v>
      </c>
      <c r="D659" t="s">
        <v>665</v>
      </c>
      <c r="E659" t="s">
        <v>727</v>
      </c>
      <c r="F659" t="s">
        <v>798</v>
      </c>
      <c r="G659" s="22">
        <v>23054</v>
      </c>
      <c r="H659" s="21">
        <v>58.424657534246577</v>
      </c>
      <c r="I659" t="s">
        <v>532</v>
      </c>
      <c r="J659" t="s">
        <v>3169</v>
      </c>
      <c r="K659" t="s">
        <v>3170</v>
      </c>
      <c r="L659">
        <v>3115060080</v>
      </c>
    </row>
    <row r="660" spans="1:12" x14ac:dyDescent="0.25">
      <c r="A660">
        <v>660</v>
      </c>
      <c r="B660" t="s">
        <v>1766</v>
      </c>
      <c r="C660" t="s">
        <v>1006</v>
      </c>
      <c r="D660" t="s">
        <v>50</v>
      </c>
      <c r="E660" t="s">
        <v>688</v>
      </c>
      <c r="F660" t="s">
        <v>695</v>
      </c>
      <c r="G660" s="22">
        <v>37402</v>
      </c>
      <c r="H660" s="21">
        <v>19.115068493150684</v>
      </c>
      <c r="I660" t="s">
        <v>1180</v>
      </c>
      <c r="J660" t="s">
        <v>4139</v>
      </c>
      <c r="K660" t="s">
        <v>4140</v>
      </c>
      <c r="L660">
        <v>3115060080</v>
      </c>
    </row>
    <row r="661" spans="1:12" x14ac:dyDescent="0.25">
      <c r="A661">
        <v>661</v>
      </c>
      <c r="B661" t="s">
        <v>2309</v>
      </c>
      <c r="C661" t="s">
        <v>1132</v>
      </c>
      <c r="D661" t="s">
        <v>330</v>
      </c>
      <c r="E661" t="s">
        <v>765</v>
      </c>
      <c r="F661" t="s">
        <v>772</v>
      </c>
      <c r="G661" s="22">
        <v>34135</v>
      </c>
      <c r="H661" s="21">
        <v>28.065753424657533</v>
      </c>
      <c r="I661" t="s">
        <v>543</v>
      </c>
      <c r="J661" t="s">
        <v>3171</v>
      </c>
      <c r="K661" t="s">
        <v>3172</v>
      </c>
      <c r="L661">
        <v>3115114385</v>
      </c>
    </row>
    <row r="662" spans="1:12" x14ac:dyDescent="0.25">
      <c r="A662">
        <v>662</v>
      </c>
      <c r="B662" t="s">
        <v>1767</v>
      </c>
      <c r="C662" t="s">
        <v>198</v>
      </c>
      <c r="D662" t="s">
        <v>174</v>
      </c>
      <c r="E662" t="s">
        <v>847</v>
      </c>
      <c r="F662" t="s">
        <v>768</v>
      </c>
      <c r="G662" s="22">
        <v>30914</v>
      </c>
      <c r="H662" s="21">
        <v>36.890410958904113</v>
      </c>
      <c r="I662" t="s">
        <v>1183</v>
      </c>
      <c r="J662" t="s">
        <v>4141</v>
      </c>
      <c r="K662" t="s">
        <v>4142</v>
      </c>
      <c r="L662">
        <v>3115114385</v>
      </c>
    </row>
    <row r="663" spans="1:12" x14ac:dyDescent="0.25">
      <c r="A663">
        <v>663</v>
      </c>
      <c r="B663" t="s">
        <v>2310</v>
      </c>
      <c r="C663" t="s">
        <v>480</v>
      </c>
      <c r="D663" t="s">
        <v>446</v>
      </c>
      <c r="E663" t="s">
        <v>827</v>
      </c>
      <c r="F663" t="s">
        <v>519</v>
      </c>
      <c r="G663" s="22">
        <v>31258</v>
      </c>
      <c r="H663" s="21">
        <v>35.947945205479449</v>
      </c>
      <c r="I663" t="s">
        <v>600</v>
      </c>
      <c r="J663" t="s">
        <v>3173</v>
      </c>
      <c r="K663" t="s">
        <v>3174</v>
      </c>
      <c r="L663">
        <v>3115114360</v>
      </c>
    </row>
    <row r="664" spans="1:12" x14ac:dyDescent="0.25">
      <c r="A664">
        <v>664</v>
      </c>
      <c r="B664" t="s">
        <v>1768</v>
      </c>
      <c r="C664" t="s">
        <v>50</v>
      </c>
      <c r="D664" t="s">
        <v>25</v>
      </c>
      <c r="E664" t="s">
        <v>683</v>
      </c>
      <c r="F664" t="s">
        <v>719</v>
      </c>
      <c r="G664" s="22">
        <v>34601</v>
      </c>
      <c r="H664" s="21">
        <v>26.789041095890411</v>
      </c>
      <c r="I664" t="s">
        <v>1189</v>
      </c>
      <c r="J664" t="s">
        <v>4143</v>
      </c>
      <c r="K664" t="s">
        <v>4144</v>
      </c>
      <c r="L664">
        <v>3115114360</v>
      </c>
    </row>
    <row r="665" spans="1:12" x14ac:dyDescent="0.25">
      <c r="A665">
        <v>665</v>
      </c>
      <c r="B665" t="s">
        <v>2311</v>
      </c>
      <c r="C665" t="s">
        <v>342</v>
      </c>
      <c r="D665" t="s">
        <v>426</v>
      </c>
      <c r="E665" t="s">
        <v>851</v>
      </c>
      <c r="F665" t="s">
        <v>718</v>
      </c>
      <c r="G665" s="22">
        <v>31280</v>
      </c>
      <c r="H665" s="21">
        <v>35.887671232876713</v>
      </c>
      <c r="I665" t="s">
        <v>562</v>
      </c>
      <c r="J665" t="s">
        <v>3175</v>
      </c>
      <c r="K665" t="s">
        <v>3176</v>
      </c>
      <c r="L665">
        <v>3115093653</v>
      </c>
    </row>
    <row r="666" spans="1:12" x14ac:dyDescent="0.25">
      <c r="A666">
        <v>666</v>
      </c>
      <c r="B666" t="s">
        <v>1769</v>
      </c>
      <c r="C666" t="s">
        <v>30</v>
      </c>
      <c r="D666" t="s">
        <v>318</v>
      </c>
      <c r="E666" t="s">
        <v>848</v>
      </c>
      <c r="F666" t="s">
        <v>718</v>
      </c>
      <c r="G666" s="22">
        <v>37051</v>
      </c>
      <c r="H666" s="21">
        <v>20.076712328767123</v>
      </c>
      <c r="I666" t="s">
        <v>1237</v>
      </c>
      <c r="J666" t="s">
        <v>4145</v>
      </c>
      <c r="K666" t="s">
        <v>4146</v>
      </c>
      <c r="L666">
        <v>3115093653</v>
      </c>
    </row>
    <row r="667" spans="1:12" x14ac:dyDescent="0.25">
      <c r="A667">
        <v>667</v>
      </c>
      <c r="B667" t="s">
        <v>2312</v>
      </c>
      <c r="C667" t="s">
        <v>399</v>
      </c>
      <c r="D667" t="s">
        <v>483</v>
      </c>
      <c r="E667" t="s">
        <v>676</v>
      </c>
      <c r="F667" t="s">
        <v>742</v>
      </c>
      <c r="G667" s="22">
        <v>21324</v>
      </c>
      <c r="H667" s="21">
        <v>63.164383561643838</v>
      </c>
      <c r="I667" t="s">
        <v>590</v>
      </c>
      <c r="J667" t="s">
        <v>3177</v>
      </c>
      <c r="K667" t="s">
        <v>3178</v>
      </c>
      <c r="L667">
        <v>3115093598</v>
      </c>
    </row>
    <row r="668" spans="1:12" x14ac:dyDescent="0.25">
      <c r="A668">
        <v>668</v>
      </c>
      <c r="B668" t="s">
        <v>1770</v>
      </c>
      <c r="C668" t="s">
        <v>146</v>
      </c>
      <c r="D668" t="s">
        <v>122</v>
      </c>
      <c r="E668" t="s">
        <v>238</v>
      </c>
      <c r="F668" t="s">
        <v>739</v>
      </c>
      <c r="G668" s="22">
        <v>27420</v>
      </c>
      <c r="H668" s="21">
        <v>46.463013698630135</v>
      </c>
      <c r="I668" t="s">
        <v>1218</v>
      </c>
      <c r="J668" t="s">
        <v>4147</v>
      </c>
      <c r="K668" t="s">
        <v>4148</v>
      </c>
      <c r="L668">
        <v>3115093598</v>
      </c>
    </row>
    <row r="669" spans="1:12" x14ac:dyDescent="0.25">
      <c r="A669">
        <v>669</v>
      </c>
      <c r="B669" t="s">
        <v>2313</v>
      </c>
      <c r="C669" t="s">
        <v>887</v>
      </c>
      <c r="D669" t="s">
        <v>1133</v>
      </c>
      <c r="E669" t="s">
        <v>781</v>
      </c>
      <c r="F669" t="s">
        <v>800</v>
      </c>
      <c r="G669" s="22">
        <v>26700</v>
      </c>
      <c r="H669" s="21">
        <v>48.435616438356163</v>
      </c>
      <c r="I669" t="s">
        <v>549</v>
      </c>
      <c r="J669" t="s">
        <v>3179</v>
      </c>
      <c r="K669" t="s">
        <v>3180</v>
      </c>
      <c r="L669">
        <v>3115093583</v>
      </c>
    </row>
    <row r="670" spans="1:12" x14ac:dyDescent="0.25">
      <c r="A670">
        <v>670</v>
      </c>
      <c r="B670" t="s">
        <v>1771</v>
      </c>
      <c r="C670" t="s">
        <v>198</v>
      </c>
      <c r="D670" t="s">
        <v>1007</v>
      </c>
      <c r="E670" t="s">
        <v>849</v>
      </c>
      <c r="F670" t="s">
        <v>705</v>
      </c>
      <c r="G670" s="22">
        <v>35567</v>
      </c>
      <c r="H670" s="21">
        <v>24.142465753424659</v>
      </c>
      <c r="I670" t="s">
        <v>1237</v>
      </c>
      <c r="J670" t="s">
        <v>4149</v>
      </c>
      <c r="K670" t="s">
        <v>4150</v>
      </c>
      <c r="L670">
        <v>3115093583</v>
      </c>
    </row>
    <row r="671" spans="1:12" x14ac:dyDescent="0.25">
      <c r="A671">
        <v>671</v>
      </c>
      <c r="B671" t="s">
        <v>2314</v>
      </c>
      <c r="C671" t="s">
        <v>1134</v>
      </c>
      <c r="D671" t="s">
        <v>483</v>
      </c>
      <c r="E671" t="s">
        <v>758</v>
      </c>
      <c r="F671" t="s">
        <v>740</v>
      </c>
      <c r="G671" s="22">
        <v>24686</v>
      </c>
      <c r="H671" s="21">
        <v>53.953424657534249</v>
      </c>
      <c r="I671" t="s">
        <v>1402</v>
      </c>
      <c r="J671" t="s">
        <v>3181</v>
      </c>
      <c r="K671" t="s">
        <v>3182</v>
      </c>
      <c r="L671">
        <v>3115092386</v>
      </c>
    </row>
    <row r="672" spans="1:12" x14ac:dyDescent="0.25">
      <c r="A672">
        <v>672</v>
      </c>
      <c r="B672" t="s">
        <v>1772</v>
      </c>
      <c r="C672" t="s">
        <v>140</v>
      </c>
      <c r="D672" t="s">
        <v>17</v>
      </c>
      <c r="E672" t="s">
        <v>705</v>
      </c>
      <c r="F672" t="s">
        <v>720</v>
      </c>
      <c r="G672" s="22">
        <v>31153</v>
      </c>
      <c r="H672" s="21">
        <v>36.235616438356168</v>
      </c>
      <c r="I672" t="s">
        <v>565</v>
      </c>
      <c r="J672" t="s">
        <v>4151</v>
      </c>
      <c r="K672" t="s">
        <v>4152</v>
      </c>
      <c r="L672">
        <v>3115092386</v>
      </c>
    </row>
    <row r="673" spans="1:12" x14ac:dyDescent="0.25">
      <c r="A673">
        <v>673</v>
      </c>
      <c r="B673" t="s">
        <v>2315</v>
      </c>
      <c r="C673" t="s">
        <v>503</v>
      </c>
      <c r="D673" t="s">
        <v>1135</v>
      </c>
      <c r="E673" t="s">
        <v>760</v>
      </c>
      <c r="F673" t="s">
        <v>522</v>
      </c>
      <c r="G673" s="22">
        <v>26116</v>
      </c>
      <c r="H673" s="21">
        <v>50.035616438356165</v>
      </c>
      <c r="I673" t="s">
        <v>579</v>
      </c>
      <c r="J673" t="s">
        <v>3183</v>
      </c>
      <c r="K673" t="s">
        <v>3184</v>
      </c>
      <c r="L673">
        <v>3115092375</v>
      </c>
    </row>
    <row r="674" spans="1:12" x14ac:dyDescent="0.25">
      <c r="A674">
        <v>674</v>
      </c>
      <c r="B674" t="s">
        <v>1773</v>
      </c>
      <c r="C674" t="s">
        <v>920</v>
      </c>
      <c r="D674" t="s">
        <v>10</v>
      </c>
      <c r="E674" t="s">
        <v>850</v>
      </c>
      <c r="F674" t="s">
        <v>725</v>
      </c>
      <c r="G674" s="22">
        <v>37562</v>
      </c>
      <c r="H674" s="21">
        <v>18.676712328767124</v>
      </c>
      <c r="I674" t="s">
        <v>1227</v>
      </c>
      <c r="J674" t="s">
        <v>4153</v>
      </c>
      <c r="K674" t="s">
        <v>4154</v>
      </c>
      <c r="L674">
        <v>3115092375</v>
      </c>
    </row>
    <row r="675" spans="1:12" x14ac:dyDescent="0.25">
      <c r="A675">
        <v>675</v>
      </c>
      <c r="B675" t="s">
        <v>2316</v>
      </c>
      <c r="C675" t="s">
        <v>333</v>
      </c>
      <c r="D675" t="s">
        <v>1136</v>
      </c>
      <c r="E675" t="s">
        <v>754</v>
      </c>
      <c r="F675" t="s">
        <v>840</v>
      </c>
      <c r="G675" s="22">
        <v>30536</v>
      </c>
      <c r="H675" s="21">
        <v>37.926027397260277</v>
      </c>
      <c r="I675" t="s">
        <v>1403</v>
      </c>
      <c r="J675" t="s">
        <v>3185</v>
      </c>
      <c r="K675" t="s">
        <v>3186</v>
      </c>
      <c r="L675">
        <v>3115092369</v>
      </c>
    </row>
    <row r="676" spans="1:12" x14ac:dyDescent="0.25">
      <c r="A676">
        <v>676</v>
      </c>
      <c r="B676" t="s">
        <v>1774</v>
      </c>
      <c r="C676" t="s">
        <v>24</v>
      </c>
      <c r="D676" t="s">
        <v>174</v>
      </c>
      <c r="E676" t="s">
        <v>851</v>
      </c>
      <c r="F676" t="s">
        <v>809</v>
      </c>
      <c r="G676" s="22">
        <v>27685</v>
      </c>
      <c r="H676" s="21">
        <v>45.736986301369861</v>
      </c>
      <c r="I676" t="s">
        <v>1216</v>
      </c>
      <c r="J676" t="s">
        <v>4155</v>
      </c>
      <c r="K676" t="s">
        <v>4156</v>
      </c>
      <c r="L676">
        <v>3115092369</v>
      </c>
    </row>
    <row r="677" spans="1:12" x14ac:dyDescent="0.25">
      <c r="A677">
        <v>677</v>
      </c>
      <c r="B677" t="s">
        <v>2317</v>
      </c>
      <c r="C677" t="s">
        <v>860</v>
      </c>
      <c r="D677" t="s">
        <v>1137</v>
      </c>
      <c r="E677" t="s">
        <v>688</v>
      </c>
      <c r="F677" t="s">
        <v>677</v>
      </c>
      <c r="G677" s="22">
        <v>20501</v>
      </c>
      <c r="H677" s="21">
        <v>65.419178082191777</v>
      </c>
      <c r="I677" t="s">
        <v>1404</v>
      </c>
      <c r="J677" t="s">
        <v>3187</v>
      </c>
      <c r="K677" t="s">
        <v>3188</v>
      </c>
      <c r="L677">
        <v>3115092360</v>
      </c>
    </row>
    <row r="678" spans="1:12" x14ac:dyDescent="0.25">
      <c r="A678">
        <v>678</v>
      </c>
      <c r="B678" t="s">
        <v>1775</v>
      </c>
      <c r="C678" t="s">
        <v>1008</v>
      </c>
      <c r="D678" t="s">
        <v>123</v>
      </c>
      <c r="E678" t="s">
        <v>852</v>
      </c>
      <c r="F678" t="s">
        <v>723</v>
      </c>
      <c r="G678" s="22">
        <v>34158</v>
      </c>
      <c r="H678" s="21">
        <v>28.002739726027396</v>
      </c>
      <c r="I678" t="s">
        <v>1207</v>
      </c>
      <c r="J678" t="s">
        <v>4157</v>
      </c>
      <c r="K678" t="s">
        <v>4158</v>
      </c>
      <c r="L678">
        <v>3115092360</v>
      </c>
    </row>
    <row r="679" spans="1:12" x14ac:dyDescent="0.25">
      <c r="A679">
        <v>679</v>
      </c>
      <c r="B679" t="s">
        <v>2318</v>
      </c>
      <c r="C679" t="s">
        <v>379</v>
      </c>
      <c r="D679" t="s">
        <v>330</v>
      </c>
      <c r="E679" t="s">
        <v>759</v>
      </c>
      <c r="F679" t="s">
        <v>713</v>
      </c>
      <c r="G679" s="22">
        <v>34942</v>
      </c>
      <c r="H679" s="21">
        <v>25.854794520547944</v>
      </c>
      <c r="I679" t="s">
        <v>1405</v>
      </c>
      <c r="J679" t="s">
        <v>3189</v>
      </c>
      <c r="K679" t="s">
        <v>3190</v>
      </c>
      <c r="L679">
        <v>3115092352</v>
      </c>
    </row>
    <row r="680" spans="1:12" x14ac:dyDescent="0.25">
      <c r="A680">
        <v>680</v>
      </c>
      <c r="B680" t="s">
        <v>1776</v>
      </c>
      <c r="C680" t="s">
        <v>1009</v>
      </c>
      <c r="D680" t="s">
        <v>50</v>
      </c>
      <c r="E680" t="s">
        <v>710</v>
      </c>
      <c r="F680" t="s">
        <v>831</v>
      </c>
      <c r="G680" s="22">
        <v>24207</v>
      </c>
      <c r="H680" s="21">
        <v>55.265753424657532</v>
      </c>
      <c r="I680" t="s">
        <v>1191</v>
      </c>
      <c r="J680" t="s">
        <v>4159</v>
      </c>
      <c r="K680" t="s">
        <v>4160</v>
      </c>
      <c r="L680">
        <v>3115092352</v>
      </c>
    </row>
    <row r="681" spans="1:12" x14ac:dyDescent="0.25">
      <c r="A681">
        <v>681</v>
      </c>
      <c r="B681" t="s">
        <v>2319</v>
      </c>
      <c r="C681" t="s">
        <v>1138</v>
      </c>
      <c r="D681" t="s">
        <v>1139</v>
      </c>
      <c r="E681" t="s">
        <v>833</v>
      </c>
      <c r="F681" t="s">
        <v>852</v>
      </c>
      <c r="G681" s="22">
        <v>29584</v>
      </c>
      <c r="H681" s="21">
        <v>40.534246575342465</v>
      </c>
      <c r="I681" t="s">
        <v>568</v>
      </c>
      <c r="J681" t="s">
        <v>3191</v>
      </c>
      <c r="K681" t="s">
        <v>3192</v>
      </c>
      <c r="L681">
        <v>3115114930</v>
      </c>
    </row>
    <row r="682" spans="1:12" x14ac:dyDescent="0.25">
      <c r="A682">
        <v>682</v>
      </c>
      <c r="B682" t="s">
        <v>1777</v>
      </c>
      <c r="C682" t="s">
        <v>1010</v>
      </c>
      <c r="D682" t="s">
        <v>146</v>
      </c>
      <c r="E682" t="s">
        <v>39</v>
      </c>
      <c r="F682" t="s">
        <v>723</v>
      </c>
      <c r="G682" s="22">
        <v>28756</v>
      </c>
      <c r="H682" s="21">
        <v>42.802739726027397</v>
      </c>
      <c r="I682" t="s">
        <v>606</v>
      </c>
      <c r="J682" t="s">
        <v>4161</v>
      </c>
      <c r="K682" t="s">
        <v>4162</v>
      </c>
      <c r="L682">
        <v>3115114930</v>
      </c>
    </row>
    <row r="683" spans="1:12" x14ac:dyDescent="0.25">
      <c r="A683">
        <v>683</v>
      </c>
      <c r="B683" t="s">
        <v>2320</v>
      </c>
      <c r="C683" t="s">
        <v>1140</v>
      </c>
      <c r="D683" t="s">
        <v>649</v>
      </c>
      <c r="E683" t="s">
        <v>787</v>
      </c>
      <c r="F683" t="s">
        <v>705</v>
      </c>
      <c r="G683" s="22">
        <v>27812</v>
      </c>
      <c r="H683" s="21">
        <v>45.389041095890413</v>
      </c>
      <c r="I683" t="s">
        <v>562</v>
      </c>
      <c r="J683" t="s">
        <v>3193</v>
      </c>
      <c r="K683" t="s">
        <v>3194</v>
      </c>
      <c r="L683">
        <v>3115114916</v>
      </c>
    </row>
    <row r="684" spans="1:12" x14ac:dyDescent="0.25">
      <c r="A684">
        <v>684</v>
      </c>
      <c r="B684" t="s">
        <v>1778</v>
      </c>
      <c r="C684" t="s">
        <v>1011</v>
      </c>
      <c r="D684" t="s">
        <v>13</v>
      </c>
      <c r="E684" t="s">
        <v>85</v>
      </c>
      <c r="F684" t="s">
        <v>724</v>
      </c>
      <c r="G684" s="22">
        <v>35829</v>
      </c>
      <c r="H684" s="21">
        <v>23.424657534246574</v>
      </c>
      <c r="I684" t="s">
        <v>1260</v>
      </c>
      <c r="J684" t="s">
        <v>4163</v>
      </c>
      <c r="K684" t="s">
        <v>4164</v>
      </c>
      <c r="L684">
        <v>3115114916</v>
      </c>
    </row>
    <row r="685" spans="1:12" x14ac:dyDescent="0.25">
      <c r="A685">
        <v>685</v>
      </c>
      <c r="B685" t="s">
        <v>2321</v>
      </c>
      <c r="C685" t="s">
        <v>341</v>
      </c>
      <c r="D685" t="s">
        <v>483</v>
      </c>
      <c r="E685" t="s">
        <v>799</v>
      </c>
      <c r="F685" t="s">
        <v>738</v>
      </c>
      <c r="G685" s="22">
        <v>21071</v>
      </c>
      <c r="H685" s="21">
        <v>63.857534246575341</v>
      </c>
      <c r="I685" t="s">
        <v>554</v>
      </c>
      <c r="J685" t="s">
        <v>3195</v>
      </c>
      <c r="K685" t="s">
        <v>3196</v>
      </c>
      <c r="L685">
        <v>3115114911</v>
      </c>
    </row>
    <row r="686" spans="1:12" x14ac:dyDescent="0.25">
      <c r="A686">
        <v>686</v>
      </c>
      <c r="B686" t="s">
        <v>1779</v>
      </c>
      <c r="C686" t="s">
        <v>939</v>
      </c>
      <c r="D686" t="s">
        <v>114</v>
      </c>
      <c r="E686" t="s">
        <v>220</v>
      </c>
      <c r="F686" t="s">
        <v>42</v>
      </c>
      <c r="G686" s="22">
        <v>31603</v>
      </c>
      <c r="H686" s="21">
        <v>35.0027397260274</v>
      </c>
      <c r="I686" t="s">
        <v>1219</v>
      </c>
      <c r="J686" t="s">
        <v>4165</v>
      </c>
      <c r="K686" t="s">
        <v>4166</v>
      </c>
      <c r="L686">
        <v>3115114911</v>
      </c>
    </row>
    <row r="687" spans="1:12" x14ac:dyDescent="0.25">
      <c r="A687">
        <v>687</v>
      </c>
      <c r="B687" t="s">
        <v>2322</v>
      </c>
      <c r="C687" t="s">
        <v>431</v>
      </c>
      <c r="D687" t="s">
        <v>508</v>
      </c>
      <c r="E687" t="s">
        <v>834</v>
      </c>
      <c r="F687" t="s">
        <v>806</v>
      </c>
      <c r="G687" s="22">
        <v>25700</v>
      </c>
      <c r="H687" s="21">
        <v>51.175342465753424</v>
      </c>
      <c r="I687" t="s">
        <v>571</v>
      </c>
      <c r="J687" t="s">
        <v>3197</v>
      </c>
      <c r="K687" t="s">
        <v>3198</v>
      </c>
      <c r="L687">
        <v>3115114910</v>
      </c>
    </row>
    <row r="688" spans="1:12" x14ac:dyDescent="0.25">
      <c r="A688">
        <v>688</v>
      </c>
      <c r="B688" t="s">
        <v>1780</v>
      </c>
      <c r="C688" t="s">
        <v>120</v>
      </c>
      <c r="D688" t="s">
        <v>622</v>
      </c>
      <c r="E688" t="s">
        <v>164</v>
      </c>
      <c r="F688" t="s">
        <v>698</v>
      </c>
      <c r="G688" s="22">
        <v>29384</v>
      </c>
      <c r="H688" s="21">
        <v>41.082191780821915</v>
      </c>
      <c r="I688" t="s">
        <v>1167</v>
      </c>
      <c r="J688" t="s">
        <v>4167</v>
      </c>
      <c r="K688" t="s">
        <v>4168</v>
      </c>
      <c r="L688">
        <v>3115114910</v>
      </c>
    </row>
    <row r="689" spans="1:12" x14ac:dyDescent="0.25">
      <c r="A689">
        <v>689</v>
      </c>
      <c r="B689" t="s">
        <v>2323</v>
      </c>
      <c r="C689" t="s">
        <v>662</v>
      </c>
      <c r="D689" t="s">
        <v>448</v>
      </c>
      <c r="E689" t="s">
        <v>804</v>
      </c>
      <c r="F689" t="s">
        <v>826</v>
      </c>
      <c r="G689" s="22">
        <v>20761</v>
      </c>
      <c r="H689" s="21">
        <v>64.706849315068496</v>
      </c>
      <c r="I689" t="s">
        <v>1320</v>
      </c>
      <c r="J689" t="s">
        <v>3199</v>
      </c>
      <c r="K689" t="s">
        <v>3200</v>
      </c>
      <c r="L689">
        <v>3115114909</v>
      </c>
    </row>
    <row r="690" spans="1:12" x14ac:dyDescent="0.25">
      <c r="A690">
        <v>690</v>
      </c>
      <c r="B690" t="s">
        <v>1781</v>
      </c>
      <c r="C690" t="s">
        <v>50</v>
      </c>
      <c r="D690" t="s">
        <v>483</v>
      </c>
      <c r="E690" t="s">
        <v>87</v>
      </c>
      <c r="F690" t="s">
        <v>751</v>
      </c>
      <c r="G690" s="22">
        <v>29008</v>
      </c>
      <c r="H690" s="21">
        <v>42.112328767123287</v>
      </c>
      <c r="I690" t="s">
        <v>575</v>
      </c>
      <c r="J690" t="s">
        <v>4169</v>
      </c>
      <c r="K690" t="s">
        <v>4170</v>
      </c>
      <c r="L690">
        <v>3115114909</v>
      </c>
    </row>
    <row r="691" spans="1:12" x14ac:dyDescent="0.25">
      <c r="A691">
        <v>691</v>
      </c>
      <c r="B691" t="s">
        <v>2324</v>
      </c>
      <c r="C691" t="s">
        <v>1099</v>
      </c>
      <c r="D691" t="s">
        <v>330</v>
      </c>
      <c r="E691" t="s">
        <v>752</v>
      </c>
      <c r="F691" t="s">
        <v>221</v>
      </c>
      <c r="G691" s="22">
        <v>27564</v>
      </c>
      <c r="H691" s="21">
        <v>46.06849315068493</v>
      </c>
      <c r="I691" t="s">
        <v>555</v>
      </c>
      <c r="J691" t="s">
        <v>3201</v>
      </c>
      <c r="K691" t="s">
        <v>3202</v>
      </c>
      <c r="L691">
        <v>3115060130</v>
      </c>
    </row>
    <row r="692" spans="1:12" x14ac:dyDescent="0.25">
      <c r="A692">
        <v>692</v>
      </c>
      <c r="B692" t="s">
        <v>1782</v>
      </c>
      <c r="C692" t="s">
        <v>1012</v>
      </c>
      <c r="D692" t="s">
        <v>134</v>
      </c>
      <c r="E692" t="s">
        <v>106</v>
      </c>
      <c r="F692" t="s">
        <v>731</v>
      </c>
      <c r="G692" s="22">
        <v>26795</v>
      </c>
      <c r="H692" s="21">
        <v>48.175342465753424</v>
      </c>
      <c r="I692" t="s">
        <v>1182</v>
      </c>
      <c r="J692" t="s">
        <v>4171</v>
      </c>
      <c r="K692" t="s">
        <v>4172</v>
      </c>
      <c r="L692">
        <v>3115060130</v>
      </c>
    </row>
    <row r="693" spans="1:12" x14ac:dyDescent="0.25">
      <c r="A693">
        <v>693</v>
      </c>
      <c r="B693" t="s">
        <v>2325</v>
      </c>
      <c r="C693" t="s">
        <v>1141</v>
      </c>
      <c r="D693" t="s">
        <v>491</v>
      </c>
      <c r="E693" t="s">
        <v>792</v>
      </c>
      <c r="F693" t="s">
        <v>768</v>
      </c>
      <c r="G693" s="22">
        <v>25868</v>
      </c>
      <c r="H693" s="21">
        <v>50.715068493150682</v>
      </c>
      <c r="I693" t="s">
        <v>612</v>
      </c>
      <c r="J693" t="s">
        <v>3203</v>
      </c>
      <c r="K693" t="s">
        <v>3204</v>
      </c>
      <c r="L693">
        <v>3115060125</v>
      </c>
    </row>
    <row r="694" spans="1:12" x14ac:dyDescent="0.25">
      <c r="A694">
        <v>694</v>
      </c>
      <c r="B694" t="s">
        <v>1783</v>
      </c>
      <c r="C694" t="s">
        <v>24</v>
      </c>
      <c r="D694" t="s">
        <v>967</v>
      </c>
      <c r="E694" t="s">
        <v>136</v>
      </c>
      <c r="F694" t="s">
        <v>788</v>
      </c>
      <c r="G694" s="22">
        <v>25744</v>
      </c>
      <c r="H694" s="21">
        <v>51.054794520547944</v>
      </c>
      <c r="I694" t="s">
        <v>1221</v>
      </c>
      <c r="J694" t="s">
        <v>4173</v>
      </c>
      <c r="K694" t="s">
        <v>4174</v>
      </c>
      <c r="L694">
        <v>3115060125</v>
      </c>
    </row>
    <row r="695" spans="1:12" x14ac:dyDescent="0.25">
      <c r="A695">
        <v>695</v>
      </c>
      <c r="B695" t="s">
        <v>2326</v>
      </c>
      <c r="C695" t="s">
        <v>353</v>
      </c>
      <c r="D695" t="s">
        <v>1142</v>
      </c>
      <c r="E695" t="s">
        <v>723</v>
      </c>
      <c r="F695" t="s">
        <v>679</v>
      </c>
      <c r="G695" s="22">
        <v>24464</v>
      </c>
      <c r="H695" s="21">
        <v>54.561643835616437</v>
      </c>
      <c r="I695" t="s">
        <v>1277</v>
      </c>
      <c r="J695" t="s">
        <v>3205</v>
      </c>
      <c r="K695" t="s">
        <v>3206</v>
      </c>
      <c r="L695">
        <v>3115060110</v>
      </c>
    </row>
    <row r="696" spans="1:12" x14ac:dyDescent="0.25">
      <c r="A696">
        <v>696</v>
      </c>
      <c r="B696" t="s">
        <v>1784</v>
      </c>
      <c r="C696" t="s">
        <v>20</v>
      </c>
      <c r="D696" t="s">
        <v>8</v>
      </c>
      <c r="E696" t="s">
        <v>89</v>
      </c>
      <c r="F696" t="s">
        <v>816</v>
      </c>
      <c r="G696" s="22">
        <v>32300</v>
      </c>
      <c r="H696" s="21">
        <v>33.093150684931508</v>
      </c>
      <c r="I696" t="s">
        <v>1176</v>
      </c>
      <c r="J696" t="s">
        <v>4175</v>
      </c>
      <c r="K696" t="s">
        <v>4176</v>
      </c>
      <c r="L696">
        <v>3115060110</v>
      </c>
    </row>
    <row r="697" spans="1:12" x14ac:dyDescent="0.25">
      <c r="A697">
        <v>697</v>
      </c>
      <c r="B697" t="s">
        <v>2327</v>
      </c>
      <c r="C697" t="s">
        <v>418</v>
      </c>
      <c r="D697" t="s">
        <v>1143</v>
      </c>
      <c r="E697" t="s">
        <v>810</v>
      </c>
      <c r="F697" t="s">
        <v>225</v>
      </c>
      <c r="G697" s="22">
        <v>31555</v>
      </c>
      <c r="H697" s="21">
        <v>35.134246575342466</v>
      </c>
      <c r="I697" t="s">
        <v>1406</v>
      </c>
      <c r="J697" t="s">
        <v>3207</v>
      </c>
      <c r="K697" t="s">
        <v>3208</v>
      </c>
      <c r="L697">
        <v>3115060091</v>
      </c>
    </row>
    <row r="698" spans="1:12" x14ac:dyDescent="0.25">
      <c r="A698">
        <v>698</v>
      </c>
      <c r="B698" t="s">
        <v>1785</v>
      </c>
      <c r="C698" t="s">
        <v>324</v>
      </c>
      <c r="D698" t="s">
        <v>631</v>
      </c>
      <c r="E698" t="s">
        <v>188</v>
      </c>
      <c r="F698" t="s">
        <v>243</v>
      </c>
      <c r="G698" s="22">
        <v>25943</v>
      </c>
      <c r="H698" s="21">
        <v>50.509589041095893</v>
      </c>
      <c r="I698" t="s">
        <v>1180</v>
      </c>
      <c r="J698" t="s">
        <v>4177</v>
      </c>
      <c r="K698" t="s">
        <v>4178</v>
      </c>
      <c r="L698">
        <v>3115060091</v>
      </c>
    </row>
    <row r="699" spans="1:12" x14ac:dyDescent="0.25">
      <c r="A699">
        <v>699</v>
      </c>
      <c r="B699" t="s">
        <v>2328</v>
      </c>
      <c r="C699" t="s">
        <v>387</v>
      </c>
      <c r="D699" t="s">
        <v>353</v>
      </c>
      <c r="E699" t="s">
        <v>751</v>
      </c>
      <c r="F699" t="s">
        <v>788</v>
      </c>
      <c r="G699" s="22">
        <v>34258</v>
      </c>
      <c r="H699" s="21">
        <v>27.728767123287671</v>
      </c>
      <c r="I699" t="s">
        <v>580</v>
      </c>
      <c r="J699" t="s">
        <v>3209</v>
      </c>
      <c r="K699" t="s">
        <v>3210</v>
      </c>
      <c r="L699">
        <v>3115060080</v>
      </c>
    </row>
    <row r="700" spans="1:12" x14ac:dyDescent="0.25">
      <c r="A700">
        <v>700</v>
      </c>
      <c r="B700" t="s">
        <v>1786</v>
      </c>
      <c r="C700" t="s">
        <v>105</v>
      </c>
      <c r="D700" t="s">
        <v>204</v>
      </c>
      <c r="E700" t="s">
        <v>119</v>
      </c>
      <c r="F700" t="s">
        <v>767</v>
      </c>
      <c r="G700" s="22">
        <v>36724</v>
      </c>
      <c r="H700" s="21">
        <v>20.972602739726028</v>
      </c>
      <c r="I700" t="s">
        <v>1173</v>
      </c>
      <c r="J700" t="s">
        <v>4179</v>
      </c>
      <c r="K700" t="s">
        <v>4180</v>
      </c>
      <c r="L700">
        <v>3115060080</v>
      </c>
    </row>
    <row r="701" spans="1:12" x14ac:dyDescent="0.25">
      <c r="A701">
        <v>701</v>
      </c>
      <c r="B701" t="s">
        <v>2329</v>
      </c>
      <c r="C701" t="s">
        <v>483</v>
      </c>
      <c r="D701" t="s">
        <v>1144</v>
      </c>
      <c r="E701" t="s">
        <v>848</v>
      </c>
      <c r="F701" t="s">
        <v>769</v>
      </c>
      <c r="G701" s="22">
        <v>37397</v>
      </c>
      <c r="H701" s="21">
        <v>19.12876712328767</v>
      </c>
      <c r="I701" t="s">
        <v>1407</v>
      </c>
      <c r="J701" t="s">
        <v>3211</v>
      </c>
      <c r="K701" t="s">
        <v>3212</v>
      </c>
      <c r="L701">
        <v>3115114385</v>
      </c>
    </row>
    <row r="702" spans="1:12" x14ac:dyDescent="0.25">
      <c r="A702">
        <v>702</v>
      </c>
      <c r="B702" t="s">
        <v>1787</v>
      </c>
      <c r="C702" t="s">
        <v>50</v>
      </c>
      <c r="D702" t="s">
        <v>483</v>
      </c>
      <c r="E702" t="s">
        <v>46</v>
      </c>
      <c r="F702" t="s">
        <v>695</v>
      </c>
      <c r="G702" s="22">
        <v>27344</v>
      </c>
      <c r="H702" s="21">
        <v>46.671232876712331</v>
      </c>
      <c r="I702" t="s">
        <v>1242</v>
      </c>
      <c r="J702" t="s">
        <v>4181</v>
      </c>
      <c r="K702" t="s">
        <v>4182</v>
      </c>
      <c r="L702">
        <v>3115114385</v>
      </c>
    </row>
    <row r="703" spans="1:12" x14ac:dyDescent="0.25">
      <c r="A703">
        <v>703</v>
      </c>
      <c r="B703" t="s">
        <v>2330</v>
      </c>
      <c r="C703" t="s">
        <v>1123</v>
      </c>
      <c r="D703" t="s">
        <v>330</v>
      </c>
      <c r="E703" t="s">
        <v>682</v>
      </c>
      <c r="F703" t="s">
        <v>676</v>
      </c>
      <c r="G703" s="22">
        <v>37538</v>
      </c>
      <c r="H703" s="21">
        <v>18.742465753424657</v>
      </c>
      <c r="I703" t="s">
        <v>1408</v>
      </c>
      <c r="J703" t="s">
        <v>3213</v>
      </c>
      <c r="K703" t="s">
        <v>3214</v>
      </c>
      <c r="L703">
        <v>3115114360</v>
      </c>
    </row>
    <row r="704" spans="1:12" x14ac:dyDescent="0.25">
      <c r="A704">
        <v>704</v>
      </c>
      <c r="B704" t="s">
        <v>1788</v>
      </c>
      <c r="C704" t="s">
        <v>20</v>
      </c>
      <c r="D704" t="s">
        <v>306</v>
      </c>
      <c r="E704" t="s">
        <v>210</v>
      </c>
      <c r="F704" t="s">
        <v>733</v>
      </c>
      <c r="G704" s="22">
        <v>30577</v>
      </c>
      <c r="H704" s="21">
        <v>37.813698630136983</v>
      </c>
      <c r="I704" t="s">
        <v>1249</v>
      </c>
      <c r="J704" t="s">
        <v>4183</v>
      </c>
      <c r="K704" t="s">
        <v>4184</v>
      </c>
      <c r="L704">
        <v>3115114360</v>
      </c>
    </row>
    <row r="705" spans="1:12" x14ac:dyDescent="0.25">
      <c r="A705">
        <v>705</v>
      </c>
      <c r="B705" t="s">
        <v>2331</v>
      </c>
      <c r="C705" t="s">
        <v>341</v>
      </c>
      <c r="D705" t="s">
        <v>1132</v>
      </c>
      <c r="E705" t="s">
        <v>849</v>
      </c>
      <c r="F705" t="s">
        <v>796</v>
      </c>
      <c r="G705" s="22">
        <v>30176</v>
      </c>
      <c r="H705" s="21">
        <v>38.912328767123284</v>
      </c>
      <c r="I705" t="s">
        <v>1311</v>
      </c>
      <c r="J705" t="s">
        <v>3215</v>
      </c>
      <c r="K705" t="s">
        <v>3216</v>
      </c>
      <c r="L705">
        <v>3115093653</v>
      </c>
    </row>
    <row r="706" spans="1:12" x14ac:dyDescent="0.25">
      <c r="A706">
        <v>706</v>
      </c>
      <c r="B706" t="s">
        <v>1789</v>
      </c>
      <c r="C706" t="s">
        <v>50</v>
      </c>
      <c r="D706" t="s">
        <v>17</v>
      </c>
      <c r="E706" t="s">
        <v>124</v>
      </c>
      <c r="F706" t="s">
        <v>244</v>
      </c>
      <c r="G706" s="22">
        <v>33555</v>
      </c>
      <c r="H706" s="21">
        <v>29.654794520547945</v>
      </c>
      <c r="I706" t="s">
        <v>1199</v>
      </c>
      <c r="J706" t="s">
        <v>4185</v>
      </c>
      <c r="K706" t="s">
        <v>4186</v>
      </c>
      <c r="L706">
        <v>3115093653</v>
      </c>
    </row>
    <row r="707" spans="1:12" x14ac:dyDescent="0.25">
      <c r="A707">
        <v>707</v>
      </c>
      <c r="B707" t="s">
        <v>2332</v>
      </c>
      <c r="C707" t="s">
        <v>371</v>
      </c>
      <c r="D707" t="s">
        <v>391</v>
      </c>
      <c r="E707" t="s">
        <v>797</v>
      </c>
      <c r="F707" t="s">
        <v>748</v>
      </c>
      <c r="G707" s="22">
        <v>33329</v>
      </c>
      <c r="H707" s="21">
        <v>30.273972602739725</v>
      </c>
      <c r="I707" t="s">
        <v>560</v>
      </c>
      <c r="J707" t="s">
        <v>3217</v>
      </c>
      <c r="K707" t="s">
        <v>3218</v>
      </c>
      <c r="L707">
        <v>3115093598</v>
      </c>
    </row>
    <row r="708" spans="1:12" x14ac:dyDescent="0.25">
      <c r="A708">
        <v>708</v>
      </c>
      <c r="B708" t="s">
        <v>1790</v>
      </c>
      <c r="C708" t="s">
        <v>19</v>
      </c>
      <c r="D708" t="s">
        <v>50</v>
      </c>
      <c r="E708" t="s">
        <v>59</v>
      </c>
      <c r="F708" t="s">
        <v>763</v>
      </c>
      <c r="G708" s="22">
        <v>25082</v>
      </c>
      <c r="H708" s="21">
        <v>52.868493150684934</v>
      </c>
      <c r="I708" t="s">
        <v>1180</v>
      </c>
      <c r="J708" t="s">
        <v>4187</v>
      </c>
      <c r="K708" t="s">
        <v>4188</v>
      </c>
      <c r="L708">
        <v>3115093598</v>
      </c>
    </row>
    <row r="709" spans="1:12" x14ac:dyDescent="0.25">
      <c r="A709">
        <v>709</v>
      </c>
      <c r="B709" t="s">
        <v>2333</v>
      </c>
      <c r="C709" t="s">
        <v>1145</v>
      </c>
      <c r="D709" t="s">
        <v>446</v>
      </c>
      <c r="E709" t="s">
        <v>743</v>
      </c>
      <c r="F709" t="s">
        <v>822</v>
      </c>
      <c r="G709" s="22">
        <v>30157</v>
      </c>
      <c r="H709" s="21">
        <v>38.964383561643835</v>
      </c>
      <c r="I709" t="s">
        <v>1409</v>
      </c>
      <c r="J709" t="s">
        <v>3219</v>
      </c>
      <c r="K709" t="s">
        <v>3220</v>
      </c>
      <c r="L709">
        <v>3115093583</v>
      </c>
    </row>
    <row r="710" spans="1:12" x14ac:dyDescent="0.25">
      <c r="A710">
        <v>710</v>
      </c>
      <c r="B710" t="s">
        <v>1791</v>
      </c>
      <c r="C710" t="s">
        <v>50</v>
      </c>
      <c r="D710" t="s">
        <v>482</v>
      </c>
      <c r="E710" t="s">
        <v>223</v>
      </c>
      <c r="F710" t="s">
        <v>820</v>
      </c>
      <c r="G710" s="22">
        <v>29053</v>
      </c>
      <c r="H710" s="21">
        <v>41.989041095890414</v>
      </c>
      <c r="I710" t="s">
        <v>1232</v>
      </c>
      <c r="J710" t="s">
        <v>4189</v>
      </c>
      <c r="K710" t="s">
        <v>4190</v>
      </c>
      <c r="L710">
        <v>3115093583</v>
      </c>
    </row>
    <row r="711" spans="1:12" x14ac:dyDescent="0.25">
      <c r="A711">
        <v>711</v>
      </c>
      <c r="B711" t="s">
        <v>2334</v>
      </c>
      <c r="C711" t="s">
        <v>483</v>
      </c>
      <c r="D711" t="s">
        <v>481</v>
      </c>
      <c r="E711" t="s">
        <v>247</v>
      </c>
      <c r="F711" t="s">
        <v>471</v>
      </c>
      <c r="G711" s="22">
        <v>21323</v>
      </c>
      <c r="H711" s="21">
        <v>63.167123287671231</v>
      </c>
      <c r="I711" t="s">
        <v>548</v>
      </c>
      <c r="J711" t="s">
        <v>3221</v>
      </c>
      <c r="K711" t="s">
        <v>3222</v>
      </c>
      <c r="L711">
        <v>3115092386</v>
      </c>
    </row>
    <row r="712" spans="1:12" x14ac:dyDescent="0.25">
      <c r="A712">
        <v>712</v>
      </c>
      <c r="B712" t="s">
        <v>1792</v>
      </c>
      <c r="C712" t="s">
        <v>962</v>
      </c>
      <c r="D712" t="s">
        <v>306</v>
      </c>
      <c r="E712" t="s">
        <v>314</v>
      </c>
      <c r="F712" t="s">
        <v>42</v>
      </c>
      <c r="G712" s="22">
        <v>35006</v>
      </c>
      <c r="H712" s="21">
        <v>25.67945205479452</v>
      </c>
      <c r="I712" t="s">
        <v>1262</v>
      </c>
      <c r="J712" t="s">
        <v>4191</v>
      </c>
      <c r="K712" t="s">
        <v>4192</v>
      </c>
      <c r="L712">
        <v>3115092386</v>
      </c>
    </row>
    <row r="713" spans="1:12" x14ac:dyDescent="0.25">
      <c r="A713">
        <v>713</v>
      </c>
      <c r="B713" t="s">
        <v>2335</v>
      </c>
      <c r="C713" t="s">
        <v>431</v>
      </c>
      <c r="D713" t="s">
        <v>342</v>
      </c>
      <c r="E713" t="s">
        <v>244</v>
      </c>
      <c r="F713" t="s">
        <v>760</v>
      </c>
      <c r="G713" s="22">
        <v>36147</v>
      </c>
      <c r="H713" s="21">
        <v>22.553424657534247</v>
      </c>
      <c r="I713" t="s">
        <v>603</v>
      </c>
      <c r="J713" t="s">
        <v>3223</v>
      </c>
      <c r="K713" t="s">
        <v>3224</v>
      </c>
      <c r="L713">
        <v>3115092375</v>
      </c>
    </row>
    <row r="714" spans="1:12" x14ac:dyDescent="0.25">
      <c r="A714">
        <v>714</v>
      </c>
      <c r="B714" t="s">
        <v>1793</v>
      </c>
      <c r="C714" t="s">
        <v>165</v>
      </c>
      <c r="D714" t="s">
        <v>1013</v>
      </c>
      <c r="E714" t="s">
        <v>48</v>
      </c>
      <c r="F714" t="s">
        <v>693</v>
      </c>
      <c r="G714" s="22">
        <v>24603</v>
      </c>
      <c r="H714" s="21">
        <v>54.180821917808217</v>
      </c>
      <c r="I714" t="s">
        <v>1179</v>
      </c>
      <c r="J714" t="s">
        <v>4193</v>
      </c>
      <c r="K714" t="s">
        <v>4194</v>
      </c>
      <c r="L714">
        <v>3115092375</v>
      </c>
    </row>
    <row r="715" spans="1:12" x14ac:dyDescent="0.25">
      <c r="A715">
        <v>715</v>
      </c>
      <c r="B715" t="s">
        <v>2336</v>
      </c>
      <c r="C715" t="s">
        <v>1146</v>
      </c>
      <c r="D715" t="s">
        <v>483</v>
      </c>
      <c r="E715" t="s">
        <v>742</v>
      </c>
      <c r="F715" t="s">
        <v>722</v>
      </c>
      <c r="G715" s="22">
        <v>28457</v>
      </c>
      <c r="H715" s="21">
        <v>43.62191780821918</v>
      </c>
      <c r="I715" t="s">
        <v>567</v>
      </c>
      <c r="J715" t="s">
        <v>3225</v>
      </c>
      <c r="K715" t="s">
        <v>3226</v>
      </c>
      <c r="L715">
        <v>3115092369</v>
      </c>
    </row>
    <row r="716" spans="1:12" x14ac:dyDescent="0.25">
      <c r="A716">
        <v>716</v>
      </c>
      <c r="B716" t="s">
        <v>1794</v>
      </c>
      <c r="C716" t="s">
        <v>137</v>
      </c>
      <c r="D716" t="s">
        <v>149</v>
      </c>
      <c r="E716" t="s">
        <v>182</v>
      </c>
      <c r="F716" t="s">
        <v>732</v>
      </c>
      <c r="G716" s="22">
        <v>30025</v>
      </c>
      <c r="H716" s="21">
        <v>39.326027397260276</v>
      </c>
      <c r="I716" t="s">
        <v>552</v>
      </c>
      <c r="J716" t="s">
        <v>4195</v>
      </c>
      <c r="K716" t="s">
        <v>4196</v>
      </c>
      <c r="L716">
        <v>3115092369</v>
      </c>
    </row>
    <row r="717" spans="1:12" x14ac:dyDescent="0.25">
      <c r="A717">
        <v>717</v>
      </c>
      <c r="B717" t="s">
        <v>2337</v>
      </c>
      <c r="C717" t="s">
        <v>659</v>
      </c>
      <c r="D717" t="s">
        <v>402</v>
      </c>
      <c r="E717" t="s">
        <v>704</v>
      </c>
      <c r="F717" t="s">
        <v>476</v>
      </c>
      <c r="G717" s="22">
        <v>36423</v>
      </c>
      <c r="H717" s="21">
        <v>21.797260273972604</v>
      </c>
      <c r="I717" t="s">
        <v>569</v>
      </c>
      <c r="J717" t="s">
        <v>3227</v>
      </c>
      <c r="K717" t="s">
        <v>3228</v>
      </c>
      <c r="L717">
        <v>3115092360</v>
      </c>
    </row>
    <row r="718" spans="1:12" x14ac:dyDescent="0.25">
      <c r="A718">
        <v>718</v>
      </c>
      <c r="B718" t="s">
        <v>1795</v>
      </c>
      <c r="C718" t="s">
        <v>143</v>
      </c>
      <c r="D718" t="s">
        <v>1014</v>
      </c>
      <c r="E718" t="s">
        <v>272</v>
      </c>
      <c r="F718" t="s">
        <v>772</v>
      </c>
      <c r="G718" s="22">
        <v>28061</v>
      </c>
      <c r="H718" s="21">
        <v>44.706849315068496</v>
      </c>
      <c r="I718" t="s">
        <v>1229</v>
      </c>
      <c r="J718" t="s">
        <v>4197</v>
      </c>
      <c r="K718" t="s">
        <v>4198</v>
      </c>
      <c r="L718">
        <v>3115092360</v>
      </c>
    </row>
    <row r="719" spans="1:12" x14ac:dyDescent="0.25">
      <c r="A719">
        <v>719</v>
      </c>
      <c r="B719" t="s">
        <v>2338</v>
      </c>
      <c r="C719" t="s">
        <v>341</v>
      </c>
      <c r="D719" t="s">
        <v>1147</v>
      </c>
      <c r="E719" t="s">
        <v>707</v>
      </c>
      <c r="F719" t="s">
        <v>850</v>
      </c>
      <c r="G719" s="22">
        <v>30275</v>
      </c>
      <c r="H719" s="21">
        <v>38.641095890410959</v>
      </c>
      <c r="I719" t="s">
        <v>564</v>
      </c>
      <c r="J719" t="s">
        <v>3229</v>
      </c>
      <c r="K719" t="s">
        <v>3230</v>
      </c>
      <c r="L719">
        <v>3115092352</v>
      </c>
    </row>
    <row r="720" spans="1:12" x14ac:dyDescent="0.25">
      <c r="A720">
        <v>720</v>
      </c>
      <c r="B720" t="s">
        <v>1796</v>
      </c>
      <c r="C720" t="s">
        <v>1015</v>
      </c>
      <c r="D720" t="s">
        <v>1005</v>
      </c>
      <c r="E720" t="s">
        <v>92</v>
      </c>
      <c r="F720" t="s">
        <v>737</v>
      </c>
      <c r="G720" s="22">
        <v>24929</v>
      </c>
      <c r="H720" s="21">
        <v>53.287671232876711</v>
      </c>
      <c r="I720" t="s">
        <v>1236</v>
      </c>
      <c r="J720" t="s">
        <v>4199</v>
      </c>
      <c r="K720" t="s">
        <v>4200</v>
      </c>
      <c r="L720">
        <v>3115092352</v>
      </c>
    </row>
    <row r="721" spans="1:12" x14ac:dyDescent="0.25">
      <c r="A721">
        <v>721</v>
      </c>
      <c r="B721" t="s">
        <v>2339</v>
      </c>
      <c r="C721" t="s">
        <v>507</v>
      </c>
      <c r="D721" t="s">
        <v>886</v>
      </c>
      <c r="E721" t="s">
        <v>709</v>
      </c>
      <c r="F721" t="s">
        <v>843</v>
      </c>
      <c r="G721" s="22">
        <v>23868</v>
      </c>
      <c r="H721" s="21">
        <v>56.194520547945203</v>
      </c>
      <c r="I721" t="s">
        <v>530</v>
      </c>
      <c r="J721" t="s">
        <v>3231</v>
      </c>
      <c r="K721" t="s">
        <v>3232</v>
      </c>
      <c r="L721">
        <v>3115114930</v>
      </c>
    </row>
    <row r="722" spans="1:12" x14ac:dyDescent="0.25">
      <c r="A722">
        <v>722</v>
      </c>
      <c r="B722" t="s">
        <v>1797</v>
      </c>
      <c r="C722" t="s">
        <v>1016</v>
      </c>
      <c r="D722" t="s">
        <v>1017</v>
      </c>
      <c r="E722" t="s">
        <v>97</v>
      </c>
      <c r="F722" t="s">
        <v>765</v>
      </c>
      <c r="G722" s="22">
        <v>34509</v>
      </c>
      <c r="H722" s="21">
        <v>27.041095890410958</v>
      </c>
      <c r="I722" t="s">
        <v>588</v>
      </c>
      <c r="J722" t="s">
        <v>4201</v>
      </c>
      <c r="K722" t="s">
        <v>4202</v>
      </c>
      <c r="L722">
        <v>3115114930</v>
      </c>
    </row>
    <row r="723" spans="1:12" x14ac:dyDescent="0.25">
      <c r="A723">
        <v>723</v>
      </c>
      <c r="B723" t="s">
        <v>2340</v>
      </c>
      <c r="C723" t="s">
        <v>1131</v>
      </c>
      <c r="D723" t="s">
        <v>1123</v>
      </c>
      <c r="E723" t="s">
        <v>739</v>
      </c>
      <c r="F723" t="s">
        <v>695</v>
      </c>
      <c r="G723" s="22">
        <v>21896</v>
      </c>
      <c r="H723" s="21">
        <v>61.597260273972601</v>
      </c>
      <c r="I723" t="s">
        <v>601</v>
      </c>
      <c r="J723" t="s">
        <v>3233</v>
      </c>
      <c r="K723" t="s">
        <v>3234</v>
      </c>
      <c r="L723">
        <v>3115114916</v>
      </c>
    </row>
    <row r="724" spans="1:12" x14ac:dyDescent="0.25">
      <c r="A724">
        <v>724</v>
      </c>
      <c r="B724" t="s">
        <v>1798</v>
      </c>
      <c r="C724" t="s">
        <v>931</v>
      </c>
      <c r="D724" t="s">
        <v>1018</v>
      </c>
      <c r="E724" t="s">
        <v>161</v>
      </c>
      <c r="F724" t="s">
        <v>456</v>
      </c>
      <c r="G724" s="22">
        <v>37531</v>
      </c>
      <c r="H724" s="21">
        <v>18.761643835616439</v>
      </c>
      <c r="I724" t="s">
        <v>1186</v>
      </c>
      <c r="J724" t="s">
        <v>4203</v>
      </c>
      <c r="K724" t="s">
        <v>4204</v>
      </c>
      <c r="L724">
        <v>3115114916</v>
      </c>
    </row>
    <row r="725" spans="1:12" x14ac:dyDescent="0.25">
      <c r="A725">
        <v>725</v>
      </c>
      <c r="B725" t="s">
        <v>2341</v>
      </c>
      <c r="C725" t="s">
        <v>431</v>
      </c>
      <c r="D725" t="s">
        <v>387</v>
      </c>
      <c r="E725" t="s">
        <v>788</v>
      </c>
      <c r="F725" t="s">
        <v>811</v>
      </c>
      <c r="G725" s="22">
        <v>21563</v>
      </c>
      <c r="H725" s="21">
        <v>62.509589041095893</v>
      </c>
      <c r="I725" t="s">
        <v>538</v>
      </c>
      <c r="J725" t="s">
        <v>3235</v>
      </c>
      <c r="K725" t="s">
        <v>3236</v>
      </c>
      <c r="L725">
        <v>3115114911</v>
      </c>
    </row>
    <row r="726" spans="1:12" x14ac:dyDescent="0.25">
      <c r="A726">
        <v>726</v>
      </c>
      <c r="B726" t="s">
        <v>1799</v>
      </c>
      <c r="C726" t="s">
        <v>1019</v>
      </c>
      <c r="D726" t="s">
        <v>306</v>
      </c>
      <c r="E726" t="s">
        <v>138</v>
      </c>
      <c r="F726" t="s">
        <v>789</v>
      </c>
      <c r="G726" s="22">
        <v>26275</v>
      </c>
      <c r="H726" s="21">
        <v>49.6</v>
      </c>
      <c r="I726" t="s">
        <v>1244</v>
      </c>
      <c r="J726" t="s">
        <v>4205</v>
      </c>
      <c r="K726" t="s">
        <v>4206</v>
      </c>
      <c r="L726">
        <v>3115114911</v>
      </c>
    </row>
    <row r="727" spans="1:12" x14ac:dyDescent="0.25">
      <c r="A727">
        <v>727</v>
      </c>
      <c r="B727" t="s">
        <v>2342</v>
      </c>
      <c r="C727" t="s">
        <v>399</v>
      </c>
      <c r="D727" t="s">
        <v>365</v>
      </c>
      <c r="E727" t="s">
        <v>778</v>
      </c>
      <c r="F727" t="s">
        <v>819</v>
      </c>
      <c r="G727" s="22">
        <v>29091</v>
      </c>
      <c r="H727" s="21">
        <v>41.884931506849313</v>
      </c>
      <c r="I727" t="s">
        <v>1410</v>
      </c>
      <c r="J727" t="s">
        <v>3237</v>
      </c>
      <c r="K727" t="s">
        <v>3238</v>
      </c>
      <c r="L727">
        <v>3115114910</v>
      </c>
    </row>
    <row r="728" spans="1:12" x14ac:dyDescent="0.25">
      <c r="A728">
        <v>728</v>
      </c>
      <c r="B728" t="s">
        <v>1800</v>
      </c>
      <c r="C728" t="s">
        <v>924</v>
      </c>
      <c r="D728" t="s">
        <v>36</v>
      </c>
      <c r="E728" t="s">
        <v>212</v>
      </c>
      <c r="F728" t="s">
        <v>711</v>
      </c>
      <c r="G728" s="22">
        <v>35847</v>
      </c>
      <c r="H728" s="21">
        <v>23.375342465753423</v>
      </c>
      <c r="I728" t="s">
        <v>544</v>
      </c>
      <c r="J728" t="s">
        <v>4207</v>
      </c>
      <c r="K728" t="s">
        <v>4208</v>
      </c>
      <c r="L728">
        <v>3115114910</v>
      </c>
    </row>
    <row r="729" spans="1:12" x14ac:dyDescent="0.25">
      <c r="A729">
        <v>729</v>
      </c>
      <c r="B729" t="s">
        <v>2343</v>
      </c>
      <c r="C729" t="s">
        <v>1148</v>
      </c>
      <c r="D729" t="s">
        <v>491</v>
      </c>
      <c r="E729" t="s">
        <v>278</v>
      </c>
      <c r="F729" t="s">
        <v>758</v>
      </c>
      <c r="G729" s="22">
        <v>28160</v>
      </c>
      <c r="H729" s="21">
        <v>44.435616438356163</v>
      </c>
      <c r="I729" t="s">
        <v>572</v>
      </c>
      <c r="J729" t="s">
        <v>3239</v>
      </c>
      <c r="K729" t="s">
        <v>3240</v>
      </c>
      <c r="L729">
        <v>3115114909</v>
      </c>
    </row>
    <row r="730" spans="1:12" x14ac:dyDescent="0.25">
      <c r="A730">
        <v>730</v>
      </c>
      <c r="B730" t="s">
        <v>1801</v>
      </c>
      <c r="C730" t="s">
        <v>1020</v>
      </c>
      <c r="D730" t="s">
        <v>1021</v>
      </c>
      <c r="E730" t="s">
        <v>214</v>
      </c>
      <c r="F730" t="s">
        <v>729</v>
      </c>
      <c r="G730" s="22">
        <v>26193</v>
      </c>
      <c r="H730" s="21">
        <v>49.824657534246576</v>
      </c>
      <c r="I730" t="s">
        <v>1182</v>
      </c>
      <c r="J730" t="s">
        <v>4209</v>
      </c>
      <c r="K730" t="s">
        <v>4210</v>
      </c>
      <c r="L730">
        <v>3115114909</v>
      </c>
    </row>
    <row r="731" spans="1:12" x14ac:dyDescent="0.25">
      <c r="A731">
        <v>731</v>
      </c>
      <c r="B731" t="s">
        <v>2344</v>
      </c>
      <c r="C731" t="s">
        <v>1149</v>
      </c>
      <c r="D731" t="s">
        <v>892</v>
      </c>
      <c r="E731" t="s">
        <v>770</v>
      </c>
      <c r="F731" t="s">
        <v>693</v>
      </c>
      <c r="G731" s="22">
        <v>28495</v>
      </c>
      <c r="H731" s="21">
        <v>43.517808219178079</v>
      </c>
      <c r="I731" t="s">
        <v>540</v>
      </c>
      <c r="J731" t="s">
        <v>3241</v>
      </c>
      <c r="K731" t="s">
        <v>3242</v>
      </c>
      <c r="L731">
        <v>3115060130</v>
      </c>
    </row>
    <row r="732" spans="1:12" x14ac:dyDescent="0.25">
      <c r="A732">
        <v>732</v>
      </c>
      <c r="B732" t="s">
        <v>1802</v>
      </c>
      <c r="C732" t="s">
        <v>193</v>
      </c>
      <c r="D732" t="s">
        <v>309</v>
      </c>
      <c r="E732" t="s">
        <v>84</v>
      </c>
      <c r="F732" t="s">
        <v>235</v>
      </c>
      <c r="G732" s="22">
        <v>33471</v>
      </c>
      <c r="H732" s="21">
        <v>29.884931506849316</v>
      </c>
      <c r="I732" t="s">
        <v>1222</v>
      </c>
      <c r="J732" t="s">
        <v>4211</v>
      </c>
      <c r="K732" t="s">
        <v>4212</v>
      </c>
      <c r="L732">
        <v>3115060130</v>
      </c>
    </row>
    <row r="733" spans="1:12" x14ac:dyDescent="0.25">
      <c r="A733">
        <v>733</v>
      </c>
      <c r="B733" t="s">
        <v>2345</v>
      </c>
      <c r="C733" t="s">
        <v>353</v>
      </c>
      <c r="D733" t="s">
        <v>889</v>
      </c>
      <c r="E733" t="s">
        <v>716</v>
      </c>
      <c r="F733" t="s">
        <v>787</v>
      </c>
      <c r="G733" s="22">
        <v>35872</v>
      </c>
      <c r="H733" s="21">
        <v>23.306849315068494</v>
      </c>
      <c r="I733" t="s">
        <v>1346</v>
      </c>
      <c r="J733" t="s">
        <v>3243</v>
      </c>
      <c r="K733" t="s">
        <v>3244</v>
      </c>
      <c r="L733">
        <v>3115060125</v>
      </c>
    </row>
    <row r="734" spans="1:12" x14ac:dyDescent="0.25">
      <c r="A734">
        <v>734</v>
      </c>
      <c r="B734" t="s">
        <v>1803</v>
      </c>
      <c r="C734" t="s">
        <v>38</v>
      </c>
      <c r="D734" t="s">
        <v>1022</v>
      </c>
      <c r="E734" t="s">
        <v>57</v>
      </c>
      <c r="F734" t="s">
        <v>736</v>
      </c>
      <c r="G734" s="22">
        <v>29651</v>
      </c>
      <c r="H734" s="21">
        <v>40.350684931506848</v>
      </c>
      <c r="I734" t="s">
        <v>1218</v>
      </c>
      <c r="J734" t="s">
        <v>4213</v>
      </c>
      <c r="K734" t="s">
        <v>4214</v>
      </c>
      <c r="L734">
        <v>3115060125</v>
      </c>
    </row>
    <row r="735" spans="1:12" x14ac:dyDescent="0.25">
      <c r="A735">
        <v>735</v>
      </c>
      <c r="B735" t="s">
        <v>2346</v>
      </c>
      <c r="C735" t="s">
        <v>880</v>
      </c>
      <c r="D735" t="s">
        <v>656</v>
      </c>
      <c r="E735" t="s">
        <v>844</v>
      </c>
      <c r="F735" t="s">
        <v>732</v>
      </c>
      <c r="G735" s="22">
        <v>20779</v>
      </c>
      <c r="H735" s="21">
        <v>64.657534246575338</v>
      </c>
      <c r="I735" t="s">
        <v>588</v>
      </c>
      <c r="J735" t="s">
        <v>3245</v>
      </c>
      <c r="K735" t="s">
        <v>3246</v>
      </c>
      <c r="L735">
        <v>3115060110</v>
      </c>
    </row>
    <row r="736" spans="1:12" x14ac:dyDescent="0.25">
      <c r="A736">
        <v>736</v>
      </c>
      <c r="B736" t="s">
        <v>1804</v>
      </c>
      <c r="C736" t="s">
        <v>1023</v>
      </c>
      <c r="D736" t="s">
        <v>21</v>
      </c>
      <c r="E736" t="s">
        <v>80</v>
      </c>
      <c r="F736" t="s">
        <v>687</v>
      </c>
      <c r="G736" s="22">
        <v>28785</v>
      </c>
      <c r="H736" s="21">
        <v>42.723287671232875</v>
      </c>
      <c r="I736" t="s">
        <v>1237</v>
      </c>
      <c r="J736" t="s">
        <v>4215</v>
      </c>
      <c r="K736" t="s">
        <v>4216</v>
      </c>
      <c r="L736">
        <v>3115060110</v>
      </c>
    </row>
    <row r="737" spans="1:12" x14ac:dyDescent="0.25">
      <c r="A737">
        <v>737</v>
      </c>
      <c r="B737" t="s">
        <v>2347</v>
      </c>
      <c r="C737" t="s">
        <v>342</v>
      </c>
      <c r="D737" t="s">
        <v>402</v>
      </c>
      <c r="E737" t="s">
        <v>782</v>
      </c>
      <c r="F737" t="s">
        <v>786</v>
      </c>
      <c r="G737" s="22">
        <v>23398</v>
      </c>
      <c r="H737" s="21">
        <v>57.482191780821921</v>
      </c>
      <c r="I737" t="s">
        <v>1290</v>
      </c>
      <c r="J737" t="s">
        <v>3247</v>
      </c>
      <c r="K737" t="s">
        <v>3248</v>
      </c>
      <c r="L737">
        <v>3115060091</v>
      </c>
    </row>
    <row r="738" spans="1:12" x14ac:dyDescent="0.25">
      <c r="A738">
        <v>738</v>
      </c>
      <c r="B738" t="s">
        <v>1805</v>
      </c>
      <c r="C738" t="s">
        <v>971</v>
      </c>
      <c r="D738" t="s">
        <v>634</v>
      </c>
      <c r="E738" t="s">
        <v>73</v>
      </c>
      <c r="F738" t="s">
        <v>783</v>
      </c>
      <c r="G738" s="22">
        <v>34119</v>
      </c>
      <c r="H738" s="21">
        <v>28.109589041095891</v>
      </c>
      <c r="I738" t="s">
        <v>1195</v>
      </c>
      <c r="J738" t="s">
        <v>4217</v>
      </c>
      <c r="K738" t="s">
        <v>4218</v>
      </c>
      <c r="L738">
        <v>3115060091</v>
      </c>
    </row>
    <row r="739" spans="1:12" x14ac:dyDescent="0.25">
      <c r="A739">
        <v>739</v>
      </c>
      <c r="B739" t="s">
        <v>2348</v>
      </c>
      <c r="C739" t="s">
        <v>1150</v>
      </c>
      <c r="D739" t="s">
        <v>50</v>
      </c>
      <c r="E739" t="s">
        <v>477</v>
      </c>
      <c r="F739" t="s">
        <v>839</v>
      </c>
      <c r="G739" s="22">
        <v>34895</v>
      </c>
      <c r="H739" s="21">
        <v>25.983561643835618</v>
      </c>
      <c r="I739" t="s">
        <v>1411</v>
      </c>
      <c r="J739" t="s">
        <v>3249</v>
      </c>
      <c r="K739" t="s">
        <v>3250</v>
      </c>
      <c r="L739">
        <v>3115060080</v>
      </c>
    </row>
    <row r="740" spans="1:12" x14ac:dyDescent="0.25">
      <c r="A740">
        <v>740</v>
      </c>
      <c r="B740" t="s">
        <v>1806</v>
      </c>
      <c r="C740" t="s">
        <v>635</v>
      </c>
      <c r="D740" t="s">
        <v>50</v>
      </c>
      <c r="E740" t="s">
        <v>241</v>
      </c>
      <c r="F740" t="s">
        <v>692</v>
      </c>
      <c r="G740" s="22">
        <v>29085</v>
      </c>
      <c r="H740" s="21">
        <v>41.901369863013699</v>
      </c>
      <c r="I740" t="s">
        <v>1179</v>
      </c>
      <c r="J740" t="s">
        <v>4219</v>
      </c>
      <c r="K740" t="s">
        <v>4220</v>
      </c>
      <c r="L740">
        <v>3115060080</v>
      </c>
    </row>
    <row r="741" spans="1:12" x14ac:dyDescent="0.25">
      <c r="A741">
        <v>741</v>
      </c>
      <c r="B741" t="s">
        <v>2349</v>
      </c>
      <c r="C741" t="s">
        <v>483</v>
      </c>
      <c r="D741" t="s">
        <v>1151</v>
      </c>
      <c r="E741" t="s">
        <v>680</v>
      </c>
      <c r="F741" t="s">
        <v>808</v>
      </c>
      <c r="G741" s="22">
        <v>31049</v>
      </c>
      <c r="H741" s="21">
        <v>36.520547945205479</v>
      </c>
      <c r="I741" t="s">
        <v>595</v>
      </c>
      <c r="J741" t="s">
        <v>3251</v>
      </c>
      <c r="K741" t="s">
        <v>3252</v>
      </c>
      <c r="L741">
        <v>3115114385</v>
      </c>
    </row>
    <row r="742" spans="1:12" x14ac:dyDescent="0.25">
      <c r="A742">
        <v>742</v>
      </c>
      <c r="B742" t="s">
        <v>1807</v>
      </c>
      <c r="C742" t="s">
        <v>1024</v>
      </c>
      <c r="D742" t="s">
        <v>13</v>
      </c>
      <c r="E742" t="s">
        <v>77</v>
      </c>
      <c r="F742" t="s">
        <v>702</v>
      </c>
      <c r="G742" s="22">
        <v>27219</v>
      </c>
      <c r="H742" s="21">
        <v>47.013698630136986</v>
      </c>
      <c r="I742" t="s">
        <v>1182</v>
      </c>
      <c r="J742" t="s">
        <v>4221</v>
      </c>
      <c r="K742" t="s">
        <v>4222</v>
      </c>
      <c r="L742">
        <v>3115114385</v>
      </c>
    </row>
    <row r="743" spans="1:12" x14ac:dyDescent="0.25">
      <c r="A743">
        <v>743</v>
      </c>
      <c r="B743" t="s">
        <v>2350</v>
      </c>
      <c r="C743" t="s">
        <v>483</v>
      </c>
      <c r="D743" t="s">
        <v>429</v>
      </c>
      <c r="E743" t="s">
        <v>756</v>
      </c>
      <c r="F743" t="s">
        <v>99</v>
      </c>
      <c r="G743" s="22">
        <v>33976</v>
      </c>
      <c r="H743" s="21">
        <v>28.5013698630137</v>
      </c>
      <c r="I743" t="s">
        <v>1412</v>
      </c>
      <c r="J743" t="s">
        <v>3253</v>
      </c>
      <c r="K743" t="s">
        <v>3254</v>
      </c>
      <c r="L743">
        <v>3115114360</v>
      </c>
    </row>
    <row r="744" spans="1:12" x14ac:dyDescent="0.25">
      <c r="A744">
        <v>744</v>
      </c>
      <c r="B744" t="s">
        <v>1808</v>
      </c>
      <c r="C744" t="s">
        <v>1025</v>
      </c>
      <c r="D744" t="s">
        <v>1026</v>
      </c>
      <c r="E744" t="s">
        <v>221</v>
      </c>
      <c r="F744" t="s">
        <v>822</v>
      </c>
      <c r="G744" s="22">
        <v>29153</v>
      </c>
      <c r="H744" s="21">
        <v>41.715068493150682</v>
      </c>
      <c r="I744" t="s">
        <v>1173</v>
      </c>
      <c r="J744" t="s">
        <v>4223</v>
      </c>
      <c r="K744" t="s">
        <v>4224</v>
      </c>
      <c r="L744">
        <v>3115114360</v>
      </c>
    </row>
    <row r="745" spans="1:12" x14ac:dyDescent="0.25">
      <c r="A745">
        <v>745</v>
      </c>
      <c r="B745" t="s">
        <v>2351</v>
      </c>
      <c r="C745" t="s">
        <v>330</v>
      </c>
      <c r="D745" t="s">
        <v>353</v>
      </c>
      <c r="E745" t="s">
        <v>774</v>
      </c>
      <c r="F745" t="s">
        <v>799</v>
      </c>
      <c r="G745" s="22">
        <v>26773</v>
      </c>
      <c r="H745" s="21">
        <v>48.235616438356168</v>
      </c>
      <c r="I745" t="s">
        <v>1279</v>
      </c>
      <c r="J745" t="s">
        <v>3255</v>
      </c>
      <c r="K745" t="s">
        <v>3256</v>
      </c>
      <c r="L745">
        <v>3115093653</v>
      </c>
    </row>
    <row r="746" spans="1:12" x14ac:dyDescent="0.25">
      <c r="A746">
        <v>746</v>
      </c>
      <c r="B746" t="s">
        <v>1809</v>
      </c>
      <c r="C746" t="s">
        <v>958</v>
      </c>
      <c r="D746" t="s">
        <v>195</v>
      </c>
      <c r="E746" t="s">
        <v>154</v>
      </c>
      <c r="F746" t="s">
        <v>762</v>
      </c>
      <c r="G746" s="22">
        <v>28061</v>
      </c>
      <c r="H746" s="21">
        <v>44.706849315068496</v>
      </c>
      <c r="I746" t="s">
        <v>1188</v>
      </c>
      <c r="J746" t="s">
        <v>4225</v>
      </c>
      <c r="K746" t="s">
        <v>4226</v>
      </c>
      <c r="L746">
        <v>3115093653</v>
      </c>
    </row>
    <row r="747" spans="1:12" x14ac:dyDescent="0.25">
      <c r="A747">
        <v>747</v>
      </c>
      <c r="B747" t="s">
        <v>2352</v>
      </c>
      <c r="C747" t="s">
        <v>1108</v>
      </c>
      <c r="D747" t="s">
        <v>1124</v>
      </c>
      <c r="E747" t="s">
        <v>771</v>
      </c>
      <c r="F747" t="s">
        <v>776</v>
      </c>
      <c r="G747" s="22">
        <v>24099</v>
      </c>
      <c r="H747" s="21">
        <v>55.561643835616437</v>
      </c>
      <c r="I747" t="s">
        <v>589</v>
      </c>
      <c r="J747" t="s">
        <v>3257</v>
      </c>
      <c r="K747" t="s">
        <v>3258</v>
      </c>
      <c r="L747">
        <v>3115093598</v>
      </c>
    </row>
    <row r="748" spans="1:12" x14ac:dyDescent="0.25">
      <c r="A748">
        <v>748</v>
      </c>
      <c r="B748" t="s">
        <v>1810</v>
      </c>
      <c r="C748" t="s">
        <v>50</v>
      </c>
      <c r="D748" t="s">
        <v>218</v>
      </c>
      <c r="E748" t="s">
        <v>135</v>
      </c>
      <c r="F748" t="s">
        <v>220</v>
      </c>
      <c r="G748" s="22">
        <v>30540</v>
      </c>
      <c r="H748" s="21">
        <v>37.915068493150685</v>
      </c>
      <c r="I748" t="s">
        <v>1200</v>
      </c>
      <c r="J748" t="s">
        <v>4227</v>
      </c>
      <c r="K748" t="s">
        <v>4228</v>
      </c>
      <c r="L748">
        <v>3115093598</v>
      </c>
    </row>
    <row r="749" spans="1:12" x14ac:dyDescent="0.25">
      <c r="A749">
        <v>749</v>
      </c>
      <c r="B749" t="s">
        <v>2353</v>
      </c>
      <c r="C749" t="s">
        <v>1099</v>
      </c>
      <c r="D749" t="s">
        <v>1123</v>
      </c>
      <c r="E749" t="s">
        <v>42</v>
      </c>
      <c r="F749" t="s">
        <v>243</v>
      </c>
      <c r="G749" s="22">
        <v>35614</v>
      </c>
      <c r="H749" s="21">
        <v>24.013698630136986</v>
      </c>
      <c r="I749" t="s">
        <v>1413</v>
      </c>
      <c r="J749" t="s">
        <v>3259</v>
      </c>
      <c r="K749" t="s">
        <v>3260</v>
      </c>
      <c r="L749">
        <v>3115093583</v>
      </c>
    </row>
    <row r="750" spans="1:12" x14ac:dyDescent="0.25">
      <c r="A750">
        <v>750</v>
      </c>
      <c r="B750" t="s">
        <v>1811</v>
      </c>
      <c r="C750" t="s">
        <v>1027</v>
      </c>
      <c r="D750" t="s">
        <v>146</v>
      </c>
      <c r="E750" t="s">
        <v>150</v>
      </c>
      <c r="F750" t="s">
        <v>475</v>
      </c>
      <c r="G750" s="22">
        <v>31947</v>
      </c>
      <c r="H750" s="21">
        <v>34.060273972602737</v>
      </c>
      <c r="I750" t="s">
        <v>1206</v>
      </c>
      <c r="J750" t="s">
        <v>4229</v>
      </c>
      <c r="K750" t="s">
        <v>4230</v>
      </c>
      <c r="L750">
        <v>3115093583</v>
      </c>
    </row>
    <row r="751" spans="1:12" x14ac:dyDescent="0.25">
      <c r="A751">
        <v>751</v>
      </c>
      <c r="B751" t="s">
        <v>2354</v>
      </c>
      <c r="C751" t="s">
        <v>658</v>
      </c>
      <c r="D751" t="s">
        <v>483</v>
      </c>
      <c r="E751" t="s">
        <v>824</v>
      </c>
      <c r="F751" t="s">
        <v>699</v>
      </c>
      <c r="G751" s="22">
        <v>21816</v>
      </c>
      <c r="H751" s="21">
        <v>61.816438356164383</v>
      </c>
      <c r="I751" t="s">
        <v>610</v>
      </c>
      <c r="J751" t="s">
        <v>3261</v>
      </c>
      <c r="K751" t="s">
        <v>3262</v>
      </c>
      <c r="L751">
        <v>3115092386</v>
      </c>
    </row>
    <row r="752" spans="1:12" x14ac:dyDescent="0.25">
      <c r="A752">
        <v>752</v>
      </c>
      <c r="B752" t="s">
        <v>1812</v>
      </c>
      <c r="C752" t="s">
        <v>200</v>
      </c>
      <c r="D752" t="s">
        <v>102</v>
      </c>
      <c r="E752" t="s">
        <v>152</v>
      </c>
      <c r="F752" t="s">
        <v>238</v>
      </c>
      <c r="G752" s="22">
        <v>28772</v>
      </c>
      <c r="H752" s="21">
        <v>42.758904109589039</v>
      </c>
      <c r="I752" t="s">
        <v>609</v>
      </c>
      <c r="J752" t="s">
        <v>4231</v>
      </c>
      <c r="K752" t="s">
        <v>4232</v>
      </c>
      <c r="L752">
        <v>3115092386</v>
      </c>
    </row>
    <row r="753" spans="1:12" x14ac:dyDescent="0.25">
      <c r="A753">
        <v>753</v>
      </c>
      <c r="B753" t="s">
        <v>2355</v>
      </c>
      <c r="C753" t="s">
        <v>399</v>
      </c>
      <c r="D753" t="s">
        <v>341</v>
      </c>
      <c r="E753" t="s">
        <v>791</v>
      </c>
      <c r="F753" t="s">
        <v>848</v>
      </c>
      <c r="G753" s="22">
        <v>28243</v>
      </c>
      <c r="H753" s="21">
        <v>44.208219178082189</v>
      </c>
      <c r="I753" t="s">
        <v>530</v>
      </c>
      <c r="J753" t="s">
        <v>3263</v>
      </c>
      <c r="K753" t="s">
        <v>3264</v>
      </c>
      <c r="L753">
        <v>3115092375</v>
      </c>
    </row>
    <row r="754" spans="1:12" x14ac:dyDescent="0.25">
      <c r="A754">
        <v>754</v>
      </c>
      <c r="B754" t="s">
        <v>1813</v>
      </c>
      <c r="C754" t="s">
        <v>928</v>
      </c>
      <c r="D754" t="s">
        <v>947</v>
      </c>
      <c r="E754" t="s">
        <v>496</v>
      </c>
      <c r="F754" t="s">
        <v>715</v>
      </c>
      <c r="G754" s="22">
        <v>30783</v>
      </c>
      <c r="H754" s="21">
        <v>37.249315068493154</v>
      </c>
      <c r="I754" t="s">
        <v>1238</v>
      </c>
      <c r="J754" t="s">
        <v>4233</v>
      </c>
      <c r="K754" t="s">
        <v>4234</v>
      </c>
      <c r="L754">
        <v>3115092375</v>
      </c>
    </row>
    <row r="755" spans="1:12" x14ac:dyDescent="0.25">
      <c r="A755">
        <v>755</v>
      </c>
      <c r="B755" t="s">
        <v>2356</v>
      </c>
      <c r="C755" t="s">
        <v>345</v>
      </c>
      <c r="D755" t="s">
        <v>483</v>
      </c>
      <c r="E755" t="s">
        <v>522</v>
      </c>
      <c r="F755" t="s">
        <v>709</v>
      </c>
      <c r="G755" s="22">
        <v>21654</v>
      </c>
      <c r="H755" s="21">
        <v>62.260273972602739</v>
      </c>
      <c r="I755" t="s">
        <v>555</v>
      </c>
      <c r="J755" t="s">
        <v>3265</v>
      </c>
      <c r="K755" t="s">
        <v>3266</v>
      </c>
      <c r="L755">
        <v>3115092369</v>
      </c>
    </row>
    <row r="756" spans="1:12" x14ac:dyDescent="0.25">
      <c r="A756">
        <v>756</v>
      </c>
      <c r="B756" t="s">
        <v>1814</v>
      </c>
      <c r="C756" t="s">
        <v>1028</v>
      </c>
      <c r="D756" t="s">
        <v>1029</v>
      </c>
      <c r="E756" t="s">
        <v>57</v>
      </c>
      <c r="F756" t="s">
        <v>683</v>
      </c>
      <c r="G756" s="22">
        <v>33091</v>
      </c>
      <c r="H756" s="21">
        <v>30.926027397260274</v>
      </c>
      <c r="I756" t="s">
        <v>1186</v>
      </c>
      <c r="J756" t="s">
        <v>4235</v>
      </c>
      <c r="K756" t="s">
        <v>4236</v>
      </c>
      <c r="L756">
        <v>3115092369</v>
      </c>
    </row>
    <row r="757" spans="1:12" x14ac:dyDescent="0.25">
      <c r="A757">
        <v>757</v>
      </c>
      <c r="B757" t="s">
        <v>2357</v>
      </c>
      <c r="C757" t="s">
        <v>883</v>
      </c>
      <c r="D757" t="s">
        <v>490</v>
      </c>
      <c r="E757" t="s">
        <v>474</v>
      </c>
      <c r="F757" t="s">
        <v>724</v>
      </c>
      <c r="G757" s="22">
        <v>33219</v>
      </c>
      <c r="H757" s="21">
        <v>30.575342465753426</v>
      </c>
      <c r="I757" t="s">
        <v>529</v>
      </c>
      <c r="J757" t="s">
        <v>3267</v>
      </c>
      <c r="K757" t="s">
        <v>3268</v>
      </c>
      <c r="L757">
        <v>3115092360</v>
      </c>
    </row>
    <row r="758" spans="1:12" x14ac:dyDescent="0.25">
      <c r="A758">
        <v>758</v>
      </c>
      <c r="B758" t="s">
        <v>1815</v>
      </c>
      <c r="C758" t="s">
        <v>299</v>
      </c>
      <c r="D758" t="s">
        <v>50</v>
      </c>
      <c r="E758" t="s">
        <v>63</v>
      </c>
      <c r="F758" t="s">
        <v>784</v>
      </c>
      <c r="G758" s="22">
        <v>27938</v>
      </c>
      <c r="H758" s="21">
        <v>45.043835616438358</v>
      </c>
      <c r="I758" t="s">
        <v>1190</v>
      </c>
      <c r="J758" t="s">
        <v>4237</v>
      </c>
      <c r="K758" t="s">
        <v>4238</v>
      </c>
      <c r="L758">
        <v>3115092360</v>
      </c>
    </row>
    <row r="759" spans="1:12" x14ac:dyDescent="0.25">
      <c r="A759">
        <v>759</v>
      </c>
      <c r="B759" t="s">
        <v>2358</v>
      </c>
      <c r="C759" t="s">
        <v>332</v>
      </c>
      <c r="D759" t="s">
        <v>339</v>
      </c>
      <c r="E759" t="s">
        <v>99</v>
      </c>
      <c r="F759" t="s">
        <v>477</v>
      </c>
      <c r="G759" s="22">
        <v>26761</v>
      </c>
      <c r="H759" s="21">
        <v>48.268493150684932</v>
      </c>
      <c r="I759" t="s">
        <v>1292</v>
      </c>
      <c r="J759" t="s">
        <v>3269</v>
      </c>
      <c r="K759" t="s">
        <v>3270</v>
      </c>
      <c r="L759">
        <v>3115092352</v>
      </c>
    </row>
    <row r="760" spans="1:12" x14ac:dyDescent="0.25">
      <c r="A760">
        <v>760</v>
      </c>
      <c r="B760" t="s">
        <v>1816</v>
      </c>
      <c r="C760" t="s">
        <v>635</v>
      </c>
      <c r="D760" t="s">
        <v>897</v>
      </c>
      <c r="E760" t="s">
        <v>53</v>
      </c>
      <c r="F760" t="s">
        <v>845</v>
      </c>
      <c r="G760" s="22">
        <v>27473</v>
      </c>
      <c r="H760" s="21">
        <v>46.317808219178083</v>
      </c>
      <c r="I760" t="s">
        <v>1201</v>
      </c>
      <c r="J760" t="s">
        <v>4239</v>
      </c>
      <c r="K760" t="s">
        <v>4240</v>
      </c>
      <c r="L760">
        <v>3115092352</v>
      </c>
    </row>
    <row r="761" spans="1:12" x14ac:dyDescent="0.25">
      <c r="A761">
        <v>761</v>
      </c>
      <c r="B761" t="s">
        <v>2359</v>
      </c>
      <c r="C761" t="s">
        <v>1152</v>
      </c>
      <c r="D761" t="s">
        <v>1137</v>
      </c>
      <c r="E761" t="s">
        <v>671</v>
      </c>
      <c r="F761" t="s">
        <v>698</v>
      </c>
      <c r="G761" s="22">
        <v>27678</v>
      </c>
      <c r="H761" s="21">
        <v>45.756164383561647</v>
      </c>
      <c r="I761" t="s">
        <v>1414</v>
      </c>
      <c r="J761" t="s">
        <v>3271</v>
      </c>
      <c r="K761" t="s">
        <v>3272</v>
      </c>
      <c r="L761">
        <v>3115114930</v>
      </c>
    </row>
    <row r="762" spans="1:12" x14ac:dyDescent="0.25">
      <c r="A762">
        <v>762</v>
      </c>
      <c r="B762" t="s">
        <v>1817</v>
      </c>
      <c r="C762" t="s">
        <v>324</v>
      </c>
      <c r="D762" t="s">
        <v>1030</v>
      </c>
      <c r="E762" t="s">
        <v>42</v>
      </c>
      <c r="F762" t="s">
        <v>780</v>
      </c>
      <c r="G762" s="22">
        <v>29057</v>
      </c>
      <c r="H762" s="21">
        <v>41.978082191780821</v>
      </c>
      <c r="I762" t="s">
        <v>1267</v>
      </c>
      <c r="J762" t="s">
        <v>4241</v>
      </c>
      <c r="K762" t="s">
        <v>4242</v>
      </c>
      <c r="L762">
        <v>3115114930</v>
      </c>
    </row>
    <row r="763" spans="1:12" x14ac:dyDescent="0.25">
      <c r="A763">
        <v>763</v>
      </c>
      <c r="B763" t="s">
        <v>2360</v>
      </c>
      <c r="C763" t="s">
        <v>660</v>
      </c>
      <c r="D763" t="s">
        <v>511</v>
      </c>
      <c r="E763" t="s">
        <v>850</v>
      </c>
      <c r="F763" t="s">
        <v>239</v>
      </c>
      <c r="G763" s="22">
        <v>31936</v>
      </c>
      <c r="H763" s="21">
        <v>34.090410958904108</v>
      </c>
      <c r="I763" t="s">
        <v>1261</v>
      </c>
      <c r="J763" t="s">
        <v>3273</v>
      </c>
      <c r="K763" t="s">
        <v>3274</v>
      </c>
      <c r="L763">
        <v>3115114916</v>
      </c>
    </row>
    <row r="764" spans="1:12" x14ac:dyDescent="0.25">
      <c r="A764">
        <v>764</v>
      </c>
      <c r="B764" t="s">
        <v>1818</v>
      </c>
      <c r="C764" t="s">
        <v>997</v>
      </c>
      <c r="D764" t="s">
        <v>306</v>
      </c>
      <c r="E764" t="s">
        <v>51</v>
      </c>
      <c r="F764" t="s">
        <v>838</v>
      </c>
      <c r="G764" s="22">
        <v>25190</v>
      </c>
      <c r="H764" s="21">
        <v>52.57260273972603</v>
      </c>
      <c r="I764" t="s">
        <v>549</v>
      </c>
      <c r="J764" t="s">
        <v>4243</v>
      </c>
      <c r="K764" t="s">
        <v>4244</v>
      </c>
      <c r="L764">
        <v>3115114916</v>
      </c>
    </row>
    <row r="765" spans="1:12" x14ac:dyDescent="0.25">
      <c r="A765">
        <v>765</v>
      </c>
      <c r="B765" t="s">
        <v>2361</v>
      </c>
      <c r="C765" t="s">
        <v>332</v>
      </c>
      <c r="D765" t="s">
        <v>658</v>
      </c>
      <c r="E765" t="s">
        <v>780</v>
      </c>
      <c r="F765" t="s">
        <v>456</v>
      </c>
      <c r="G765" s="22">
        <v>29677</v>
      </c>
      <c r="H765" s="21">
        <v>40.279452054794518</v>
      </c>
      <c r="I765" t="s">
        <v>580</v>
      </c>
      <c r="J765" t="s">
        <v>3275</v>
      </c>
      <c r="K765" t="s">
        <v>3276</v>
      </c>
      <c r="L765">
        <v>3115114911</v>
      </c>
    </row>
    <row r="766" spans="1:12" x14ac:dyDescent="0.25">
      <c r="A766">
        <v>766</v>
      </c>
      <c r="B766" t="s">
        <v>1819</v>
      </c>
      <c r="C766" t="s">
        <v>143</v>
      </c>
      <c r="D766" t="s">
        <v>1031</v>
      </c>
      <c r="E766" t="s">
        <v>89</v>
      </c>
      <c r="F766" t="s">
        <v>774</v>
      </c>
      <c r="G766" s="22">
        <v>30489</v>
      </c>
      <c r="H766" s="21">
        <v>38.054794520547944</v>
      </c>
      <c r="I766" t="s">
        <v>1257</v>
      </c>
      <c r="J766" t="s">
        <v>4245</v>
      </c>
      <c r="K766" t="s">
        <v>4246</v>
      </c>
      <c r="L766">
        <v>3115114911</v>
      </c>
    </row>
    <row r="767" spans="1:12" x14ac:dyDescent="0.25">
      <c r="A767">
        <v>767</v>
      </c>
      <c r="B767" t="s">
        <v>2362</v>
      </c>
      <c r="C767" t="s">
        <v>1153</v>
      </c>
      <c r="D767" t="s">
        <v>483</v>
      </c>
      <c r="E767" t="s">
        <v>753</v>
      </c>
      <c r="F767" t="s">
        <v>814</v>
      </c>
      <c r="G767" s="22">
        <v>22590</v>
      </c>
      <c r="H767" s="21">
        <v>59.695890410958903</v>
      </c>
      <c r="I767" t="s">
        <v>584</v>
      </c>
      <c r="J767" t="s">
        <v>3277</v>
      </c>
      <c r="K767" t="s">
        <v>3278</v>
      </c>
      <c r="L767">
        <v>3115114910</v>
      </c>
    </row>
    <row r="768" spans="1:12" x14ac:dyDescent="0.25">
      <c r="A768">
        <v>768</v>
      </c>
      <c r="B768" t="s">
        <v>1820</v>
      </c>
      <c r="C768" t="s">
        <v>91</v>
      </c>
      <c r="D768" t="s">
        <v>13</v>
      </c>
      <c r="E768" t="s">
        <v>141</v>
      </c>
      <c r="F768" t="s">
        <v>846</v>
      </c>
      <c r="G768" s="22">
        <v>31365</v>
      </c>
      <c r="H768" s="21">
        <v>35.654794520547945</v>
      </c>
      <c r="I768" t="s">
        <v>544</v>
      </c>
      <c r="J768" t="s">
        <v>4247</v>
      </c>
      <c r="K768" t="s">
        <v>4248</v>
      </c>
      <c r="L768">
        <v>3115114910</v>
      </c>
    </row>
    <row r="769" spans="1:12" x14ac:dyDescent="0.25">
      <c r="A769">
        <v>769</v>
      </c>
      <c r="B769" t="s">
        <v>2363</v>
      </c>
      <c r="C769" t="s">
        <v>421</v>
      </c>
      <c r="D769" t="s">
        <v>1154</v>
      </c>
      <c r="E769" t="s">
        <v>835</v>
      </c>
      <c r="F769" t="s">
        <v>762</v>
      </c>
      <c r="G769" s="22">
        <v>24263</v>
      </c>
      <c r="H769" s="21">
        <v>55.112328767123287</v>
      </c>
      <c r="I769" t="s">
        <v>540</v>
      </c>
      <c r="J769" t="s">
        <v>3279</v>
      </c>
      <c r="K769" t="s">
        <v>3280</v>
      </c>
      <c r="L769">
        <v>3115114909</v>
      </c>
    </row>
    <row r="770" spans="1:12" x14ac:dyDescent="0.25">
      <c r="A770">
        <v>770</v>
      </c>
      <c r="B770" t="s">
        <v>1821</v>
      </c>
      <c r="C770" t="s">
        <v>1032</v>
      </c>
      <c r="D770" t="s">
        <v>1033</v>
      </c>
      <c r="E770" t="s">
        <v>54</v>
      </c>
      <c r="F770" t="s">
        <v>821</v>
      </c>
      <c r="G770" s="22">
        <v>36555</v>
      </c>
      <c r="H770" s="21">
        <v>21.435616438356163</v>
      </c>
      <c r="I770" t="s">
        <v>1183</v>
      </c>
      <c r="J770" t="s">
        <v>4249</v>
      </c>
      <c r="K770" t="s">
        <v>4250</v>
      </c>
      <c r="L770">
        <v>3115114909</v>
      </c>
    </row>
    <row r="771" spans="1:12" x14ac:dyDescent="0.25">
      <c r="A771">
        <v>771</v>
      </c>
      <c r="B771" t="s">
        <v>2364</v>
      </c>
      <c r="C771" t="s">
        <v>342</v>
      </c>
      <c r="D771" t="s">
        <v>1145</v>
      </c>
      <c r="E771" t="s">
        <v>706</v>
      </c>
      <c r="F771" t="s">
        <v>773</v>
      </c>
      <c r="G771" s="22">
        <v>28086</v>
      </c>
      <c r="H771" s="21">
        <v>44.638356164383559</v>
      </c>
      <c r="I771" t="s">
        <v>587</v>
      </c>
      <c r="J771" t="s">
        <v>3281</v>
      </c>
      <c r="K771" t="s">
        <v>3282</v>
      </c>
      <c r="L771">
        <v>3115060130</v>
      </c>
    </row>
    <row r="772" spans="1:12" x14ac:dyDescent="0.25">
      <c r="A772">
        <v>772</v>
      </c>
      <c r="B772" t="s">
        <v>1822</v>
      </c>
      <c r="C772" t="s">
        <v>1034</v>
      </c>
      <c r="D772" t="s">
        <v>1035</v>
      </c>
      <c r="E772" t="s">
        <v>393</v>
      </c>
      <c r="F772" t="s">
        <v>746</v>
      </c>
      <c r="G772" s="22">
        <v>30752</v>
      </c>
      <c r="H772" s="21">
        <v>37.334246575342469</v>
      </c>
      <c r="I772" t="s">
        <v>1201</v>
      </c>
      <c r="J772" t="s">
        <v>4251</v>
      </c>
      <c r="K772" t="s">
        <v>4252</v>
      </c>
      <c r="L772">
        <v>3115060130</v>
      </c>
    </row>
    <row r="773" spans="1:12" x14ac:dyDescent="0.25">
      <c r="A773">
        <v>773</v>
      </c>
      <c r="B773" t="s">
        <v>2365</v>
      </c>
      <c r="C773" t="s">
        <v>341</v>
      </c>
      <c r="D773" t="s">
        <v>330</v>
      </c>
      <c r="E773" t="s">
        <v>801</v>
      </c>
      <c r="F773" t="s">
        <v>751</v>
      </c>
      <c r="G773" s="22">
        <v>20722</v>
      </c>
      <c r="H773" s="21">
        <v>64.813698630136983</v>
      </c>
      <c r="I773" t="s">
        <v>1400</v>
      </c>
      <c r="J773" t="s">
        <v>3283</v>
      </c>
      <c r="K773" t="s">
        <v>3284</v>
      </c>
      <c r="L773">
        <v>3115060125</v>
      </c>
    </row>
    <row r="774" spans="1:12" x14ac:dyDescent="0.25">
      <c r="A774">
        <v>774</v>
      </c>
      <c r="B774" t="s">
        <v>1823</v>
      </c>
      <c r="C774" t="s">
        <v>1036</v>
      </c>
      <c r="D774" t="s">
        <v>1037</v>
      </c>
      <c r="E774" t="s">
        <v>289</v>
      </c>
      <c r="F774" t="s">
        <v>729</v>
      </c>
      <c r="G774" s="22">
        <v>31879</v>
      </c>
      <c r="H774" s="21">
        <v>34.246575342465754</v>
      </c>
      <c r="I774" t="s">
        <v>1187</v>
      </c>
      <c r="J774" t="s">
        <v>4253</v>
      </c>
      <c r="K774" t="s">
        <v>4254</v>
      </c>
      <c r="L774">
        <v>3115060125</v>
      </c>
    </row>
    <row r="775" spans="1:12" x14ac:dyDescent="0.25">
      <c r="A775">
        <v>775</v>
      </c>
      <c r="B775" t="s">
        <v>2366</v>
      </c>
      <c r="C775" t="s">
        <v>507</v>
      </c>
      <c r="D775" t="s">
        <v>402</v>
      </c>
      <c r="E775" t="s">
        <v>806</v>
      </c>
      <c r="F775" t="s">
        <v>756</v>
      </c>
      <c r="G775" s="22">
        <v>35373</v>
      </c>
      <c r="H775" s="21">
        <v>24.673972602739727</v>
      </c>
      <c r="I775" t="s">
        <v>550</v>
      </c>
      <c r="J775" t="s">
        <v>3285</v>
      </c>
      <c r="K775" t="s">
        <v>3286</v>
      </c>
      <c r="L775">
        <v>3115060110</v>
      </c>
    </row>
    <row r="776" spans="1:12" x14ac:dyDescent="0.25">
      <c r="A776">
        <v>776</v>
      </c>
      <c r="B776" t="s">
        <v>1824</v>
      </c>
      <c r="C776" t="s">
        <v>920</v>
      </c>
      <c r="D776" t="s">
        <v>1007</v>
      </c>
      <c r="E776" t="s">
        <v>175</v>
      </c>
      <c r="F776" t="s">
        <v>687</v>
      </c>
      <c r="G776" s="22">
        <v>35118</v>
      </c>
      <c r="H776" s="21">
        <v>25.372602739726027</v>
      </c>
      <c r="I776" t="s">
        <v>1200</v>
      </c>
      <c r="J776" t="s">
        <v>4255</v>
      </c>
      <c r="K776" t="s">
        <v>4256</v>
      </c>
      <c r="L776">
        <v>3115060110</v>
      </c>
    </row>
    <row r="777" spans="1:12" x14ac:dyDescent="0.25">
      <c r="A777">
        <v>777</v>
      </c>
      <c r="B777" t="s">
        <v>2367</v>
      </c>
      <c r="C777" t="s">
        <v>401</v>
      </c>
      <c r="D777" t="s">
        <v>429</v>
      </c>
      <c r="E777" t="s">
        <v>737</v>
      </c>
      <c r="F777" t="s">
        <v>220</v>
      </c>
      <c r="G777" s="22">
        <v>33816</v>
      </c>
      <c r="H777" s="21">
        <v>28.93972602739726</v>
      </c>
      <c r="I777" t="s">
        <v>1346</v>
      </c>
      <c r="J777" t="s">
        <v>3287</v>
      </c>
      <c r="K777" t="s">
        <v>3288</v>
      </c>
      <c r="L777">
        <v>3115060091</v>
      </c>
    </row>
    <row r="778" spans="1:12" x14ac:dyDescent="0.25">
      <c r="A778">
        <v>778</v>
      </c>
      <c r="B778" t="s">
        <v>1825</v>
      </c>
      <c r="C778" t="s">
        <v>1038</v>
      </c>
      <c r="D778" t="s">
        <v>948</v>
      </c>
      <c r="E778" t="s">
        <v>66</v>
      </c>
      <c r="F778" t="s">
        <v>765</v>
      </c>
      <c r="G778" s="22">
        <v>36649</v>
      </c>
      <c r="H778" s="21">
        <v>21.17808219178082</v>
      </c>
      <c r="I778" t="s">
        <v>1211</v>
      </c>
      <c r="J778" t="s">
        <v>4257</v>
      </c>
      <c r="K778" t="s">
        <v>4258</v>
      </c>
      <c r="L778">
        <v>3115060091</v>
      </c>
    </row>
    <row r="779" spans="1:12" x14ac:dyDescent="0.25">
      <c r="A779">
        <v>779</v>
      </c>
      <c r="B779" t="s">
        <v>2368</v>
      </c>
      <c r="C779" t="s">
        <v>359</v>
      </c>
      <c r="D779" t="s">
        <v>665</v>
      </c>
      <c r="E779" t="s">
        <v>837</v>
      </c>
      <c r="F779" t="s">
        <v>715</v>
      </c>
      <c r="G779" s="22">
        <v>36867</v>
      </c>
      <c r="H779" s="21">
        <v>20.580821917808219</v>
      </c>
      <c r="I779" t="s">
        <v>1402</v>
      </c>
      <c r="J779" t="s">
        <v>3289</v>
      </c>
      <c r="K779" t="s">
        <v>3290</v>
      </c>
      <c r="L779">
        <v>3115060080</v>
      </c>
    </row>
    <row r="780" spans="1:12" x14ac:dyDescent="0.25">
      <c r="A780">
        <v>780</v>
      </c>
      <c r="B780" t="s">
        <v>1826</v>
      </c>
      <c r="C780" t="s">
        <v>1039</v>
      </c>
      <c r="D780" t="s">
        <v>31</v>
      </c>
      <c r="E780" t="s">
        <v>315</v>
      </c>
      <c r="F780" t="s">
        <v>812</v>
      </c>
      <c r="G780" s="22">
        <v>36834</v>
      </c>
      <c r="H780" s="21">
        <v>20.671232876712327</v>
      </c>
      <c r="I780" t="s">
        <v>1180</v>
      </c>
      <c r="J780" t="s">
        <v>4259</v>
      </c>
      <c r="K780" t="s">
        <v>4260</v>
      </c>
      <c r="L780">
        <v>3115060080</v>
      </c>
    </row>
    <row r="781" spans="1:12" x14ac:dyDescent="0.25">
      <c r="A781">
        <v>781</v>
      </c>
      <c r="B781" t="s">
        <v>2369</v>
      </c>
      <c r="C781" t="s">
        <v>431</v>
      </c>
      <c r="D781" t="s">
        <v>498</v>
      </c>
      <c r="E781" t="s">
        <v>822</v>
      </c>
      <c r="F781" t="s">
        <v>820</v>
      </c>
      <c r="G781" s="22">
        <v>32834</v>
      </c>
      <c r="H781" s="21">
        <v>31.63013698630137</v>
      </c>
      <c r="I781" t="s">
        <v>614</v>
      </c>
      <c r="J781" t="s">
        <v>3291</v>
      </c>
      <c r="K781" t="s">
        <v>3292</v>
      </c>
      <c r="L781">
        <v>3115114385</v>
      </c>
    </row>
    <row r="782" spans="1:12" x14ac:dyDescent="0.25">
      <c r="A782">
        <v>782</v>
      </c>
      <c r="B782" t="s">
        <v>1827</v>
      </c>
      <c r="C782" t="s">
        <v>30</v>
      </c>
      <c r="D782" t="s">
        <v>933</v>
      </c>
      <c r="E782" t="s">
        <v>88</v>
      </c>
      <c r="F782" t="s">
        <v>828</v>
      </c>
      <c r="G782" s="22">
        <v>30404</v>
      </c>
      <c r="H782" s="21">
        <v>38.287671232876711</v>
      </c>
      <c r="I782" t="s">
        <v>1256</v>
      </c>
      <c r="J782" t="s">
        <v>4261</v>
      </c>
      <c r="K782" t="s">
        <v>4262</v>
      </c>
      <c r="L782">
        <v>3115114385</v>
      </c>
    </row>
    <row r="783" spans="1:12" x14ac:dyDescent="0.25">
      <c r="A783">
        <v>783</v>
      </c>
      <c r="B783" t="s">
        <v>2370</v>
      </c>
      <c r="C783" t="s">
        <v>349</v>
      </c>
      <c r="D783" t="s">
        <v>330</v>
      </c>
      <c r="E783" t="s">
        <v>838</v>
      </c>
      <c r="F783" t="s">
        <v>827</v>
      </c>
      <c r="G783" s="22">
        <v>25167</v>
      </c>
      <c r="H783" s="21">
        <v>52.635616438356166</v>
      </c>
      <c r="I783" t="s">
        <v>604</v>
      </c>
      <c r="J783" t="s">
        <v>3293</v>
      </c>
      <c r="K783" t="s">
        <v>3294</v>
      </c>
      <c r="L783">
        <v>3115114360</v>
      </c>
    </row>
    <row r="784" spans="1:12" x14ac:dyDescent="0.25">
      <c r="A784">
        <v>784</v>
      </c>
      <c r="B784" t="s">
        <v>1828</v>
      </c>
      <c r="C784" t="s">
        <v>324</v>
      </c>
      <c r="D784" t="s">
        <v>991</v>
      </c>
      <c r="E784" t="s">
        <v>77</v>
      </c>
      <c r="F784" t="s">
        <v>744</v>
      </c>
      <c r="G784" s="22">
        <v>27311</v>
      </c>
      <c r="H784" s="21">
        <v>46.761643835616439</v>
      </c>
      <c r="I784" t="s">
        <v>559</v>
      </c>
      <c r="J784" t="s">
        <v>4263</v>
      </c>
      <c r="K784" t="s">
        <v>4264</v>
      </c>
      <c r="L784">
        <v>3115114360</v>
      </c>
    </row>
    <row r="785" spans="1:12" x14ac:dyDescent="0.25">
      <c r="A785">
        <v>785</v>
      </c>
      <c r="B785" t="s">
        <v>2371</v>
      </c>
      <c r="C785" t="s">
        <v>341</v>
      </c>
      <c r="D785" t="s">
        <v>669</v>
      </c>
      <c r="E785" t="s">
        <v>819</v>
      </c>
      <c r="F785" t="s">
        <v>716</v>
      </c>
      <c r="G785" s="22">
        <v>33215</v>
      </c>
      <c r="H785" s="21">
        <v>30.586301369863012</v>
      </c>
      <c r="I785" t="s">
        <v>533</v>
      </c>
      <c r="J785" t="s">
        <v>3295</v>
      </c>
      <c r="K785" t="s">
        <v>3296</v>
      </c>
      <c r="L785">
        <v>3115093653</v>
      </c>
    </row>
    <row r="786" spans="1:12" x14ac:dyDescent="0.25">
      <c r="A786">
        <v>786</v>
      </c>
      <c r="B786" t="s">
        <v>1829</v>
      </c>
      <c r="C786" t="s">
        <v>12</v>
      </c>
      <c r="D786" t="s">
        <v>14</v>
      </c>
      <c r="E786" t="s">
        <v>170</v>
      </c>
      <c r="F786" t="s">
        <v>759</v>
      </c>
      <c r="G786" s="22">
        <v>30000</v>
      </c>
      <c r="H786" s="21">
        <v>39.394520547945206</v>
      </c>
      <c r="I786" t="s">
        <v>1235</v>
      </c>
      <c r="J786" t="s">
        <v>4265</v>
      </c>
      <c r="K786" t="s">
        <v>4266</v>
      </c>
      <c r="L786">
        <v>3115093653</v>
      </c>
    </row>
    <row r="787" spans="1:12" x14ac:dyDescent="0.25">
      <c r="A787">
        <v>787</v>
      </c>
      <c r="B787" t="s">
        <v>2372</v>
      </c>
      <c r="C787" t="s">
        <v>391</v>
      </c>
      <c r="D787" t="s">
        <v>1155</v>
      </c>
      <c r="E787" t="s">
        <v>692</v>
      </c>
      <c r="F787" t="s">
        <v>764</v>
      </c>
      <c r="G787" s="22">
        <v>37394</v>
      </c>
      <c r="H787" s="21">
        <v>19.136986301369863</v>
      </c>
      <c r="I787" t="s">
        <v>1360</v>
      </c>
      <c r="J787" t="s">
        <v>3297</v>
      </c>
      <c r="K787" t="s">
        <v>3298</v>
      </c>
      <c r="L787">
        <v>3115093598</v>
      </c>
    </row>
    <row r="788" spans="1:12" x14ac:dyDescent="0.25">
      <c r="A788">
        <v>788</v>
      </c>
      <c r="B788" t="s">
        <v>1830</v>
      </c>
      <c r="C788" t="s">
        <v>7</v>
      </c>
      <c r="D788" t="s">
        <v>13</v>
      </c>
      <c r="E788" t="s">
        <v>81</v>
      </c>
      <c r="F788" t="s">
        <v>235</v>
      </c>
      <c r="G788" s="22">
        <v>31072</v>
      </c>
      <c r="H788" s="21">
        <v>36.457534246575342</v>
      </c>
      <c r="I788" t="s">
        <v>1196</v>
      </c>
      <c r="J788" t="s">
        <v>4267</v>
      </c>
      <c r="K788" t="s">
        <v>4268</v>
      </c>
      <c r="L788">
        <v>3115093598</v>
      </c>
    </row>
    <row r="789" spans="1:12" x14ac:dyDescent="0.25">
      <c r="A789">
        <v>789</v>
      </c>
      <c r="B789" t="s">
        <v>2373</v>
      </c>
      <c r="C789" t="s">
        <v>667</v>
      </c>
      <c r="D789" t="s">
        <v>349</v>
      </c>
      <c r="E789" t="s">
        <v>831</v>
      </c>
      <c r="F789" t="s">
        <v>790</v>
      </c>
      <c r="G789" s="22">
        <v>36449</v>
      </c>
      <c r="H789" s="21">
        <v>21.726027397260275</v>
      </c>
      <c r="I789" t="s">
        <v>1413</v>
      </c>
      <c r="J789" t="s">
        <v>3299</v>
      </c>
      <c r="K789" t="s">
        <v>3300</v>
      </c>
      <c r="L789">
        <v>3115093583</v>
      </c>
    </row>
    <row r="790" spans="1:12" x14ac:dyDescent="0.25">
      <c r="A790">
        <v>790</v>
      </c>
      <c r="B790" t="s">
        <v>1831</v>
      </c>
      <c r="C790" t="s">
        <v>8</v>
      </c>
      <c r="D790" t="s">
        <v>304</v>
      </c>
      <c r="E790" t="s">
        <v>113</v>
      </c>
      <c r="F790" t="s">
        <v>714</v>
      </c>
      <c r="G790" s="22">
        <v>28326</v>
      </c>
      <c r="H790" s="21">
        <v>43.980821917808221</v>
      </c>
      <c r="I790" t="s">
        <v>1218</v>
      </c>
      <c r="J790" t="s">
        <v>4269</v>
      </c>
      <c r="K790" t="s">
        <v>4270</v>
      </c>
      <c r="L790">
        <v>3115093583</v>
      </c>
    </row>
    <row r="791" spans="1:12" x14ac:dyDescent="0.25">
      <c r="A791">
        <v>791</v>
      </c>
      <c r="B791" t="s">
        <v>2374</v>
      </c>
      <c r="C791" t="s">
        <v>394</v>
      </c>
      <c r="D791" t="s">
        <v>339</v>
      </c>
      <c r="E791" t="s">
        <v>812</v>
      </c>
      <c r="F791" t="s">
        <v>685</v>
      </c>
      <c r="G791" s="22">
        <v>33192</v>
      </c>
      <c r="H791" s="21">
        <v>30.649315068493152</v>
      </c>
      <c r="I791" t="s">
        <v>1365</v>
      </c>
      <c r="J791" t="s">
        <v>3301</v>
      </c>
      <c r="K791" t="s">
        <v>3302</v>
      </c>
      <c r="L791">
        <v>3115092386</v>
      </c>
    </row>
    <row r="792" spans="1:12" x14ac:dyDescent="0.25">
      <c r="A792">
        <v>792</v>
      </c>
      <c r="B792" t="s">
        <v>1832</v>
      </c>
      <c r="C792" t="s">
        <v>629</v>
      </c>
      <c r="D792" t="s">
        <v>50</v>
      </c>
      <c r="E792" t="s">
        <v>55</v>
      </c>
      <c r="F792" t="s">
        <v>844</v>
      </c>
      <c r="G792" s="22">
        <v>29438</v>
      </c>
      <c r="H792" s="21">
        <v>40.934246575342463</v>
      </c>
      <c r="I792" t="s">
        <v>575</v>
      </c>
      <c r="J792" t="s">
        <v>4271</v>
      </c>
      <c r="K792" t="s">
        <v>4272</v>
      </c>
      <c r="L792">
        <v>3115092386</v>
      </c>
    </row>
    <row r="793" spans="1:12" x14ac:dyDescent="0.25">
      <c r="A793">
        <v>793</v>
      </c>
      <c r="B793" t="s">
        <v>2375</v>
      </c>
      <c r="C793" t="s">
        <v>431</v>
      </c>
      <c r="D793" t="s">
        <v>365</v>
      </c>
      <c r="E793" t="s">
        <v>836</v>
      </c>
      <c r="F793" t="s">
        <v>739</v>
      </c>
      <c r="G793" s="22">
        <v>28603</v>
      </c>
      <c r="H793" s="21">
        <v>43.221917808219175</v>
      </c>
      <c r="I793" t="s">
        <v>590</v>
      </c>
      <c r="J793" t="s">
        <v>3303</v>
      </c>
      <c r="K793" t="s">
        <v>3304</v>
      </c>
      <c r="L793">
        <v>3115092375</v>
      </c>
    </row>
    <row r="794" spans="1:12" x14ac:dyDescent="0.25">
      <c r="A794">
        <v>794</v>
      </c>
      <c r="B794" t="s">
        <v>1833</v>
      </c>
      <c r="C794" t="s">
        <v>967</v>
      </c>
      <c r="D794" t="s">
        <v>159</v>
      </c>
      <c r="E794" t="s">
        <v>316</v>
      </c>
      <c r="F794" t="s">
        <v>761</v>
      </c>
      <c r="G794" s="22">
        <v>35606</v>
      </c>
      <c r="H794" s="21">
        <v>24.035616438356165</v>
      </c>
      <c r="I794" t="s">
        <v>1265</v>
      </c>
      <c r="J794" t="s">
        <v>4273</v>
      </c>
      <c r="K794" t="s">
        <v>4274</v>
      </c>
      <c r="L794">
        <v>3115092375</v>
      </c>
    </row>
    <row r="795" spans="1:12" x14ac:dyDescent="0.25">
      <c r="A795">
        <v>795</v>
      </c>
      <c r="B795" t="s">
        <v>2376</v>
      </c>
      <c r="C795" t="s">
        <v>399</v>
      </c>
      <c r="D795" t="s">
        <v>432</v>
      </c>
      <c r="E795" t="s">
        <v>722</v>
      </c>
      <c r="F795" t="s">
        <v>752</v>
      </c>
      <c r="G795" s="22">
        <v>23126</v>
      </c>
      <c r="H795" s="21">
        <v>58.227397260273975</v>
      </c>
      <c r="I795" t="s">
        <v>1313</v>
      </c>
      <c r="J795" t="s">
        <v>3305</v>
      </c>
      <c r="K795" t="s">
        <v>3306</v>
      </c>
      <c r="L795">
        <v>3115092369</v>
      </c>
    </row>
    <row r="796" spans="1:12" x14ac:dyDescent="0.25">
      <c r="A796">
        <v>796</v>
      </c>
      <c r="B796" t="s">
        <v>1834</v>
      </c>
      <c r="C796" t="s">
        <v>9</v>
      </c>
      <c r="D796" t="s">
        <v>7</v>
      </c>
      <c r="E796" t="s">
        <v>177</v>
      </c>
      <c r="F796" t="s">
        <v>803</v>
      </c>
      <c r="G796" s="22">
        <v>36029</v>
      </c>
      <c r="H796" s="21">
        <v>22.876712328767123</v>
      </c>
      <c r="I796" t="s">
        <v>1205</v>
      </c>
      <c r="J796" t="s">
        <v>4275</v>
      </c>
      <c r="K796" t="s">
        <v>4276</v>
      </c>
      <c r="L796">
        <v>3115092369</v>
      </c>
    </row>
    <row r="797" spans="1:12" x14ac:dyDescent="0.25">
      <c r="A797">
        <v>797</v>
      </c>
      <c r="B797" t="s">
        <v>2377</v>
      </c>
      <c r="C797" t="s">
        <v>332</v>
      </c>
      <c r="D797" t="s">
        <v>339</v>
      </c>
      <c r="E797" t="s">
        <v>826</v>
      </c>
      <c r="F797" t="s">
        <v>706</v>
      </c>
      <c r="G797" s="22">
        <v>21667</v>
      </c>
      <c r="H797" s="21">
        <v>62.224657534246575</v>
      </c>
      <c r="I797" t="s">
        <v>589</v>
      </c>
      <c r="J797" t="s">
        <v>3307</v>
      </c>
      <c r="K797" t="s">
        <v>3308</v>
      </c>
      <c r="L797">
        <v>3115092360</v>
      </c>
    </row>
    <row r="798" spans="1:12" x14ac:dyDescent="0.25">
      <c r="A798">
        <v>798</v>
      </c>
      <c r="B798" t="s">
        <v>1835</v>
      </c>
      <c r="C798" t="s">
        <v>10</v>
      </c>
      <c r="D798" t="s">
        <v>82</v>
      </c>
      <c r="E798" t="s">
        <v>203</v>
      </c>
      <c r="F798" t="s">
        <v>672</v>
      </c>
      <c r="G798" s="22">
        <v>27813</v>
      </c>
      <c r="H798" s="21">
        <v>45.386301369863013</v>
      </c>
      <c r="I798" t="s">
        <v>1183</v>
      </c>
      <c r="J798" t="s">
        <v>4277</v>
      </c>
      <c r="K798" t="s">
        <v>4278</v>
      </c>
      <c r="L798">
        <v>3115092360</v>
      </c>
    </row>
    <row r="799" spans="1:12" x14ac:dyDescent="0.25">
      <c r="A799">
        <v>799</v>
      </c>
      <c r="B799" t="s">
        <v>2378</v>
      </c>
      <c r="C799" t="s">
        <v>877</v>
      </c>
      <c r="D799" t="s">
        <v>485</v>
      </c>
      <c r="E799" t="s">
        <v>762</v>
      </c>
      <c r="F799" t="s">
        <v>809</v>
      </c>
      <c r="G799" s="22">
        <v>31823</v>
      </c>
      <c r="H799" s="21">
        <v>34.4</v>
      </c>
      <c r="I799" t="s">
        <v>563</v>
      </c>
      <c r="J799" t="s">
        <v>3309</v>
      </c>
      <c r="K799" t="s">
        <v>3310</v>
      </c>
      <c r="L799">
        <v>3115092352</v>
      </c>
    </row>
    <row r="800" spans="1:12" x14ac:dyDescent="0.25">
      <c r="A800">
        <v>800</v>
      </c>
      <c r="B800" t="s">
        <v>1836</v>
      </c>
      <c r="C800" t="s">
        <v>620</v>
      </c>
      <c r="D800" t="s">
        <v>948</v>
      </c>
      <c r="E800" t="s">
        <v>39</v>
      </c>
      <c r="F800" t="s">
        <v>684</v>
      </c>
      <c r="G800" s="22">
        <v>26670</v>
      </c>
      <c r="H800" s="21">
        <v>48.517808219178079</v>
      </c>
      <c r="I800" t="s">
        <v>535</v>
      </c>
      <c r="J800" t="s">
        <v>4279</v>
      </c>
      <c r="K800" t="s">
        <v>4280</v>
      </c>
      <c r="L800">
        <v>3115092352</v>
      </c>
    </row>
    <row r="801" spans="1:12" x14ac:dyDescent="0.25">
      <c r="A801">
        <v>801</v>
      </c>
      <c r="B801" t="s">
        <v>2379</v>
      </c>
      <c r="C801" t="s">
        <v>359</v>
      </c>
      <c r="D801" t="s">
        <v>1123</v>
      </c>
      <c r="E801" t="s">
        <v>719</v>
      </c>
      <c r="F801" t="s">
        <v>238</v>
      </c>
      <c r="G801" s="22">
        <v>36388</v>
      </c>
      <c r="H801" s="21">
        <v>21.893150684931506</v>
      </c>
      <c r="I801" t="s">
        <v>541</v>
      </c>
      <c r="J801" t="s">
        <v>3311</v>
      </c>
      <c r="K801" t="s">
        <v>3312</v>
      </c>
      <c r="L801">
        <v>3115114930</v>
      </c>
    </row>
    <row r="802" spans="1:12" x14ac:dyDescent="0.25">
      <c r="A802">
        <v>802</v>
      </c>
      <c r="B802" t="s">
        <v>1837</v>
      </c>
      <c r="C802" t="s">
        <v>11</v>
      </c>
      <c r="D802" t="s">
        <v>102</v>
      </c>
      <c r="E802" t="s">
        <v>206</v>
      </c>
      <c r="F802" t="s">
        <v>730</v>
      </c>
      <c r="G802" s="22">
        <v>30749</v>
      </c>
      <c r="H802" s="21">
        <v>37.342465753424655</v>
      </c>
      <c r="I802" t="s">
        <v>1174</v>
      </c>
      <c r="J802" t="s">
        <v>4281</v>
      </c>
      <c r="K802" t="s">
        <v>4282</v>
      </c>
      <c r="L802">
        <v>3115114930</v>
      </c>
    </row>
    <row r="803" spans="1:12" x14ac:dyDescent="0.25">
      <c r="A803">
        <v>803</v>
      </c>
      <c r="B803" t="s">
        <v>2380</v>
      </c>
      <c r="C803" t="s">
        <v>341</v>
      </c>
      <c r="D803" t="s">
        <v>413</v>
      </c>
      <c r="E803" t="s">
        <v>693</v>
      </c>
      <c r="F803" t="s">
        <v>851</v>
      </c>
      <c r="G803" s="22">
        <v>23602</v>
      </c>
      <c r="H803" s="21">
        <v>56.923287671232877</v>
      </c>
      <c r="I803" t="s">
        <v>552</v>
      </c>
      <c r="J803" t="s">
        <v>3313</v>
      </c>
      <c r="K803" t="s">
        <v>3314</v>
      </c>
      <c r="L803">
        <v>3115114916</v>
      </c>
    </row>
    <row r="804" spans="1:12" x14ac:dyDescent="0.25">
      <c r="A804">
        <v>804</v>
      </c>
      <c r="B804" t="s">
        <v>1838</v>
      </c>
      <c r="C804" t="s">
        <v>12</v>
      </c>
      <c r="D804" t="s">
        <v>897</v>
      </c>
      <c r="E804" t="s">
        <v>148</v>
      </c>
      <c r="F804" t="s">
        <v>723</v>
      </c>
      <c r="G804" s="22">
        <v>31613</v>
      </c>
      <c r="H804" s="21">
        <v>34.975342465753428</v>
      </c>
      <c r="I804" t="s">
        <v>1188</v>
      </c>
      <c r="J804" t="s">
        <v>4283</v>
      </c>
      <c r="K804" t="s">
        <v>4284</v>
      </c>
      <c r="L804">
        <v>3115114916</v>
      </c>
    </row>
    <row r="805" spans="1:12" x14ac:dyDescent="0.25">
      <c r="A805">
        <v>805</v>
      </c>
      <c r="B805" t="s">
        <v>2381</v>
      </c>
      <c r="C805" t="s">
        <v>513</v>
      </c>
      <c r="D805" t="s">
        <v>450</v>
      </c>
      <c r="E805" t="s">
        <v>679</v>
      </c>
      <c r="F805" t="s">
        <v>849</v>
      </c>
      <c r="G805" s="22">
        <v>25562</v>
      </c>
      <c r="H805" s="21">
        <v>51.553424657534244</v>
      </c>
      <c r="I805" t="s">
        <v>559</v>
      </c>
      <c r="J805" t="s">
        <v>3315</v>
      </c>
      <c r="K805" t="s">
        <v>3316</v>
      </c>
      <c r="L805">
        <v>3115114911</v>
      </c>
    </row>
    <row r="806" spans="1:12" x14ac:dyDescent="0.25">
      <c r="A806">
        <v>806</v>
      </c>
      <c r="B806" t="s">
        <v>1839</v>
      </c>
      <c r="C806" t="s">
        <v>13</v>
      </c>
      <c r="D806" t="s">
        <v>31</v>
      </c>
      <c r="E806" t="s">
        <v>55</v>
      </c>
      <c r="F806" t="s">
        <v>717</v>
      </c>
      <c r="G806" s="22">
        <v>28186</v>
      </c>
      <c r="H806" s="21">
        <v>44.364383561643834</v>
      </c>
      <c r="I806" t="s">
        <v>1176</v>
      </c>
      <c r="J806" t="s">
        <v>4285</v>
      </c>
      <c r="K806" t="s">
        <v>4286</v>
      </c>
      <c r="L806">
        <v>3115114911</v>
      </c>
    </row>
    <row r="807" spans="1:12" x14ac:dyDescent="0.25">
      <c r="A807">
        <v>807</v>
      </c>
      <c r="B807" t="s">
        <v>2382</v>
      </c>
      <c r="C807" t="s">
        <v>341</v>
      </c>
      <c r="D807" t="s">
        <v>446</v>
      </c>
      <c r="E807" t="s">
        <v>239</v>
      </c>
      <c r="F807" t="s">
        <v>737</v>
      </c>
      <c r="G807" s="22">
        <v>34657</v>
      </c>
      <c r="H807" s="21">
        <v>26.635616438356163</v>
      </c>
      <c r="I807" t="s">
        <v>581</v>
      </c>
      <c r="J807" t="s">
        <v>3317</v>
      </c>
      <c r="K807" t="s">
        <v>3318</v>
      </c>
      <c r="L807">
        <v>3115114910</v>
      </c>
    </row>
    <row r="808" spans="1:12" x14ac:dyDescent="0.25">
      <c r="A808">
        <v>808</v>
      </c>
      <c r="B808" t="s">
        <v>1840</v>
      </c>
      <c r="C808" t="s">
        <v>14</v>
      </c>
      <c r="D808" t="s">
        <v>1012</v>
      </c>
      <c r="E808" t="s">
        <v>75</v>
      </c>
      <c r="F808" t="s">
        <v>794</v>
      </c>
      <c r="G808" s="22">
        <v>26169</v>
      </c>
      <c r="H808" s="21">
        <v>49.890410958904113</v>
      </c>
      <c r="I808" t="s">
        <v>1163</v>
      </c>
      <c r="J808" t="s">
        <v>4287</v>
      </c>
      <c r="K808" t="s">
        <v>4288</v>
      </c>
      <c r="L808">
        <v>3115114910</v>
      </c>
    </row>
    <row r="809" spans="1:12" x14ac:dyDescent="0.25">
      <c r="A809">
        <v>809</v>
      </c>
      <c r="B809" t="s">
        <v>2383</v>
      </c>
      <c r="C809" t="s">
        <v>92</v>
      </c>
      <c r="D809" t="s">
        <v>365</v>
      </c>
      <c r="E809" t="s">
        <v>747</v>
      </c>
      <c r="F809" t="s">
        <v>733</v>
      </c>
      <c r="G809" s="22">
        <v>21693</v>
      </c>
      <c r="H809" s="21">
        <v>62.153424657534245</v>
      </c>
      <c r="I809" t="s">
        <v>564</v>
      </c>
      <c r="J809" t="s">
        <v>3319</v>
      </c>
      <c r="K809" t="s">
        <v>3320</v>
      </c>
      <c r="L809">
        <v>3115114909</v>
      </c>
    </row>
    <row r="810" spans="1:12" x14ac:dyDescent="0.25">
      <c r="A810">
        <v>810</v>
      </c>
      <c r="B810" t="s">
        <v>1841</v>
      </c>
      <c r="C810" t="s">
        <v>907</v>
      </c>
      <c r="D810" t="s">
        <v>1011</v>
      </c>
      <c r="E810" t="s">
        <v>132</v>
      </c>
      <c r="F810" t="s">
        <v>754</v>
      </c>
      <c r="G810" s="22">
        <v>36234</v>
      </c>
      <c r="H810" s="21">
        <v>22.315068493150687</v>
      </c>
      <c r="I810" t="s">
        <v>1224</v>
      </c>
      <c r="J810" t="s">
        <v>4289</v>
      </c>
      <c r="K810" t="s">
        <v>4290</v>
      </c>
      <c r="L810">
        <v>3115114909</v>
      </c>
    </row>
    <row r="811" spans="1:12" x14ac:dyDescent="0.25">
      <c r="A811">
        <v>811</v>
      </c>
      <c r="B811" t="s">
        <v>2384</v>
      </c>
      <c r="C811" t="s">
        <v>356</v>
      </c>
      <c r="D811" t="s">
        <v>339</v>
      </c>
      <c r="E811" t="s">
        <v>772</v>
      </c>
      <c r="F811" t="s">
        <v>771</v>
      </c>
      <c r="G811" s="22">
        <v>27347</v>
      </c>
      <c r="H811" s="21">
        <v>46.663013698630138</v>
      </c>
      <c r="I811" t="s">
        <v>1398</v>
      </c>
      <c r="J811" t="s">
        <v>3321</v>
      </c>
      <c r="K811" t="s">
        <v>3322</v>
      </c>
      <c r="L811">
        <v>3115060130</v>
      </c>
    </row>
    <row r="812" spans="1:12" x14ac:dyDescent="0.25">
      <c r="A812">
        <v>812</v>
      </c>
      <c r="B812" t="s">
        <v>1842</v>
      </c>
      <c r="C812" t="s">
        <v>626</v>
      </c>
      <c r="D812" t="s">
        <v>1040</v>
      </c>
      <c r="E812" t="s">
        <v>58</v>
      </c>
      <c r="F812" t="s">
        <v>721</v>
      </c>
      <c r="G812" s="22">
        <v>30089</v>
      </c>
      <c r="H812" s="21">
        <v>39.150684931506852</v>
      </c>
      <c r="I812" t="s">
        <v>1261</v>
      </c>
      <c r="J812" t="s">
        <v>4291</v>
      </c>
      <c r="K812" t="s">
        <v>4292</v>
      </c>
      <c r="L812">
        <v>3115060130</v>
      </c>
    </row>
    <row r="813" spans="1:12" x14ac:dyDescent="0.25">
      <c r="A813">
        <v>813</v>
      </c>
      <c r="B813" t="s">
        <v>2385</v>
      </c>
      <c r="C813" t="s">
        <v>429</v>
      </c>
      <c r="D813" t="s">
        <v>483</v>
      </c>
      <c r="E813" t="s">
        <v>738</v>
      </c>
      <c r="F813" t="s">
        <v>749</v>
      </c>
      <c r="G813" s="22">
        <v>35345</v>
      </c>
      <c r="H813" s="21">
        <v>24.75068493150685</v>
      </c>
      <c r="I813" t="s">
        <v>1275</v>
      </c>
      <c r="J813" t="s">
        <v>3323</v>
      </c>
      <c r="K813" t="s">
        <v>3324</v>
      </c>
      <c r="L813">
        <v>3115060125</v>
      </c>
    </row>
    <row r="814" spans="1:12" x14ac:dyDescent="0.25">
      <c r="A814">
        <v>814</v>
      </c>
      <c r="B814" t="s">
        <v>1843</v>
      </c>
      <c r="C814" t="s">
        <v>15</v>
      </c>
      <c r="D814" t="s">
        <v>482</v>
      </c>
      <c r="E814" t="s">
        <v>60</v>
      </c>
      <c r="F814" t="s">
        <v>832</v>
      </c>
      <c r="G814" s="22">
        <v>34293</v>
      </c>
      <c r="H814" s="21">
        <v>27.632876712328766</v>
      </c>
      <c r="I814" t="s">
        <v>1232</v>
      </c>
      <c r="J814" t="s">
        <v>4293</v>
      </c>
      <c r="K814" t="s">
        <v>4294</v>
      </c>
      <c r="L814">
        <v>3115060125</v>
      </c>
    </row>
    <row r="815" spans="1:12" x14ac:dyDescent="0.25">
      <c r="A815">
        <v>815</v>
      </c>
      <c r="B815" t="s">
        <v>2386</v>
      </c>
      <c r="C815" t="s">
        <v>431</v>
      </c>
      <c r="D815" t="s">
        <v>479</v>
      </c>
      <c r="E815" t="s">
        <v>783</v>
      </c>
      <c r="F815" t="s">
        <v>670</v>
      </c>
      <c r="G815" s="22">
        <v>29591</v>
      </c>
      <c r="H815" s="21">
        <v>40.515068493150686</v>
      </c>
      <c r="I815" t="s">
        <v>576</v>
      </c>
      <c r="J815" t="s">
        <v>3325</v>
      </c>
      <c r="K815" t="s">
        <v>3326</v>
      </c>
      <c r="L815">
        <v>3115060110</v>
      </c>
    </row>
    <row r="816" spans="1:12" x14ac:dyDescent="0.25">
      <c r="A816">
        <v>816</v>
      </c>
      <c r="B816" t="s">
        <v>1844</v>
      </c>
      <c r="C816" t="s">
        <v>1041</v>
      </c>
      <c r="D816" t="s">
        <v>7</v>
      </c>
      <c r="E816" t="s">
        <v>99</v>
      </c>
      <c r="F816" t="s">
        <v>780</v>
      </c>
      <c r="G816" s="22">
        <v>34633</v>
      </c>
      <c r="H816" s="21">
        <v>26.701369863013699</v>
      </c>
      <c r="I816" t="s">
        <v>1198</v>
      </c>
      <c r="J816" t="s">
        <v>4295</v>
      </c>
      <c r="K816" t="s">
        <v>4296</v>
      </c>
      <c r="L816">
        <v>3115060110</v>
      </c>
    </row>
    <row r="817" spans="1:12" x14ac:dyDescent="0.25">
      <c r="A817">
        <v>817</v>
      </c>
      <c r="B817" t="s">
        <v>2387</v>
      </c>
      <c r="C817" t="s">
        <v>399</v>
      </c>
      <c r="D817" t="s">
        <v>1142</v>
      </c>
      <c r="E817" t="s">
        <v>683</v>
      </c>
      <c r="F817" t="s">
        <v>735</v>
      </c>
      <c r="G817" s="22">
        <v>27028</v>
      </c>
      <c r="H817" s="21">
        <v>47.536986301369865</v>
      </c>
      <c r="I817" t="s">
        <v>576</v>
      </c>
      <c r="J817" t="s">
        <v>3327</v>
      </c>
      <c r="K817" t="s">
        <v>3328</v>
      </c>
      <c r="L817">
        <v>3115060091</v>
      </c>
    </row>
    <row r="818" spans="1:12" x14ac:dyDescent="0.25">
      <c r="A818">
        <v>818</v>
      </c>
      <c r="B818" t="s">
        <v>1845</v>
      </c>
      <c r="C818" t="s">
        <v>16</v>
      </c>
      <c r="D818" t="s">
        <v>19</v>
      </c>
      <c r="E818" t="s">
        <v>196</v>
      </c>
      <c r="F818" t="s">
        <v>719</v>
      </c>
      <c r="G818" s="22">
        <v>30306</v>
      </c>
      <c r="H818" s="21">
        <v>38.556164383561644</v>
      </c>
      <c r="I818" t="s">
        <v>1221</v>
      </c>
      <c r="J818" t="s">
        <v>4297</v>
      </c>
      <c r="K818" t="s">
        <v>4298</v>
      </c>
      <c r="L818">
        <v>3115060091</v>
      </c>
    </row>
    <row r="819" spans="1:12" x14ac:dyDescent="0.25">
      <c r="A819">
        <v>819</v>
      </c>
      <c r="B819" t="s">
        <v>2388</v>
      </c>
      <c r="C819" t="s">
        <v>668</v>
      </c>
      <c r="D819" t="s">
        <v>490</v>
      </c>
      <c r="E819" t="s">
        <v>816</v>
      </c>
      <c r="F819" t="s">
        <v>702</v>
      </c>
      <c r="G819" s="22">
        <v>21931</v>
      </c>
      <c r="H819" s="21">
        <v>61.5013698630137</v>
      </c>
      <c r="I819" t="s">
        <v>591</v>
      </c>
      <c r="J819" t="s">
        <v>3329</v>
      </c>
      <c r="K819" t="s">
        <v>3330</v>
      </c>
      <c r="L819">
        <v>3115060080</v>
      </c>
    </row>
    <row r="820" spans="1:12" x14ac:dyDescent="0.25">
      <c r="A820">
        <v>820</v>
      </c>
      <c r="B820" t="s">
        <v>1846</v>
      </c>
      <c r="C820" t="s">
        <v>16</v>
      </c>
      <c r="D820" t="s">
        <v>17</v>
      </c>
      <c r="E820" t="s">
        <v>110</v>
      </c>
      <c r="F820" t="s">
        <v>824</v>
      </c>
      <c r="G820" s="22">
        <v>30392</v>
      </c>
      <c r="H820" s="21">
        <v>38.320547945205476</v>
      </c>
      <c r="I820" t="s">
        <v>1224</v>
      </c>
      <c r="J820" t="s">
        <v>4299</v>
      </c>
      <c r="K820" t="s">
        <v>4300</v>
      </c>
      <c r="L820">
        <v>3115060080</v>
      </c>
    </row>
    <row r="821" spans="1:12" x14ac:dyDescent="0.25">
      <c r="A821">
        <v>821</v>
      </c>
      <c r="B821" t="s">
        <v>2389</v>
      </c>
      <c r="C821" t="s">
        <v>886</v>
      </c>
      <c r="D821" t="s">
        <v>402</v>
      </c>
      <c r="E821" t="s">
        <v>821</v>
      </c>
      <c r="F821" t="s">
        <v>785</v>
      </c>
      <c r="G821" s="22">
        <v>33150</v>
      </c>
      <c r="H821" s="21">
        <v>30.764383561643836</v>
      </c>
      <c r="I821" t="s">
        <v>1393</v>
      </c>
      <c r="J821" t="s">
        <v>3331</v>
      </c>
      <c r="K821" t="s">
        <v>3332</v>
      </c>
      <c r="L821">
        <v>3115114385</v>
      </c>
    </row>
    <row r="822" spans="1:12" x14ac:dyDescent="0.25">
      <c r="A822">
        <v>822</v>
      </c>
      <c r="B822" t="s">
        <v>1847</v>
      </c>
      <c r="C822" t="s">
        <v>17</v>
      </c>
      <c r="D822" t="s">
        <v>190</v>
      </c>
      <c r="E822" t="s">
        <v>110</v>
      </c>
      <c r="F822" t="s">
        <v>745</v>
      </c>
      <c r="G822" s="22">
        <v>34132</v>
      </c>
      <c r="H822" s="21">
        <v>28.073972602739726</v>
      </c>
      <c r="I822" t="s">
        <v>1198</v>
      </c>
      <c r="J822" t="s">
        <v>4301</v>
      </c>
      <c r="K822" t="s">
        <v>4302</v>
      </c>
      <c r="L822">
        <v>3115114385</v>
      </c>
    </row>
    <row r="823" spans="1:12" x14ac:dyDescent="0.25">
      <c r="A823">
        <v>823</v>
      </c>
      <c r="B823" t="s">
        <v>2390</v>
      </c>
      <c r="C823" t="s">
        <v>341</v>
      </c>
      <c r="D823" t="s">
        <v>663</v>
      </c>
      <c r="E823" t="s">
        <v>220</v>
      </c>
      <c r="F823" t="s">
        <v>836</v>
      </c>
      <c r="G823" s="22">
        <v>21465</v>
      </c>
      <c r="H823" s="21">
        <v>62.778082191780825</v>
      </c>
      <c r="I823" t="s">
        <v>1384</v>
      </c>
      <c r="J823" t="s">
        <v>3333</v>
      </c>
      <c r="K823" t="s">
        <v>3334</v>
      </c>
      <c r="L823">
        <v>3115114360</v>
      </c>
    </row>
    <row r="824" spans="1:12" x14ac:dyDescent="0.25">
      <c r="A824">
        <v>824</v>
      </c>
      <c r="B824" t="s">
        <v>1848</v>
      </c>
      <c r="C824" t="s">
        <v>1042</v>
      </c>
      <c r="D824" t="s">
        <v>1043</v>
      </c>
      <c r="E824" t="s">
        <v>100</v>
      </c>
      <c r="F824" t="s">
        <v>692</v>
      </c>
      <c r="G824" s="22">
        <v>25484</v>
      </c>
      <c r="H824" s="21">
        <v>51.767123287671232</v>
      </c>
      <c r="I824" t="s">
        <v>1186</v>
      </c>
      <c r="J824" t="s">
        <v>4303</v>
      </c>
      <c r="K824" t="s">
        <v>4304</v>
      </c>
      <c r="L824">
        <v>3115114360</v>
      </c>
    </row>
    <row r="825" spans="1:12" x14ac:dyDescent="0.25">
      <c r="A825">
        <v>825</v>
      </c>
      <c r="B825" t="s">
        <v>2391</v>
      </c>
      <c r="C825" t="s">
        <v>666</v>
      </c>
      <c r="D825" t="s">
        <v>649</v>
      </c>
      <c r="E825" t="s">
        <v>726</v>
      </c>
      <c r="F825" t="s">
        <v>830</v>
      </c>
      <c r="G825" s="22">
        <v>23265</v>
      </c>
      <c r="H825" s="21">
        <v>57.846575342465755</v>
      </c>
      <c r="I825" t="s">
        <v>573</v>
      </c>
      <c r="J825" t="s">
        <v>3335</v>
      </c>
      <c r="K825" t="s">
        <v>3336</v>
      </c>
      <c r="L825">
        <v>3115093653</v>
      </c>
    </row>
    <row r="826" spans="1:12" x14ac:dyDescent="0.25">
      <c r="A826">
        <v>826</v>
      </c>
      <c r="B826" t="s">
        <v>1849</v>
      </c>
      <c r="C826" t="s">
        <v>18</v>
      </c>
      <c r="D826" t="s">
        <v>7</v>
      </c>
      <c r="E826" t="s">
        <v>258</v>
      </c>
      <c r="F826" t="s">
        <v>736</v>
      </c>
      <c r="G826" s="22">
        <v>33002</v>
      </c>
      <c r="H826" s="21">
        <v>31.169863013698631</v>
      </c>
      <c r="I826" t="s">
        <v>1197</v>
      </c>
      <c r="J826" t="s">
        <v>4305</v>
      </c>
      <c r="K826" t="s">
        <v>4306</v>
      </c>
      <c r="L826">
        <v>3115093653</v>
      </c>
    </row>
    <row r="827" spans="1:12" x14ac:dyDescent="0.25">
      <c r="A827">
        <v>827</v>
      </c>
      <c r="B827" t="s">
        <v>2392</v>
      </c>
      <c r="C827" t="s">
        <v>448</v>
      </c>
      <c r="D827" t="s">
        <v>483</v>
      </c>
      <c r="E827" t="s">
        <v>764</v>
      </c>
      <c r="F827" t="s">
        <v>711</v>
      </c>
      <c r="G827" s="22">
        <v>26053</v>
      </c>
      <c r="H827" s="21">
        <v>50.208219178082189</v>
      </c>
      <c r="I827" t="s">
        <v>530</v>
      </c>
      <c r="J827" t="s">
        <v>3337</v>
      </c>
      <c r="K827" t="s">
        <v>3338</v>
      </c>
      <c r="L827">
        <v>3115093598</v>
      </c>
    </row>
    <row r="828" spans="1:12" x14ac:dyDescent="0.25">
      <c r="A828">
        <v>828</v>
      </c>
      <c r="B828" t="s">
        <v>1850</v>
      </c>
      <c r="C828" t="s">
        <v>19</v>
      </c>
      <c r="D828" t="s">
        <v>1044</v>
      </c>
      <c r="E828" t="s">
        <v>126</v>
      </c>
      <c r="F828" t="s">
        <v>829</v>
      </c>
      <c r="G828" s="22">
        <v>25027</v>
      </c>
      <c r="H828" s="21">
        <v>53.019178082191779</v>
      </c>
      <c r="I828" t="s">
        <v>1223</v>
      </c>
      <c r="J828" t="s">
        <v>4307</v>
      </c>
      <c r="K828" t="s">
        <v>4308</v>
      </c>
      <c r="L828">
        <v>3115093598</v>
      </c>
    </row>
    <row r="829" spans="1:12" x14ac:dyDescent="0.25">
      <c r="A829">
        <v>829</v>
      </c>
      <c r="B829" t="s">
        <v>2393</v>
      </c>
      <c r="C829" t="s">
        <v>351</v>
      </c>
      <c r="D829" t="s">
        <v>330</v>
      </c>
      <c r="E829" t="s">
        <v>672</v>
      </c>
      <c r="F829" t="s">
        <v>789</v>
      </c>
      <c r="G829" s="22">
        <v>22658</v>
      </c>
      <c r="H829" s="21">
        <v>59.509589041095893</v>
      </c>
      <c r="I829" t="s">
        <v>597</v>
      </c>
      <c r="J829" t="s">
        <v>3339</v>
      </c>
      <c r="K829" t="s">
        <v>3340</v>
      </c>
      <c r="L829">
        <v>3115093583</v>
      </c>
    </row>
    <row r="830" spans="1:12" x14ac:dyDescent="0.25">
      <c r="A830">
        <v>830</v>
      </c>
      <c r="B830" t="s">
        <v>1851</v>
      </c>
      <c r="C830" t="s">
        <v>983</v>
      </c>
      <c r="D830" t="s">
        <v>131</v>
      </c>
      <c r="E830" t="s">
        <v>127</v>
      </c>
      <c r="F830" t="s">
        <v>673</v>
      </c>
      <c r="G830" s="22">
        <v>25453</v>
      </c>
      <c r="H830" s="21">
        <v>51.852054794520548</v>
      </c>
      <c r="I830" t="s">
        <v>1167</v>
      </c>
      <c r="J830" t="s">
        <v>4309</v>
      </c>
      <c r="K830" t="s">
        <v>4310</v>
      </c>
      <c r="L830">
        <v>3115093583</v>
      </c>
    </row>
    <row r="831" spans="1:12" x14ac:dyDescent="0.25">
      <c r="A831">
        <v>831</v>
      </c>
      <c r="B831" t="s">
        <v>2394</v>
      </c>
      <c r="C831" t="s">
        <v>359</v>
      </c>
      <c r="D831" t="s">
        <v>353</v>
      </c>
      <c r="E831" t="s">
        <v>734</v>
      </c>
      <c r="F831" t="s">
        <v>784</v>
      </c>
      <c r="G831" s="22">
        <v>27078</v>
      </c>
      <c r="H831" s="21">
        <v>47.4</v>
      </c>
      <c r="I831" t="s">
        <v>1374</v>
      </c>
      <c r="J831" t="s">
        <v>3341</v>
      </c>
      <c r="K831" t="s">
        <v>3342</v>
      </c>
      <c r="L831">
        <v>3115092386</v>
      </c>
    </row>
    <row r="832" spans="1:12" x14ac:dyDescent="0.25">
      <c r="A832">
        <v>832</v>
      </c>
      <c r="B832" t="s">
        <v>1852</v>
      </c>
      <c r="C832" t="s">
        <v>16</v>
      </c>
      <c r="D832" t="s">
        <v>1045</v>
      </c>
      <c r="E832" t="s">
        <v>44</v>
      </c>
      <c r="F832" t="s">
        <v>688</v>
      </c>
      <c r="G832" s="22">
        <v>28955</v>
      </c>
      <c r="H832" s="21">
        <v>42.257534246575339</v>
      </c>
      <c r="I832" t="s">
        <v>1171</v>
      </c>
      <c r="J832" t="s">
        <v>4311</v>
      </c>
      <c r="K832" t="s">
        <v>4312</v>
      </c>
      <c r="L832">
        <v>3115092386</v>
      </c>
    </row>
    <row r="833" spans="1:12" x14ac:dyDescent="0.25">
      <c r="A833">
        <v>833</v>
      </c>
      <c r="B833" t="s">
        <v>2395</v>
      </c>
      <c r="C833" t="s">
        <v>511</v>
      </c>
      <c r="D833" t="s">
        <v>669</v>
      </c>
      <c r="E833" t="s">
        <v>695</v>
      </c>
      <c r="F833" t="s">
        <v>458</v>
      </c>
      <c r="G833" s="22">
        <v>32595</v>
      </c>
      <c r="H833" s="21">
        <v>32.284931506849318</v>
      </c>
      <c r="I833" t="s">
        <v>597</v>
      </c>
      <c r="J833" t="s">
        <v>3343</v>
      </c>
      <c r="K833" t="s">
        <v>3344</v>
      </c>
      <c r="L833">
        <v>3115092375</v>
      </c>
    </row>
    <row r="834" spans="1:12" x14ac:dyDescent="0.25">
      <c r="A834">
        <v>834</v>
      </c>
      <c r="B834" t="s">
        <v>1853</v>
      </c>
      <c r="C834" t="s">
        <v>397</v>
      </c>
      <c r="D834" t="s">
        <v>50</v>
      </c>
      <c r="E834" t="s">
        <v>89</v>
      </c>
      <c r="F834" t="s">
        <v>831</v>
      </c>
      <c r="G834" s="22">
        <v>30180</v>
      </c>
      <c r="H834" s="21">
        <v>38.901369863013699</v>
      </c>
      <c r="I834" t="s">
        <v>1179</v>
      </c>
      <c r="J834" t="s">
        <v>4313</v>
      </c>
      <c r="K834" t="s">
        <v>4314</v>
      </c>
      <c r="L834">
        <v>3115092375</v>
      </c>
    </row>
    <row r="835" spans="1:12" x14ac:dyDescent="0.25">
      <c r="A835">
        <v>835</v>
      </c>
      <c r="B835" t="s">
        <v>2396</v>
      </c>
      <c r="C835" t="s">
        <v>492</v>
      </c>
      <c r="D835" t="s">
        <v>1156</v>
      </c>
      <c r="E835" t="s">
        <v>476</v>
      </c>
      <c r="F835" t="s">
        <v>777</v>
      </c>
      <c r="G835" s="22">
        <v>34276</v>
      </c>
      <c r="H835" s="21">
        <v>27.67945205479452</v>
      </c>
      <c r="I835" t="s">
        <v>563</v>
      </c>
      <c r="J835" t="s">
        <v>3345</v>
      </c>
      <c r="K835" t="s">
        <v>3346</v>
      </c>
      <c r="L835">
        <v>3115092369</v>
      </c>
    </row>
    <row r="836" spans="1:12" x14ac:dyDescent="0.25">
      <c r="A836">
        <v>836</v>
      </c>
      <c r="B836" t="s">
        <v>1854</v>
      </c>
      <c r="C836" t="s">
        <v>971</v>
      </c>
      <c r="D836" t="s">
        <v>17</v>
      </c>
      <c r="E836" t="s">
        <v>160</v>
      </c>
      <c r="F836" t="s">
        <v>795</v>
      </c>
      <c r="G836" s="22">
        <v>24108</v>
      </c>
      <c r="H836" s="21">
        <v>55.536986301369865</v>
      </c>
      <c r="I836" t="s">
        <v>1259</v>
      </c>
      <c r="J836" t="s">
        <v>4315</v>
      </c>
      <c r="K836" t="s">
        <v>4316</v>
      </c>
      <c r="L836">
        <v>3115092369</v>
      </c>
    </row>
    <row r="837" spans="1:12" x14ac:dyDescent="0.25">
      <c r="A837">
        <v>837</v>
      </c>
      <c r="B837" t="s">
        <v>2397</v>
      </c>
      <c r="C837" t="s">
        <v>399</v>
      </c>
      <c r="D837" t="s">
        <v>661</v>
      </c>
      <c r="E837" t="s">
        <v>808</v>
      </c>
      <c r="F837" t="s">
        <v>707</v>
      </c>
      <c r="G837" s="22">
        <v>31180</v>
      </c>
      <c r="H837" s="21">
        <v>36.161643835616438</v>
      </c>
      <c r="I837" t="s">
        <v>1326</v>
      </c>
      <c r="J837" t="s">
        <v>3347</v>
      </c>
      <c r="K837" t="s">
        <v>3348</v>
      </c>
      <c r="L837">
        <v>3115092360</v>
      </c>
    </row>
    <row r="838" spans="1:12" x14ac:dyDescent="0.25">
      <c r="A838">
        <v>838</v>
      </c>
      <c r="B838" t="s">
        <v>1855</v>
      </c>
      <c r="C838" t="s">
        <v>991</v>
      </c>
      <c r="D838" t="s">
        <v>26</v>
      </c>
      <c r="E838" t="s">
        <v>115</v>
      </c>
      <c r="F838" t="s">
        <v>675</v>
      </c>
      <c r="G838" s="22">
        <v>30112</v>
      </c>
      <c r="H838" s="21">
        <v>39.087671232876716</v>
      </c>
      <c r="I838" t="s">
        <v>1179</v>
      </c>
      <c r="J838" t="s">
        <v>4317</v>
      </c>
      <c r="K838" t="s">
        <v>4318</v>
      </c>
      <c r="L838">
        <v>3115092360</v>
      </c>
    </row>
    <row r="839" spans="1:12" x14ac:dyDescent="0.25">
      <c r="A839">
        <v>839</v>
      </c>
      <c r="B839" t="s">
        <v>2398</v>
      </c>
      <c r="C839" t="s">
        <v>873</v>
      </c>
      <c r="D839" t="s">
        <v>365</v>
      </c>
      <c r="E839" t="s">
        <v>815</v>
      </c>
      <c r="F839" t="s">
        <v>725</v>
      </c>
      <c r="G839" s="22">
        <v>20621</v>
      </c>
      <c r="H839" s="21">
        <v>65.090410958904116</v>
      </c>
      <c r="I839" t="s">
        <v>563</v>
      </c>
      <c r="J839" t="s">
        <v>3349</v>
      </c>
      <c r="K839" t="s">
        <v>3350</v>
      </c>
      <c r="L839">
        <v>3115092352</v>
      </c>
    </row>
    <row r="840" spans="1:12" x14ac:dyDescent="0.25">
      <c r="A840">
        <v>840</v>
      </c>
      <c r="B840" t="s">
        <v>1856</v>
      </c>
      <c r="C840" t="s">
        <v>20</v>
      </c>
      <c r="D840" t="s">
        <v>50</v>
      </c>
      <c r="E840" t="s">
        <v>72</v>
      </c>
      <c r="F840" t="s">
        <v>815</v>
      </c>
      <c r="G840" s="22">
        <v>34186</v>
      </c>
      <c r="H840" s="21">
        <v>27.926027397260274</v>
      </c>
      <c r="I840" t="s">
        <v>1194</v>
      </c>
      <c r="J840" t="s">
        <v>4319</v>
      </c>
      <c r="K840" t="s">
        <v>4320</v>
      </c>
      <c r="L840">
        <v>3115092352</v>
      </c>
    </row>
    <row r="841" spans="1:12" x14ac:dyDescent="0.25">
      <c r="A841">
        <v>841</v>
      </c>
      <c r="B841" t="s">
        <v>2399</v>
      </c>
      <c r="C841" t="s">
        <v>483</v>
      </c>
      <c r="D841" t="s">
        <v>341</v>
      </c>
      <c r="E841" t="s">
        <v>790</v>
      </c>
      <c r="F841" t="s">
        <v>813</v>
      </c>
      <c r="G841" s="22">
        <v>24315</v>
      </c>
      <c r="H841" s="21">
        <v>54.969863013698628</v>
      </c>
      <c r="I841" t="s">
        <v>575</v>
      </c>
      <c r="J841" t="s">
        <v>3351</v>
      </c>
      <c r="K841" t="s">
        <v>3352</v>
      </c>
      <c r="L841">
        <v>3115114930</v>
      </c>
    </row>
    <row r="842" spans="1:12" x14ac:dyDescent="0.25">
      <c r="A842">
        <v>842</v>
      </c>
      <c r="B842" t="s">
        <v>1857</v>
      </c>
      <c r="C842" t="s">
        <v>6</v>
      </c>
      <c r="D842" t="s">
        <v>38</v>
      </c>
      <c r="E842" t="s">
        <v>263</v>
      </c>
      <c r="F842" t="s">
        <v>845</v>
      </c>
      <c r="G842" s="22">
        <v>27268</v>
      </c>
      <c r="H842" s="21">
        <v>46.87945205479452</v>
      </c>
      <c r="I842" t="s">
        <v>559</v>
      </c>
      <c r="J842" t="s">
        <v>4321</v>
      </c>
      <c r="K842" t="s">
        <v>4322</v>
      </c>
      <c r="L842">
        <v>3115114930</v>
      </c>
    </row>
    <row r="843" spans="1:12" x14ac:dyDescent="0.25">
      <c r="A843">
        <v>843</v>
      </c>
      <c r="B843" t="s">
        <v>2400</v>
      </c>
      <c r="C843" t="s">
        <v>488</v>
      </c>
      <c r="D843" t="s">
        <v>330</v>
      </c>
      <c r="E843" t="s">
        <v>775</v>
      </c>
      <c r="F843" t="s">
        <v>767</v>
      </c>
      <c r="G843" s="22">
        <v>22306</v>
      </c>
      <c r="H843" s="21">
        <v>60.473972602739728</v>
      </c>
      <c r="I843" t="s">
        <v>588</v>
      </c>
      <c r="J843" t="s">
        <v>3353</v>
      </c>
      <c r="K843" t="s">
        <v>3354</v>
      </c>
      <c r="L843">
        <v>3115114916</v>
      </c>
    </row>
    <row r="844" spans="1:12" x14ac:dyDescent="0.25">
      <c r="A844">
        <v>844</v>
      </c>
      <c r="B844" t="s">
        <v>1858</v>
      </c>
      <c r="C844" t="s">
        <v>1046</v>
      </c>
      <c r="D844" t="s">
        <v>123</v>
      </c>
      <c r="E844" t="s">
        <v>155</v>
      </c>
      <c r="F844" t="s">
        <v>701</v>
      </c>
      <c r="G844" s="22">
        <v>34389</v>
      </c>
      <c r="H844" s="21">
        <v>27.36986301369863</v>
      </c>
      <c r="I844" t="s">
        <v>609</v>
      </c>
      <c r="J844" t="s">
        <v>4323</v>
      </c>
      <c r="K844" t="s">
        <v>4324</v>
      </c>
      <c r="L844">
        <v>3115114916</v>
      </c>
    </row>
    <row r="845" spans="1:12" x14ac:dyDescent="0.25">
      <c r="A845">
        <v>845</v>
      </c>
      <c r="B845" t="s">
        <v>2401</v>
      </c>
      <c r="C845" t="s">
        <v>371</v>
      </c>
      <c r="D845" t="s">
        <v>1157</v>
      </c>
      <c r="E845" t="s">
        <v>735</v>
      </c>
      <c r="F845" t="s">
        <v>801</v>
      </c>
      <c r="G845" s="22">
        <v>33256</v>
      </c>
      <c r="H845" s="21">
        <v>30.473972602739725</v>
      </c>
      <c r="I845" t="s">
        <v>554</v>
      </c>
      <c r="J845" t="s">
        <v>3355</v>
      </c>
      <c r="K845" t="s">
        <v>3356</v>
      </c>
      <c r="L845">
        <v>3115114911</v>
      </c>
    </row>
    <row r="846" spans="1:12" x14ac:dyDescent="0.25">
      <c r="A846">
        <v>846</v>
      </c>
      <c r="B846" t="s">
        <v>1859</v>
      </c>
      <c r="C846" t="s">
        <v>989</v>
      </c>
      <c r="D846" t="s">
        <v>951</v>
      </c>
      <c r="E846" t="s">
        <v>71</v>
      </c>
      <c r="F846" t="s">
        <v>731</v>
      </c>
      <c r="G846" s="22">
        <v>33430</v>
      </c>
      <c r="H846" s="21">
        <v>29.997260273972604</v>
      </c>
      <c r="I846" t="s">
        <v>1245</v>
      </c>
      <c r="J846" t="s">
        <v>4325</v>
      </c>
      <c r="K846" t="s">
        <v>4326</v>
      </c>
      <c r="L846">
        <v>3115114911</v>
      </c>
    </row>
    <row r="847" spans="1:12" x14ac:dyDescent="0.25">
      <c r="A847">
        <v>847</v>
      </c>
      <c r="B847" t="s">
        <v>2402</v>
      </c>
      <c r="C847" t="s">
        <v>341</v>
      </c>
      <c r="D847" t="s">
        <v>439</v>
      </c>
      <c r="E847" t="s">
        <v>840</v>
      </c>
      <c r="F847" t="s">
        <v>841</v>
      </c>
      <c r="G847" s="22">
        <v>25609</v>
      </c>
      <c r="H847" s="21">
        <v>51.424657534246577</v>
      </c>
      <c r="I847" t="s">
        <v>1391</v>
      </c>
      <c r="J847" t="s">
        <v>3357</v>
      </c>
      <c r="K847" t="s">
        <v>3358</v>
      </c>
      <c r="L847">
        <v>3115114910</v>
      </c>
    </row>
    <row r="848" spans="1:12" x14ac:dyDescent="0.25">
      <c r="A848">
        <v>848</v>
      </c>
      <c r="B848" t="s">
        <v>1860</v>
      </c>
      <c r="C848" t="s">
        <v>21</v>
      </c>
      <c r="D848" t="s">
        <v>1047</v>
      </c>
      <c r="E848" t="s">
        <v>68</v>
      </c>
      <c r="F848" t="s">
        <v>797</v>
      </c>
      <c r="G848" s="22">
        <v>30298</v>
      </c>
      <c r="H848" s="21">
        <v>38.578082191780823</v>
      </c>
      <c r="I848" t="s">
        <v>1175</v>
      </c>
      <c r="J848" t="s">
        <v>4327</v>
      </c>
      <c r="K848" t="s">
        <v>4328</v>
      </c>
      <c r="L848">
        <v>3115114910</v>
      </c>
    </row>
    <row r="849" spans="1:12" x14ac:dyDescent="0.25">
      <c r="A849">
        <v>849</v>
      </c>
      <c r="B849" t="s">
        <v>2403</v>
      </c>
      <c r="C849" t="s">
        <v>1158</v>
      </c>
      <c r="D849" t="s">
        <v>349</v>
      </c>
      <c r="E849" t="s">
        <v>761</v>
      </c>
      <c r="F849" t="s">
        <v>775</v>
      </c>
      <c r="G849" s="22">
        <v>29818</v>
      </c>
      <c r="H849" s="21">
        <v>39.893150684931506</v>
      </c>
      <c r="I849" t="s">
        <v>1351</v>
      </c>
      <c r="J849" t="s">
        <v>3359</v>
      </c>
      <c r="K849" t="s">
        <v>3360</v>
      </c>
      <c r="L849">
        <v>3115114909</v>
      </c>
    </row>
    <row r="850" spans="1:12" x14ac:dyDescent="0.25">
      <c r="A850">
        <v>850</v>
      </c>
      <c r="B850" t="s">
        <v>1861</v>
      </c>
      <c r="C850" t="s">
        <v>1048</v>
      </c>
      <c r="D850" t="s">
        <v>1049</v>
      </c>
      <c r="E850" t="s">
        <v>72</v>
      </c>
      <c r="F850" t="s">
        <v>686</v>
      </c>
      <c r="G850" s="22">
        <v>27785</v>
      </c>
      <c r="H850" s="21">
        <v>45.463013698630135</v>
      </c>
      <c r="I850" t="s">
        <v>1213</v>
      </c>
      <c r="J850" t="s">
        <v>4329</v>
      </c>
      <c r="K850" t="s">
        <v>4330</v>
      </c>
      <c r="L850">
        <v>3115114909</v>
      </c>
    </row>
    <row r="851" spans="1:12" x14ac:dyDescent="0.25">
      <c r="A851">
        <v>851</v>
      </c>
      <c r="B851" t="s">
        <v>2404</v>
      </c>
      <c r="C851" t="s">
        <v>883</v>
      </c>
      <c r="D851" t="s">
        <v>353</v>
      </c>
      <c r="E851" t="s">
        <v>823</v>
      </c>
      <c r="F851" t="s">
        <v>708</v>
      </c>
      <c r="G851" s="22">
        <v>31033</v>
      </c>
      <c r="H851" s="21">
        <v>36.564383561643837</v>
      </c>
      <c r="I851" t="s">
        <v>580</v>
      </c>
      <c r="J851" t="s">
        <v>3361</v>
      </c>
      <c r="K851" t="s">
        <v>3362</v>
      </c>
      <c r="L851">
        <v>3115060130</v>
      </c>
    </row>
    <row r="852" spans="1:12" x14ac:dyDescent="0.25">
      <c r="A852">
        <v>852</v>
      </c>
      <c r="B852" t="s">
        <v>1862</v>
      </c>
      <c r="C852" t="s">
        <v>984</v>
      </c>
      <c r="D852" t="s">
        <v>17</v>
      </c>
      <c r="E852" t="s">
        <v>265</v>
      </c>
      <c r="F852" t="s">
        <v>782</v>
      </c>
      <c r="G852" s="22">
        <v>35173</v>
      </c>
      <c r="H852" s="21">
        <v>25.221917808219178</v>
      </c>
      <c r="I852" t="s">
        <v>1220</v>
      </c>
      <c r="J852" t="s">
        <v>4331</v>
      </c>
      <c r="K852" t="s">
        <v>4332</v>
      </c>
      <c r="L852">
        <v>3115060130</v>
      </c>
    </row>
    <row r="853" spans="1:12" x14ac:dyDescent="0.25">
      <c r="A853">
        <v>853</v>
      </c>
      <c r="B853" t="s">
        <v>2405</v>
      </c>
      <c r="C853" t="s">
        <v>431</v>
      </c>
      <c r="D853" t="s">
        <v>481</v>
      </c>
      <c r="E853" t="s">
        <v>741</v>
      </c>
      <c r="F853" t="s">
        <v>750</v>
      </c>
      <c r="G853" s="22">
        <v>31719</v>
      </c>
      <c r="H853" s="21">
        <v>34.684931506849317</v>
      </c>
      <c r="I853" t="s">
        <v>1332</v>
      </c>
      <c r="J853" t="s">
        <v>3363</v>
      </c>
      <c r="K853" t="s">
        <v>3364</v>
      </c>
      <c r="L853">
        <v>3115060125</v>
      </c>
    </row>
    <row r="854" spans="1:12" x14ac:dyDescent="0.25">
      <c r="A854">
        <v>854</v>
      </c>
      <c r="B854" t="s">
        <v>1863</v>
      </c>
      <c r="C854" t="s">
        <v>942</v>
      </c>
      <c r="D854" t="s">
        <v>993</v>
      </c>
      <c r="E854" t="s">
        <v>103</v>
      </c>
      <c r="F854" t="s">
        <v>805</v>
      </c>
      <c r="G854" s="22">
        <v>24145</v>
      </c>
      <c r="H854" s="21">
        <v>55.435616438356163</v>
      </c>
      <c r="I854" t="s">
        <v>1227</v>
      </c>
      <c r="J854" t="s">
        <v>4333</v>
      </c>
      <c r="K854" t="s">
        <v>4334</v>
      </c>
      <c r="L854">
        <v>3115060125</v>
      </c>
    </row>
    <row r="855" spans="1:12" x14ac:dyDescent="0.25">
      <c r="A855">
        <v>855</v>
      </c>
      <c r="B855" t="s">
        <v>2406</v>
      </c>
      <c r="C855" t="s">
        <v>1095</v>
      </c>
      <c r="D855" t="s">
        <v>330</v>
      </c>
      <c r="E855" t="s">
        <v>732</v>
      </c>
      <c r="F855" t="s">
        <v>247</v>
      </c>
      <c r="G855" s="22">
        <v>29090</v>
      </c>
      <c r="H855" s="21">
        <v>41.887671232876713</v>
      </c>
      <c r="I855" t="s">
        <v>557</v>
      </c>
      <c r="J855" t="s">
        <v>3365</v>
      </c>
      <c r="K855" t="s">
        <v>3366</v>
      </c>
      <c r="L855">
        <v>3115060110</v>
      </c>
    </row>
    <row r="856" spans="1:12" x14ac:dyDescent="0.25">
      <c r="A856">
        <v>856</v>
      </c>
      <c r="B856" t="s">
        <v>1864</v>
      </c>
      <c r="C856" t="s">
        <v>985</v>
      </c>
      <c r="D856" t="s">
        <v>1011</v>
      </c>
      <c r="E856" t="s">
        <v>89</v>
      </c>
      <c r="F856" t="s">
        <v>834</v>
      </c>
      <c r="G856" s="22">
        <v>34219</v>
      </c>
      <c r="H856" s="21">
        <v>27.835616438356166</v>
      </c>
      <c r="I856" t="s">
        <v>1182</v>
      </c>
      <c r="J856" t="s">
        <v>4335</v>
      </c>
      <c r="K856" t="s">
        <v>4336</v>
      </c>
      <c r="L856">
        <v>3115060110</v>
      </c>
    </row>
    <row r="857" spans="1:12" x14ac:dyDescent="0.25">
      <c r="A857">
        <v>857</v>
      </c>
      <c r="B857" t="s">
        <v>2407</v>
      </c>
      <c r="C857" t="s">
        <v>662</v>
      </c>
      <c r="D857" t="s">
        <v>432</v>
      </c>
      <c r="E857" t="s">
        <v>456</v>
      </c>
      <c r="F857" t="s">
        <v>783</v>
      </c>
      <c r="G857" s="22">
        <v>27236</v>
      </c>
      <c r="H857" s="21">
        <v>46.967123287671235</v>
      </c>
      <c r="I857" t="s">
        <v>1368</v>
      </c>
      <c r="J857" t="s">
        <v>3367</v>
      </c>
      <c r="K857" t="s">
        <v>3368</v>
      </c>
      <c r="L857">
        <v>3115060091</v>
      </c>
    </row>
    <row r="858" spans="1:12" x14ac:dyDescent="0.25">
      <c r="A858">
        <v>858</v>
      </c>
      <c r="B858" t="s">
        <v>1865</v>
      </c>
      <c r="C858" t="s">
        <v>920</v>
      </c>
      <c r="D858" t="s">
        <v>1050</v>
      </c>
      <c r="E858" t="s">
        <v>68</v>
      </c>
      <c r="F858" t="s">
        <v>818</v>
      </c>
      <c r="G858" s="22">
        <v>30545</v>
      </c>
      <c r="H858" s="21">
        <v>37.901369863013699</v>
      </c>
      <c r="I858" t="s">
        <v>1251</v>
      </c>
      <c r="J858" t="s">
        <v>4337</v>
      </c>
      <c r="K858" t="s">
        <v>4338</v>
      </c>
      <c r="L858">
        <v>3115060091</v>
      </c>
    </row>
    <row r="859" spans="1:12" x14ac:dyDescent="0.25">
      <c r="A859">
        <v>859</v>
      </c>
      <c r="B859" t="s">
        <v>2408</v>
      </c>
      <c r="C859" t="s">
        <v>399</v>
      </c>
      <c r="D859" t="s">
        <v>1099</v>
      </c>
      <c r="E859" t="s">
        <v>766</v>
      </c>
      <c r="F859" t="s">
        <v>681</v>
      </c>
      <c r="G859" s="22">
        <v>27582</v>
      </c>
      <c r="H859" s="21">
        <v>46.019178082191779</v>
      </c>
      <c r="I859" t="s">
        <v>1396</v>
      </c>
      <c r="J859" t="s">
        <v>3369</v>
      </c>
      <c r="K859" t="s">
        <v>3370</v>
      </c>
      <c r="L859">
        <v>3115060080</v>
      </c>
    </row>
    <row r="860" spans="1:12" x14ac:dyDescent="0.25">
      <c r="A860">
        <v>860</v>
      </c>
      <c r="B860" t="s">
        <v>1866</v>
      </c>
      <c r="C860" t="s">
        <v>624</v>
      </c>
      <c r="D860" t="s">
        <v>13</v>
      </c>
      <c r="E860" t="s">
        <v>47</v>
      </c>
      <c r="F860" t="s">
        <v>278</v>
      </c>
      <c r="G860" s="22">
        <v>26375</v>
      </c>
      <c r="H860" s="21">
        <v>49.326027397260276</v>
      </c>
      <c r="I860" t="s">
        <v>1180</v>
      </c>
      <c r="J860" t="s">
        <v>4339</v>
      </c>
      <c r="K860" t="s">
        <v>4340</v>
      </c>
      <c r="L860">
        <v>3115060080</v>
      </c>
    </row>
    <row r="861" spans="1:12" x14ac:dyDescent="0.25">
      <c r="A861">
        <v>861</v>
      </c>
      <c r="B861" t="s">
        <v>2409</v>
      </c>
      <c r="C861" t="s">
        <v>341</v>
      </c>
      <c r="D861" t="s">
        <v>1123</v>
      </c>
      <c r="E861" t="s">
        <v>773</v>
      </c>
      <c r="F861" t="s">
        <v>835</v>
      </c>
      <c r="G861" s="22">
        <v>29033</v>
      </c>
      <c r="H861" s="21">
        <v>42.043835616438358</v>
      </c>
      <c r="I861" t="s">
        <v>1408</v>
      </c>
      <c r="J861" t="s">
        <v>3371</v>
      </c>
      <c r="K861" t="s">
        <v>3372</v>
      </c>
      <c r="L861">
        <v>3115114385</v>
      </c>
    </row>
    <row r="862" spans="1:12" x14ac:dyDescent="0.25">
      <c r="A862">
        <v>862</v>
      </c>
      <c r="B862" t="s">
        <v>1867</v>
      </c>
      <c r="C862" t="s">
        <v>22</v>
      </c>
      <c r="D862" t="s">
        <v>1051</v>
      </c>
      <c r="E862" t="s">
        <v>40</v>
      </c>
      <c r="F862" t="s">
        <v>298</v>
      </c>
      <c r="G862" s="22">
        <v>36211</v>
      </c>
      <c r="H862" s="21">
        <v>22.378082191780823</v>
      </c>
      <c r="I862" t="s">
        <v>1183</v>
      </c>
      <c r="J862" t="s">
        <v>4341</v>
      </c>
      <c r="K862" t="s">
        <v>4342</v>
      </c>
      <c r="L862">
        <v>3115114385</v>
      </c>
    </row>
    <row r="863" spans="1:12" x14ac:dyDescent="0.25">
      <c r="A863">
        <v>863</v>
      </c>
      <c r="B863" t="s">
        <v>2410</v>
      </c>
      <c r="C863" t="s">
        <v>399</v>
      </c>
      <c r="D863" t="s">
        <v>880</v>
      </c>
      <c r="E863" t="s">
        <v>820</v>
      </c>
      <c r="F863" t="s">
        <v>791</v>
      </c>
      <c r="G863" s="22">
        <v>30319</v>
      </c>
      <c r="H863" s="21">
        <v>38.520547945205479</v>
      </c>
      <c r="I863" t="s">
        <v>609</v>
      </c>
      <c r="J863" t="s">
        <v>3373</v>
      </c>
      <c r="K863" t="s">
        <v>3374</v>
      </c>
      <c r="L863">
        <v>3115114360</v>
      </c>
    </row>
    <row r="864" spans="1:12" x14ac:dyDescent="0.25">
      <c r="A864">
        <v>864</v>
      </c>
      <c r="B864" t="s">
        <v>1868</v>
      </c>
      <c r="C864" t="s">
        <v>1052</v>
      </c>
      <c r="D864" t="s">
        <v>50</v>
      </c>
      <c r="E864" t="s">
        <v>276</v>
      </c>
      <c r="F864" t="s">
        <v>816</v>
      </c>
      <c r="G864" s="22">
        <v>34173</v>
      </c>
      <c r="H864" s="21">
        <v>27.961643835616439</v>
      </c>
      <c r="I864" t="s">
        <v>1219</v>
      </c>
      <c r="J864" t="s">
        <v>4343</v>
      </c>
      <c r="K864" t="s">
        <v>4344</v>
      </c>
      <c r="L864">
        <v>3115114360</v>
      </c>
    </row>
    <row r="865" spans="1:12" x14ac:dyDescent="0.25">
      <c r="A865">
        <v>865</v>
      </c>
      <c r="B865" t="s">
        <v>2411</v>
      </c>
      <c r="C865" t="s">
        <v>1159</v>
      </c>
      <c r="D865" t="s">
        <v>1147</v>
      </c>
      <c r="E865" t="s">
        <v>141</v>
      </c>
      <c r="F865" t="s">
        <v>778</v>
      </c>
      <c r="G865" s="22">
        <v>21142</v>
      </c>
      <c r="H865" s="21">
        <v>63.663013698630138</v>
      </c>
      <c r="I865" t="s">
        <v>546</v>
      </c>
      <c r="J865" t="s">
        <v>3375</v>
      </c>
      <c r="K865" t="s">
        <v>3376</v>
      </c>
      <c r="L865">
        <v>3115093653</v>
      </c>
    </row>
    <row r="866" spans="1:12" x14ac:dyDescent="0.25">
      <c r="A866">
        <v>866</v>
      </c>
      <c r="B866" t="s">
        <v>1869</v>
      </c>
      <c r="C866" t="s">
        <v>1053</v>
      </c>
      <c r="D866" t="s">
        <v>1005</v>
      </c>
      <c r="E866" t="s">
        <v>145</v>
      </c>
      <c r="F866" t="s">
        <v>779</v>
      </c>
      <c r="G866" s="22">
        <v>31313</v>
      </c>
      <c r="H866" s="21">
        <v>35.797260273972604</v>
      </c>
      <c r="I866" t="s">
        <v>569</v>
      </c>
      <c r="J866" t="s">
        <v>4345</v>
      </c>
      <c r="K866" t="s">
        <v>4346</v>
      </c>
      <c r="L866">
        <v>3115093653</v>
      </c>
    </row>
    <row r="867" spans="1:12" x14ac:dyDescent="0.25">
      <c r="A867">
        <v>867</v>
      </c>
      <c r="B867" t="s">
        <v>2412</v>
      </c>
      <c r="C867" t="s">
        <v>359</v>
      </c>
      <c r="D867" t="s">
        <v>330</v>
      </c>
      <c r="E867" t="s">
        <v>807</v>
      </c>
      <c r="F867" t="s">
        <v>792</v>
      </c>
      <c r="G867" s="22">
        <v>34668</v>
      </c>
      <c r="H867" s="21">
        <v>26.605479452054794</v>
      </c>
      <c r="I867" t="s">
        <v>1167</v>
      </c>
      <c r="J867" t="s">
        <v>3377</v>
      </c>
      <c r="K867" t="s">
        <v>3378</v>
      </c>
      <c r="L867">
        <v>3115093598</v>
      </c>
    </row>
    <row r="868" spans="1:12" x14ac:dyDescent="0.25">
      <c r="A868">
        <v>868</v>
      </c>
      <c r="B868" t="s">
        <v>1870</v>
      </c>
      <c r="C868" t="s">
        <v>23</v>
      </c>
      <c r="D868" t="s">
        <v>960</v>
      </c>
      <c r="E868" t="s">
        <v>73</v>
      </c>
      <c r="F868" t="s">
        <v>475</v>
      </c>
      <c r="G868" s="22">
        <v>34297</v>
      </c>
      <c r="H868" s="21">
        <v>27.621917808219177</v>
      </c>
      <c r="I868" t="s">
        <v>1199</v>
      </c>
      <c r="J868" t="s">
        <v>4347</v>
      </c>
      <c r="K868" t="s">
        <v>4348</v>
      </c>
      <c r="L868">
        <v>3115093598</v>
      </c>
    </row>
    <row r="869" spans="1:12" x14ac:dyDescent="0.25">
      <c r="A869">
        <v>869</v>
      </c>
      <c r="B869" t="s">
        <v>2413</v>
      </c>
      <c r="C869" t="s">
        <v>341</v>
      </c>
      <c r="D869" t="s">
        <v>421</v>
      </c>
      <c r="E869" t="s">
        <v>297</v>
      </c>
      <c r="F869" t="s">
        <v>847</v>
      </c>
      <c r="G869" s="22">
        <v>29690</v>
      </c>
      <c r="H869" s="21">
        <v>40.243835616438353</v>
      </c>
      <c r="I869" t="s">
        <v>569</v>
      </c>
      <c r="J869" t="s">
        <v>3379</v>
      </c>
      <c r="K869" t="s">
        <v>3380</v>
      </c>
      <c r="L869">
        <v>3115093583</v>
      </c>
    </row>
    <row r="870" spans="1:12" x14ac:dyDescent="0.25">
      <c r="A870">
        <v>870</v>
      </c>
      <c r="B870" t="s">
        <v>1871</v>
      </c>
      <c r="C870" t="s">
        <v>482</v>
      </c>
      <c r="D870" t="s">
        <v>1054</v>
      </c>
      <c r="E870" t="s">
        <v>69</v>
      </c>
      <c r="F870" t="s">
        <v>680</v>
      </c>
      <c r="G870" s="22">
        <v>34758</v>
      </c>
      <c r="H870" s="21">
        <v>26.358904109589041</v>
      </c>
      <c r="I870" t="s">
        <v>1254</v>
      </c>
      <c r="J870" t="s">
        <v>4349</v>
      </c>
      <c r="K870" t="s">
        <v>4350</v>
      </c>
      <c r="L870">
        <v>3115093583</v>
      </c>
    </row>
    <row r="871" spans="1:12" x14ac:dyDescent="0.25">
      <c r="A871">
        <v>871</v>
      </c>
      <c r="B871" t="s">
        <v>2414</v>
      </c>
      <c r="C871" t="s">
        <v>1127</v>
      </c>
      <c r="D871" t="s">
        <v>1136</v>
      </c>
      <c r="E871" t="s">
        <v>795</v>
      </c>
      <c r="F871" t="s">
        <v>141</v>
      </c>
      <c r="G871" s="22">
        <v>26163</v>
      </c>
      <c r="H871" s="21">
        <v>49.906849315068492</v>
      </c>
      <c r="I871" t="s">
        <v>615</v>
      </c>
      <c r="J871" t="s">
        <v>3381</v>
      </c>
      <c r="K871" t="s">
        <v>3382</v>
      </c>
      <c r="L871">
        <v>3115092386</v>
      </c>
    </row>
    <row r="872" spans="1:12" x14ac:dyDescent="0.25">
      <c r="A872">
        <v>872</v>
      </c>
      <c r="B872" t="s">
        <v>1872</v>
      </c>
      <c r="C872" t="s">
        <v>24</v>
      </c>
      <c r="D872" t="s">
        <v>7</v>
      </c>
      <c r="E872" t="s">
        <v>79</v>
      </c>
      <c r="F872" t="s">
        <v>727</v>
      </c>
      <c r="G872" s="22">
        <v>30494</v>
      </c>
      <c r="H872" s="21">
        <v>38.041095890410958</v>
      </c>
      <c r="I872" t="s">
        <v>569</v>
      </c>
      <c r="J872" t="s">
        <v>4351</v>
      </c>
      <c r="K872" t="s">
        <v>4352</v>
      </c>
      <c r="L872">
        <v>3115092386</v>
      </c>
    </row>
    <row r="873" spans="1:12" x14ac:dyDescent="0.25">
      <c r="A873">
        <v>873</v>
      </c>
      <c r="B873" t="s">
        <v>2415</v>
      </c>
      <c r="C873" t="s">
        <v>866</v>
      </c>
      <c r="D873" t="s">
        <v>330</v>
      </c>
      <c r="E873" t="s">
        <v>725</v>
      </c>
      <c r="F873" t="s">
        <v>825</v>
      </c>
      <c r="G873" s="22">
        <v>35486</v>
      </c>
      <c r="H873" s="21">
        <v>24.364383561643837</v>
      </c>
      <c r="I873" t="s">
        <v>1359</v>
      </c>
      <c r="J873" t="s">
        <v>3383</v>
      </c>
      <c r="K873" t="s">
        <v>3384</v>
      </c>
      <c r="L873">
        <v>3115092375</v>
      </c>
    </row>
    <row r="874" spans="1:12" x14ac:dyDescent="0.25">
      <c r="A874">
        <v>874</v>
      </c>
      <c r="B874" t="s">
        <v>1873</v>
      </c>
      <c r="C874" t="s">
        <v>1021</v>
      </c>
      <c r="D874" t="s">
        <v>1035</v>
      </c>
      <c r="E874" t="s">
        <v>173</v>
      </c>
      <c r="F874" t="s">
        <v>683</v>
      </c>
      <c r="G874" s="22">
        <v>32718</v>
      </c>
      <c r="H874" s="21">
        <v>31.947945205479453</v>
      </c>
      <c r="I874" t="s">
        <v>1172</v>
      </c>
      <c r="J874" t="s">
        <v>4353</v>
      </c>
      <c r="K874" t="s">
        <v>4354</v>
      </c>
      <c r="L874">
        <v>3115092375</v>
      </c>
    </row>
    <row r="875" spans="1:12" x14ac:dyDescent="0.25">
      <c r="A875">
        <v>875</v>
      </c>
      <c r="B875" t="s">
        <v>2416</v>
      </c>
      <c r="C875" t="s">
        <v>401</v>
      </c>
      <c r="D875" t="s">
        <v>889</v>
      </c>
      <c r="E875" t="s">
        <v>796</v>
      </c>
      <c r="F875" t="s">
        <v>802</v>
      </c>
      <c r="G875" s="22">
        <v>27386</v>
      </c>
      <c r="H875" s="21">
        <v>46.556164383561644</v>
      </c>
      <c r="I875" t="s">
        <v>610</v>
      </c>
      <c r="J875" t="s">
        <v>3385</v>
      </c>
      <c r="K875" t="s">
        <v>3386</v>
      </c>
      <c r="L875">
        <v>3115092369</v>
      </c>
    </row>
    <row r="876" spans="1:12" x14ac:dyDescent="0.25">
      <c r="A876">
        <v>876</v>
      </c>
      <c r="B876" t="s">
        <v>1874</v>
      </c>
      <c r="C876" t="s">
        <v>971</v>
      </c>
      <c r="D876" t="s">
        <v>17</v>
      </c>
      <c r="E876" t="s">
        <v>83</v>
      </c>
      <c r="F876" t="s">
        <v>837</v>
      </c>
      <c r="G876" s="22">
        <v>27860</v>
      </c>
      <c r="H876" s="21">
        <v>45.257534246575339</v>
      </c>
      <c r="I876" t="s">
        <v>1173</v>
      </c>
      <c r="J876" t="s">
        <v>4355</v>
      </c>
      <c r="K876" t="s">
        <v>4356</v>
      </c>
      <c r="L876">
        <v>3115092369</v>
      </c>
    </row>
    <row r="877" spans="1:12" x14ac:dyDescent="0.25">
      <c r="A877">
        <v>877</v>
      </c>
      <c r="B877" t="s">
        <v>2417</v>
      </c>
      <c r="C877" t="s">
        <v>1160</v>
      </c>
      <c r="D877" t="s">
        <v>1161</v>
      </c>
      <c r="E877" t="s">
        <v>794</v>
      </c>
      <c r="F877" t="s">
        <v>741</v>
      </c>
      <c r="G877" s="22">
        <v>34309</v>
      </c>
      <c r="H877" s="21">
        <v>27.589041095890412</v>
      </c>
      <c r="I877" t="s">
        <v>1347</v>
      </c>
      <c r="J877" t="s">
        <v>3387</v>
      </c>
      <c r="K877" t="s">
        <v>3388</v>
      </c>
      <c r="L877">
        <v>3115092360</v>
      </c>
    </row>
    <row r="878" spans="1:12" x14ac:dyDescent="0.25">
      <c r="A878">
        <v>878</v>
      </c>
      <c r="B878" t="s">
        <v>1875</v>
      </c>
      <c r="C878" t="s">
        <v>1055</v>
      </c>
      <c r="D878" t="s">
        <v>134</v>
      </c>
      <c r="E878" t="s">
        <v>131</v>
      </c>
      <c r="F878" t="s">
        <v>838</v>
      </c>
      <c r="G878" s="22">
        <v>27719</v>
      </c>
      <c r="H878" s="21">
        <v>45.643835616438359</v>
      </c>
      <c r="I878" t="s">
        <v>1199</v>
      </c>
      <c r="J878" t="s">
        <v>4357</v>
      </c>
      <c r="K878" t="s">
        <v>4358</v>
      </c>
      <c r="L878">
        <v>3115092360</v>
      </c>
    </row>
    <row r="879" spans="1:12" x14ac:dyDescent="0.25">
      <c r="A879">
        <v>879</v>
      </c>
      <c r="B879" t="s">
        <v>2418</v>
      </c>
      <c r="C879" t="s">
        <v>399</v>
      </c>
      <c r="D879" t="s">
        <v>432</v>
      </c>
      <c r="E879" t="s">
        <v>61</v>
      </c>
      <c r="F879" t="s">
        <v>671</v>
      </c>
      <c r="G879" s="22">
        <v>36896</v>
      </c>
      <c r="H879" s="21">
        <v>20.5013698630137</v>
      </c>
      <c r="I879" t="s">
        <v>562</v>
      </c>
      <c r="J879" t="s">
        <v>3389</v>
      </c>
      <c r="K879" t="s">
        <v>3390</v>
      </c>
      <c r="L879">
        <v>3115092352</v>
      </c>
    </row>
    <row r="880" spans="1:12" x14ac:dyDescent="0.25">
      <c r="A880">
        <v>880</v>
      </c>
      <c r="B880" t="s">
        <v>1876</v>
      </c>
      <c r="C880" t="s">
        <v>1056</v>
      </c>
      <c r="D880" t="s">
        <v>616</v>
      </c>
      <c r="E880" t="s">
        <v>279</v>
      </c>
      <c r="F880" t="s">
        <v>755</v>
      </c>
      <c r="G880" s="22">
        <v>31885</v>
      </c>
      <c r="H880" s="21">
        <v>34.230136986301368</v>
      </c>
      <c r="I880" t="s">
        <v>575</v>
      </c>
      <c r="J880" t="s">
        <v>4359</v>
      </c>
      <c r="K880" t="s">
        <v>4360</v>
      </c>
      <c r="L880">
        <v>3115092352</v>
      </c>
    </row>
    <row r="881" spans="1:12" x14ac:dyDescent="0.25">
      <c r="A881">
        <v>881</v>
      </c>
      <c r="B881" t="s">
        <v>2419</v>
      </c>
      <c r="C881" t="s">
        <v>655</v>
      </c>
      <c r="D881" t="s">
        <v>649</v>
      </c>
      <c r="E881" t="s">
        <v>724</v>
      </c>
      <c r="F881" t="s">
        <v>804</v>
      </c>
      <c r="G881" s="22">
        <v>34430</v>
      </c>
      <c r="H881" s="21">
        <v>27.257534246575343</v>
      </c>
      <c r="I881" t="s">
        <v>579</v>
      </c>
      <c r="J881" t="s">
        <v>3391</v>
      </c>
      <c r="K881" t="s">
        <v>3392</v>
      </c>
      <c r="L881">
        <v>3115114930</v>
      </c>
    </row>
    <row r="882" spans="1:12" x14ac:dyDescent="0.25">
      <c r="A882">
        <v>882</v>
      </c>
      <c r="B882" t="s">
        <v>1877</v>
      </c>
      <c r="C882" t="s">
        <v>636</v>
      </c>
      <c r="D882" t="s">
        <v>1057</v>
      </c>
      <c r="E882" t="s">
        <v>144</v>
      </c>
      <c r="F882" t="s">
        <v>747</v>
      </c>
      <c r="G882" s="22">
        <v>35831</v>
      </c>
      <c r="H882" s="21">
        <v>23.419178082191781</v>
      </c>
      <c r="I882" t="s">
        <v>1178</v>
      </c>
      <c r="J882" t="s">
        <v>4361</v>
      </c>
      <c r="K882" t="s">
        <v>4362</v>
      </c>
      <c r="L882">
        <v>3115114930</v>
      </c>
    </row>
    <row r="883" spans="1:12" x14ac:dyDescent="0.25">
      <c r="A883">
        <v>883</v>
      </c>
      <c r="B883" t="s">
        <v>2420</v>
      </c>
      <c r="C883" t="s">
        <v>659</v>
      </c>
      <c r="D883" t="s">
        <v>486</v>
      </c>
      <c r="E883" t="s">
        <v>813</v>
      </c>
      <c r="F883" t="s">
        <v>833</v>
      </c>
      <c r="G883" s="22">
        <v>24045</v>
      </c>
      <c r="H883" s="21">
        <v>55.709589041095889</v>
      </c>
      <c r="I883" t="s">
        <v>536</v>
      </c>
      <c r="J883" t="s">
        <v>3393</v>
      </c>
      <c r="K883" t="s">
        <v>3394</v>
      </c>
      <c r="L883">
        <v>3115114916</v>
      </c>
    </row>
    <row r="884" spans="1:12" x14ac:dyDescent="0.25">
      <c r="A884">
        <v>884</v>
      </c>
      <c r="B884" t="s">
        <v>1878</v>
      </c>
      <c r="C884" t="s">
        <v>1058</v>
      </c>
      <c r="D884" t="s">
        <v>963</v>
      </c>
      <c r="E884" t="s">
        <v>251</v>
      </c>
      <c r="F884" t="s">
        <v>682</v>
      </c>
      <c r="G884" s="22">
        <v>31959</v>
      </c>
      <c r="H884" s="21">
        <v>34.027397260273972</v>
      </c>
      <c r="I884" t="s">
        <v>1191</v>
      </c>
      <c r="J884" t="s">
        <v>4363</v>
      </c>
      <c r="K884" t="s">
        <v>4364</v>
      </c>
      <c r="L884">
        <v>3115114916</v>
      </c>
    </row>
    <row r="885" spans="1:12" x14ac:dyDescent="0.25">
      <c r="A885">
        <v>885</v>
      </c>
      <c r="B885" t="s">
        <v>2421</v>
      </c>
      <c r="C885" t="s">
        <v>483</v>
      </c>
      <c r="D885" t="s">
        <v>669</v>
      </c>
      <c r="E885" t="s">
        <v>748</v>
      </c>
      <c r="F885" t="s">
        <v>781</v>
      </c>
      <c r="G885" s="22">
        <v>25761</v>
      </c>
      <c r="H885" s="21">
        <v>51.008219178082193</v>
      </c>
      <c r="I885" t="s">
        <v>580</v>
      </c>
      <c r="J885" t="s">
        <v>3395</v>
      </c>
      <c r="K885" t="s">
        <v>3396</v>
      </c>
      <c r="L885">
        <v>3115114911</v>
      </c>
    </row>
    <row r="886" spans="1:12" x14ac:dyDescent="0.25">
      <c r="A886">
        <v>886</v>
      </c>
      <c r="B886" t="s">
        <v>1879</v>
      </c>
      <c r="C886" t="s">
        <v>25</v>
      </c>
      <c r="D886" t="s">
        <v>195</v>
      </c>
      <c r="E886" t="s">
        <v>153</v>
      </c>
      <c r="F886" t="s">
        <v>297</v>
      </c>
      <c r="G886" s="22">
        <v>27353</v>
      </c>
      <c r="H886" s="21">
        <v>46.646575342465752</v>
      </c>
      <c r="I886" t="s">
        <v>609</v>
      </c>
      <c r="J886" t="s">
        <v>4365</v>
      </c>
      <c r="K886" t="s">
        <v>4366</v>
      </c>
      <c r="L886">
        <v>3115114911</v>
      </c>
    </row>
    <row r="887" spans="1:12" x14ac:dyDescent="0.25">
      <c r="A887">
        <v>887</v>
      </c>
      <c r="B887" t="s">
        <v>2422</v>
      </c>
      <c r="C887" t="s">
        <v>399</v>
      </c>
      <c r="D887" t="s">
        <v>339</v>
      </c>
      <c r="E887" t="s">
        <v>670</v>
      </c>
      <c r="F887" t="s">
        <v>842</v>
      </c>
      <c r="G887" s="22">
        <v>21194</v>
      </c>
      <c r="H887" s="21">
        <v>63.520547945205479</v>
      </c>
      <c r="I887" t="s">
        <v>549</v>
      </c>
      <c r="J887" t="s">
        <v>3397</v>
      </c>
      <c r="K887" t="s">
        <v>3398</v>
      </c>
      <c r="L887">
        <v>3115114910</v>
      </c>
    </row>
    <row r="888" spans="1:12" x14ac:dyDescent="0.25">
      <c r="A888">
        <v>888</v>
      </c>
      <c r="B888" t="s">
        <v>1880</v>
      </c>
      <c r="C888" t="s">
        <v>616</v>
      </c>
      <c r="D888" t="s">
        <v>897</v>
      </c>
      <c r="E888" t="s">
        <v>166</v>
      </c>
      <c r="F888" t="s">
        <v>244</v>
      </c>
      <c r="G888" s="22">
        <v>32383</v>
      </c>
      <c r="H888" s="21">
        <v>32.865753424657534</v>
      </c>
      <c r="I888" t="s">
        <v>1170</v>
      </c>
      <c r="J888" t="s">
        <v>4367</v>
      </c>
      <c r="K888" t="s">
        <v>4368</v>
      </c>
      <c r="L888">
        <v>3115114910</v>
      </c>
    </row>
    <row r="889" spans="1:12" x14ac:dyDescent="0.25">
      <c r="A889">
        <v>889</v>
      </c>
      <c r="B889" t="s">
        <v>2423</v>
      </c>
      <c r="C889" t="s">
        <v>483</v>
      </c>
      <c r="D889" t="s">
        <v>486</v>
      </c>
      <c r="E889" t="s">
        <v>757</v>
      </c>
      <c r="F889" t="s">
        <v>728</v>
      </c>
      <c r="G889" s="22">
        <v>25948</v>
      </c>
      <c r="H889" s="21">
        <v>50.495890410958907</v>
      </c>
      <c r="I889" t="s">
        <v>575</v>
      </c>
      <c r="J889" t="s">
        <v>3399</v>
      </c>
      <c r="K889" t="s">
        <v>3400</v>
      </c>
      <c r="L889">
        <v>3115114909</v>
      </c>
    </row>
    <row r="890" spans="1:12" x14ac:dyDescent="0.25">
      <c r="A890">
        <v>890</v>
      </c>
      <c r="B890" t="s">
        <v>1881</v>
      </c>
      <c r="C890" t="s">
        <v>1059</v>
      </c>
      <c r="D890" t="s">
        <v>1060</v>
      </c>
      <c r="E890" t="s">
        <v>121</v>
      </c>
      <c r="F890" t="s">
        <v>42</v>
      </c>
      <c r="G890" s="22">
        <v>37385</v>
      </c>
      <c r="H890" s="21">
        <v>19.161643835616438</v>
      </c>
      <c r="I890" t="s">
        <v>580</v>
      </c>
      <c r="J890" t="s">
        <v>4369</v>
      </c>
      <c r="K890" t="s">
        <v>4370</v>
      </c>
      <c r="L890">
        <v>3115114909</v>
      </c>
    </row>
    <row r="891" spans="1:12" x14ac:dyDescent="0.25">
      <c r="A891">
        <v>891</v>
      </c>
      <c r="B891" t="s">
        <v>2424</v>
      </c>
      <c r="C891" t="s">
        <v>431</v>
      </c>
      <c r="D891" t="s">
        <v>493</v>
      </c>
      <c r="E891" t="s">
        <v>681</v>
      </c>
      <c r="F891" t="s">
        <v>774</v>
      </c>
      <c r="G891" s="22">
        <v>34559</v>
      </c>
      <c r="H891" s="21">
        <v>26.904109589041095</v>
      </c>
      <c r="I891" t="s">
        <v>1342</v>
      </c>
      <c r="J891" t="s">
        <v>3401</v>
      </c>
      <c r="K891" t="s">
        <v>3402</v>
      </c>
      <c r="L891">
        <v>3115060130</v>
      </c>
    </row>
    <row r="892" spans="1:12" x14ac:dyDescent="0.25">
      <c r="A892">
        <v>892</v>
      </c>
      <c r="B892" t="s">
        <v>1882</v>
      </c>
      <c r="C892" t="s">
        <v>1061</v>
      </c>
      <c r="D892" t="s">
        <v>1062</v>
      </c>
      <c r="E892" t="s">
        <v>104</v>
      </c>
      <c r="F892" t="s">
        <v>474</v>
      </c>
      <c r="G892" s="22">
        <v>26411</v>
      </c>
      <c r="H892" s="21">
        <v>49.227397260273975</v>
      </c>
      <c r="I892" t="s">
        <v>1181</v>
      </c>
      <c r="J892" t="s">
        <v>4371</v>
      </c>
      <c r="K892" t="s">
        <v>4372</v>
      </c>
      <c r="L892">
        <v>3115060130</v>
      </c>
    </row>
    <row r="893" spans="1:12" x14ac:dyDescent="0.25">
      <c r="A893">
        <v>893</v>
      </c>
      <c r="B893" t="s">
        <v>2425</v>
      </c>
      <c r="C893" t="s">
        <v>1114</v>
      </c>
      <c r="D893" t="s">
        <v>855</v>
      </c>
      <c r="E893" t="s">
        <v>238</v>
      </c>
      <c r="F893" t="s">
        <v>846</v>
      </c>
      <c r="G893" s="22">
        <v>25165</v>
      </c>
      <c r="H893" s="21">
        <v>52.641095890410959</v>
      </c>
      <c r="I893" t="s">
        <v>1363</v>
      </c>
      <c r="J893" t="s">
        <v>3403</v>
      </c>
      <c r="K893" t="s">
        <v>3404</v>
      </c>
      <c r="L893">
        <v>3115060125</v>
      </c>
    </row>
    <row r="894" spans="1:12" x14ac:dyDescent="0.25">
      <c r="A894">
        <v>894</v>
      </c>
      <c r="B894" t="s">
        <v>1883</v>
      </c>
      <c r="C894" t="s">
        <v>26</v>
      </c>
      <c r="D894" t="s">
        <v>7</v>
      </c>
      <c r="E894" t="s">
        <v>40</v>
      </c>
      <c r="F894" t="s">
        <v>817</v>
      </c>
      <c r="G894" s="22">
        <v>34173</v>
      </c>
      <c r="H894" s="21">
        <v>27.961643835616439</v>
      </c>
      <c r="I894" t="s">
        <v>1270</v>
      </c>
      <c r="J894" t="s">
        <v>4373</v>
      </c>
      <c r="K894" t="s">
        <v>4374</v>
      </c>
      <c r="L894">
        <v>3115060125</v>
      </c>
    </row>
    <row r="895" spans="1:12" x14ac:dyDescent="0.25">
      <c r="A895">
        <v>895</v>
      </c>
      <c r="B895" t="s">
        <v>2426</v>
      </c>
      <c r="C895" t="s">
        <v>341</v>
      </c>
      <c r="D895" t="s">
        <v>664</v>
      </c>
      <c r="E895" t="s">
        <v>458</v>
      </c>
      <c r="F895" t="s">
        <v>821</v>
      </c>
      <c r="G895" s="22">
        <v>34232</v>
      </c>
      <c r="H895" s="21">
        <v>27.8</v>
      </c>
      <c r="I895" t="s">
        <v>586</v>
      </c>
      <c r="J895" t="s">
        <v>3405</v>
      </c>
      <c r="K895" t="s">
        <v>3406</v>
      </c>
      <c r="L895">
        <v>3115060110</v>
      </c>
    </row>
    <row r="896" spans="1:12" x14ac:dyDescent="0.25">
      <c r="A896">
        <v>896</v>
      </c>
      <c r="B896" t="s">
        <v>1884</v>
      </c>
      <c r="C896" t="s">
        <v>1063</v>
      </c>
      <c r="D896" t="s">
        <v>31</v>
      </c>
      <c r="E896" t="s">
        <v>291</v>
      </c>
      <c r="F896" t="s">
        <v>766</v>
      </c>
      <c r="G896" s="22">
        <v>28170</v>
      </c>
      <c r="H896" s="21">
        <v>44.408219178082192</v>
      </c>
      <c r="I896" t="s">
        <v>1271</v>
      </c>
      <c r="J896" t="s">
        <v>4375</v>
      </c>
      <c r="K896" t="s">
        <v>4376</v>
      </c>
      <c r="L896">
        <v>3115060110</v>
      </c>
    </row>
    <row r="897" spans="1:12" x14ac:dyDescent="0.25">
      <c r="A897">
        <v>897</v>
      </c>
      <c r="B897" t="s">
        <v>2427</v>
      </c>
      <c r="C897" t="s">
        <v>431</v>
      </c>
      <c r="D897" t="s">
        <v>1136</v>
      </c>
      <c r="E897" t="s">
        <v>714</v>
      </c>
      <c r="F897" t="s">
        <v>746</v>
      </c>
      <c r="G897" s="22">
        <v>28254</v>
      </c>
      <c r="H897" s="21">
        <v>44.178082191780824</v>
      </c>
      <c r="I897" t="s">
        <v>561</v>
      </c>
      <c r="J897" t="s">
        <v>3407</v>
      </c>
      <c r="K897" t="s">
        <v>3408</v>
      </c>
      <c r="L897">
        <v>3115060091</v>
      </c>
    </row>
    <row r="898" spans="1:12" x14ac:dyDescent="0.25">
      <c r="A898">
        <v>898</v>
      </c>
      <c r="B898" t="s">
        <v>1885</v>
      </c>
      <c r="C898" t="s">
        <v>27</v>
      </c>
      <c r="D898" t="s">
        <v>306</v>
      </c>
      <c r="E898" t="s">
        <v>180</v>
      </c>
      <c r="F898" t="s">
        <v>807</v>
      </c>
      <c r="G898" s="22">
        <v>33078</v>
      </c>
      <c r="H898" s="21">
        <v>30.961643835616439</v>
      </c>
      <c r="I898" t="s">
        <v>1272</v>
      </c>
      <c r="J898" t="s">
        <v>4377</v>
      </c>
      <c r="K898" t="s">
        <v>4378</v>
      </c>
      <c r="L898">
        <v>3115060091</v>
      </c>
    </row>
    <row r="899" spans="1:12" x14ac:dyDescent="0.25">
      <c r="A899">
        <v>899</v>
      </c>
      <c r="B899" t="s">
        <v>2428</v>
      </c>
      <c r="C899" t="s">
        <v>1111</v>
      </c>
      <c r="D899" t="s">
        <v>353</v>
      </c>
      <c r="E899" t="s">
        <v>843</v>
      </c>
      <c r="F899" t="s">
        <v>729</v>
      </c>
      <c r="G899" s="22">
        <v>24980</v>
      </c>
      <c r="H899" s="21">
        <v>53.147945205479452</v>
      </c>
      <c r="I899" t="s">
        <v>612</v>
      </c>
      <c r="J899" t="s">
        <v>3409</v>
      </c>
      <c r="K899" t="s">
        <v>3410</v>
      </c>
      <c r="L899">
        <v>3115060080</v>
      </c>
    </row>
    <row r="900" spans="1:12" x14ac:dyDescent="0.25">
      <c r="A900">
        <v>900</v>
      </c>
      <c r="B900" t="s">
        <v>1886</v>
      </c>
      <c r="C900" t="s">
        <v>1064</v>
      </c>
      <c r="D900" t="s">
        <v>13</v>
      </c>
      <c r="E900" t="s">
        <v>171</v>
      </c>
      <c r="F900" t="s">
        <v>710</v>
      </c>
      <c r="G900" s="22">
        <v>31844</v>
      </c>
      <c r="H900" s="21">
        <v>34.342465753424655</v>
      </c>
      <c r="I900" t="s">
        <v>1183</v>
      </c>
      <c r="J900" t="s">
        <v>4379</v>
      </c>
      <c r="K900" t="s">
        <v>4380</v>
      </c>
      <c r="L900">
        <v>3115060080</v>
      </c>
    </row>
    <row r="901" spans="1:12" x14ac:dyDescent="0.25">
      <c r="A901">
        <v>901</v>
      </c>
      <c r="B901" t="s">
        <v>2429</v>
      </c>
      <c r="C901" t="s">
        <v>431</v>
      </c>
      <c r="D901" t="s">
        <v>483</v>
      </c>
      <c r="E901" t="s">
        <v>721</v>
      </c>
      <c r="F901" t="s">
        <v>687</v>
      </c>
      <c r="G901" s="22">
        <v>21278</v>
      </c>
      <c r="H901" s="21">
        <v>63.290410958904111</v>
      </c>
      <c r="I901" t="s">
        <v>1252</v>
      </c>
      <c r="J901" t="s">
        <v>3411</v>
      </c>
      <c r="K901" t="s">
        <v>3412</v>
      </c>
      <c r="L901">
        <v>3115114385</v>
      </c>
    </row>
    <row r="902" spans="1:12" x14ac:dyDescent="0.25">
      <c r="A902">
        <v>902</v>
      </c>
      <c r="B902" t="s">
        <v>1887</v>
      </c>
      <c r="C902" t="s">
        <v>1065</v>
      </c>
      <c r="D902" t="s">
        <v>896</v>
      </c>
      <c r="E902" t="s">
        <v>183</v>
      </c>
      <c r="F902" t="s">
        <v>763</v>
      </c>
      <c r="G902" s="22">
        <v>26326</v>
      </c>
      <c r="H902" s="21">
        <v>49.460273972602742</v>
      </c>
      <c r="I902" t="s">
        <v>1273</v>
      </c>
      <c r="J902" t="s">
        <v>4381</v>
      </c>
      <c r="K902" t="s">
        <v>4382</v>
      </c>
      <c r="L902">
        <v>3115114385</v>
      </c>
    </row>
    <row r="903" spans="1:12" x14ac:dyDescent="0.25">
      <c r="A903">
        <v>903</v>
      </c>
      <c r="B903" t="s">
        <v>2430</v>
      </c>
      <c r="C903" t="s">
        <v>409</v>
      </c>
      <c r="D903" t="s">
        <v>508</v>
      </c>
      <c r="E903" t="s">
        <v>798</v>
      </c>
      <c r="F903" t="s">
        <v>765</v>
      </c>
      <c r="G903" s="22">
        <v>33922</v>
      </c>
      <c r="H903" s="21">
        <v>28.649315068493152</v>
      </c>
      <c r="I903" t="s">
        <v>571</v>
      </c>
      <c r="J903" t="s">
        <v>3413</v>
      </c>
      <c r="K903" t="s">
        <v>3414</v>
      </c>
      <c r="L903">
        <v>3115114360</v>
      </c>
    </row>
    <row r="904" spans="1:12" x14ac:dyDescent="0.25">
      <c r="A904">
        <v>904</v>
      </c>
      <c r="B904" t="s">
        <v>1888</v>
      </c>
      <c r="C904" t="s">
        <v>1066</v>
      </c>
      <c r="D904" t="s">
        <v>28</v>
      </c>
      <c r="E904" t="s">
        <v>292</v>
      </c>
      <c r="F904" t="s">
        <v>753</v>
      </c>
      <c r="G904" s="22">
        <v>31327</v>
      </c>
      <c r="H904" s="21">
        <v>35.758904109589039</v>
      </c>
      <c r="I904" t="s">
        <v>1274</v>
      </c>
      <c r="J904" t="s">
        <v>4383</v>
      </c>
      <c r="K904" t="s">
        <v>4384</v>
      </c>
      <c r="L904">
        <v>3115114360</v>
      </c>
    </row>
    <row r="905" spans="1:12" x14ac:dyDescent="0.25">
      <c r="A905">
        <v>905</v>
      </c>
      <c r="B905" t="s">
        <v>2431</v>
      </c>
      <c r="C905" t="s">
        <v>353</v>
      </c>
      <c r="D905" t="s">
        <v>446</v>
      </c>
      <c r="E905" t="s">
        <v>744</v>
      </c>
      <c r="F905" t="s">
        <v>812</v>
      </c>
      <c r="G905" s="22">
        <v>34322</v>
      </c>
      <c r="H905" s="21">
        <v>27.553424657534247</v>
      </c>
      <c r="I905" t="s">
        <v>585</v>
      </c>
      <c r="J905" t="s">
        <v>3415</v>
      </c>
      <c r="K905" t="s">
        <v>3416</v>
      </c>
      <c r="L905">
        <v>3115093653</v>
      </c>
    </row>
    <row r="906" spans="1:12" x14ac:dyDescent="0.25">
      <c r="A906">
        <v>906</v>
      </c>
      <c r="B906" t="s">
        <v>1889</v>
      </c>
      <c r="C906" t="s">
        <v>1067</v>
      </c>
      <c r="D906" t="s">
        <v>1068</v>
      </c>
      <c r="E906" t="s">
        <v>201</v>
      </c>
      <c r="F906" t="s">
        <v>757</v>
      </c>
      <c r="G906" s="22">
        <v>26041</v>
      </c>
      <c r="H906" s="21">
        <v>50.241095890410961</v>
      </c>
      <c r="I906" t="s">
        <v>580</v>
      </c>
      <c r="J906" t="s">
        <v>4385</v>
      </c>
      <c r="K906" t="s">
        <v>4386</v>
      </c>
      <c r="L906">
        <v>3115093653</v>
      </c>
    </row>
    <row r="907" spans="1:12" x14ac:dyDescent="0.25">
      <c r="A907">
        <v>907</v>
      </c>
      <c r="B907" t="s">
        <v>2432</v>
      </c>
      <c r="C907" t="s">
        <v>359</v>
      </c>
      <c r="D907" t="s">
        <v>356</v>
      </c>
      <c r="E907" t="s">
        <v>847</v>
      </c>
      <c r="F907" t="s">
        <v>828</v>
      </c>
      <c r="G907" s="22">
        <v>32398</v>
      </c>
      <c r="H907" s="21">
        <v>32.824657534246576</v>
      </c>
      <c r="I907" t="s">
        <v>1411</v>
      </c>
      <c r="J907" t="s">
        <v>3417</v>
      </c>
      <c r="K907" t="s">
        <v>3418</v>
      </c>
      <c r="L907">
        <v>3115093598</v>
      </c>
    </row>
    <row r="908" spans="1:12" x14ac:dyDescent="0.25">
      <c r="A908">
        <v>908</v>
      </c>
      <c r="B908" t="s">
        <v>1890</v>
      </c>
      <c r="C908" t="s">
        <v>1069</v>
      </c>
      <c r="D908" t="s">
        <v>1070</v>
      </c>
      <c r="E908" t="s">
        <v>186</v>
      </c>
      <c r="F908" t="s">
        <v>743</v>
      </c>
      <c r="G908" s="22">
        <v>27396</v>
      </c>
      <c r="H908" s="21">
        <v>46.528767123287672</v>
      </c>
      <c r="I908" t="s">
        <v>1275</v>
      </c>
      <c r="J908" t="s">
        <v>4387</v>
      </c>
      <c r="K908" t="s">
        <v>4388</v>
      </c>
      <c r="L908">
        <v>3115093598</v>
      </c>
    </row>
    <row r="909" spans="1:12" x14ac:dyDescent="0.25">
      <c r="A909">
        <v>909</v>
      </c>
      <c r="B909" t="s">
        <v>2433</v>
      </c>
      <c r="C909" t="s">
        <v>1111</v>
      </c>
      <c r="D909" t="s">
        <v>1162</v>
      </c>
      <c r="E909" t="s">
        <v>805</v>
      </c>
      <c r="F909" t="s">
        <v>744</v>
      </c>
      <c r="G909" s="22">
        <v>30301</v>
      </c>
      <c r="H909" s="21">
        <v>38.56986301369863</v>
      </c>
      <c r="I909" t="s">
        <v>565</v>
      </c>
      <c r="J909" t="s">
        <v>3419</v>
      </c>
      <c r="K909" t="s">
        <v>3420</v>
      </c>
      <c r="L909">
        <v>3115093583</v>
      </c>
    </row>
    <row r="910" spans="1:12" x14ac:dyDescent="0.25">
      <c r="A910">
        <v>910</v>
      </c>
      <c r="B910" t="s">
        <v>1891</v>
      </c>
      <c r="C910" t="s">
        <v>916</v>
      </c>
      <c r="D910" t="s">
        <v>1071</v>
      </c>
      <c r="E910" t="s">
        <v>180</v>
      </c>
      <c r="F910" t="s">
        <v>770</v>
      </c>
      <c r="G910" s="22">
        <v>30546</v>
      </c>
      <c r="H910" s="21">
        <v>37.898630136986299</v>
      </c>
      <c r="I910" t="s">
        <v>1276</v>
      </c>
      <c r="J910" t="s">
        <v>4389</v>
      </c>
      <c r="K910" t="s">
        <v>4390</v>
      </c>
      <c r="L910">
        <v>3115093583</v>
      </c>
    </row>
    <row r="911" spans="1:12" x14ac:dyDescent="0.25">
      <c r="A911">
        <v>911</v>
      </c>
      <c r="B911" t="s">
        <v>2434</v>
      </c>
      <c r="C911" t="s">
        <v>330</v>
      </c>
      <c r="D911" t="s">
        <v>479</v>
      </c>
      <c r="E911" t="s">
        <v>839</v>
      </c>
      <c r="F911" t="s">
        <v>759</v>
      </c>
      <c r="G911" s="22">
        <v>26630</v>
      </c>
      <c r="H911" s="21">
        <v>48.627397260273973</v>
      </c>
      <c r="I911" t="s">
        <v>1403</v>
      </c>
      <c r="J911" t="s">
        <v>3421</v>
      </c>
      <c r="K911" t="s">
        <v>3422</v>
      </c>
      <c r="L911">
        <v>3115092386</v>
      </c>
    </row>
    <row r="912" spans="1:12" x14ac:dyDescent="0.25">
      <c r="A912">
        <v>912</v>
      </c>
      <c r="B912" t="s">
        <v>1892</v>
      </c>
      <c r="C912" t="s">
        <v>29</v>
      </c>
      <c r="D912" t="s">
        <v>78</v>
      </c>
      <c r="E912" t="s">
        <v>158</v>
      </c>
      <c r="F912" t="s">
        <v>726</v>
      </c>
      <c r="G912" s="22">
        <v>32556</v>
      </c>
      <c r="H912" s="21">
        <v>32.391780821917806</v>
      </c>
      <c r="I912" t="s">
        <v>1277</v>
      </c>
      <c r="J912" t="s">
        <v>4391</v>
      </c>
      <c r="K912" t="s">
        <v>4392</v>
      </c>
      <c r="L912">
        <v>3115092386</v>
      </c>
    </row>
    <row r="913" spans="1:12" x14ac:dyDescent="0.25">
      <c r="A913">
        <v>913</v>
      </c>
      <c r="B913" t="s">
        <v>2435</v>
      </c>
      <c r="C913" t="s">
        <v>660</v>
      </c>
      <c r="D913" t="s">
        <v>511</v>
      </c>
      <c r="E913" t="s">
        <v>673</v>
      </c>
      <c r="F913" t="s">
        <v>235</v>
      </c>
      <c r="G913" s="22">
        <v>24349</v>
      </c>
      <c r="H913" s="21">
        <v>54.876712328767127</v>
      </c>
      <c r="I913" t="s">
        <v>584</v>
      </c>
      <c r="J913" t="s">
        <v>3423</v>
      </c>
      <c r="K913" t="s">
        <v>3424</v>
      </c>
      <c r="L913">
        <v>3115092375</v>
      </c>
    </row>
    <row r="914" spans="1:12" x14ac:dyDescent="0.25">
      <c r="A914">
        <v>914</v>
      </c>
      <c r="B914" t="s">
        <v>1893</v>
      </c>
      <c r="C914" t="s">
        <v>1072</v>
      </c>
      <c r="D914" t="s">
        <v>1051</v>
      </c>
      <c r="E914" t="s">
        <v>168</v>
      </c>
      <c r="F914" t="s">
        <v>712</v>
      </c>
      <c r="G914" s="22">
        <v>34760</v>
      </c>
      <c r="H914" s="21">
        <v>26.353424657534248</v>
      </c>
      <c r="I914" t="s">
        <v>1278</v>
      </c>
      <c r="J914" t="s">
        <v>4393</v>
      </c>
      <c r="K914" t="s">
        <v>4394</v>
      </c>
      <c r="L914">
        <v>3115092375</v>
      </c>
    </row>
    <row r="915" spans="1:12" x14ac:dyDescent="0.25">
      <c r="A915">
        <v>915</v>
      </c>
      <c r="B915" t="s">
        <v>2436</v>
      </c>
      <c r="C915" t="s">
        <v>880</v>
      </c>
      <c r="D915" t="s">
        <v>364</v>
      </c>
      <c r="E915" t="s">
        <v>814</v>
      </c>
      <c r="F915" t="s">
        <v>714</v>
      </c>
      <c r="G915" s="22">
        <v>21734</v>
      </c>
      <c r="H915" s="21">
        <v>62.041095890410958</v>
      </c>
      <c r="I915" t="s">
        <v>1352</v>
      </c>
      <c r="J915" t="s">
        <v>3425</v>
      </c>
      <c r="K915" t="s">
        <v>3426</v>
      </c>
      <c r="L915">
        <v>3115092369</v>
      </c>
    </row>
    <row r="916" spans="1:12" x14ac:dyDescent="0.25">
      <c r="A916">
        <v>916</v>
      </c>
      <c r="B916" t="s">
        <v>1894</v>
      </c>
      <c r="C916" t="s">
        <v>1006</v>
      </c>
      <c r="D916" t="s">
        <v>50</v>
      </c>
      <c r="E916" t="s">
        <v>293</v>
      </c>
      <c r="F916" t="s">
        <v>793</v>
      </c>
      <c r="G916" s="22">
        <v>31109</v>
      </c>
      <c r="H916" s="21">
        <v>36.356164383561641</v>
      </c>
      <c r="I916" t="s">
        <v>1279</v>
      </c>
      <c r="J916" t="s">
        <v>4395</v>
      </c>
      <c r="K916" t="s">
        <v>4396</v>
      </c>
      <c r="L916">
        <v>3115092369</v>
      </c>
    </row>
    <row r="917" spans="1:12" x14ac:dyDescent="0.25">
      <c r="A917">
        <v>917</v>
      </c>
      <c r="B917" t="s">
        <v>2437</v>
      </c>
      <c r="C917" t="s">
        <v>332</v>
      </c>
      <c r="D917" t="s">
        <v>1429</v>
      </c>
      <c r="E917" t="s">
        <v>825</v>
      </c>
      <c r="F917" t="s">
        <v>844</v>
      </c>
      <c r="G917" s="22">
        <v>31881</v>
      </c>
      <c r="H917" s="21">
        <v>34.241095890410961</v>
      </c>
      <c r="I917" t="s">
        <v>1381</v>
      </c>
      <c r="J917" t="s">
        <v>3427</v>
      </c>
      <c r="K917" t="s">
        <v>3428</v>
      </c>
      <c r="L917">
        <v>3115092360</v>
      </c>
    </row>
    <row r="918" spans="1:12" x14ac:dyDescent="0.25">
      <c r="A918">
        <v>918</v>
      </c>
      <c r="B918" t="s">
        <v>1895</v>
      </c>
      <c r="C918" t="s">
        <v>30</v>
      </c>
      <c r="D918" t="s">
        <v>78</v>
      </c>
      <c r="E918" t="s">
        <v>197</v>
      </c>
      <c r="F918" t="s">
        <v>810</v>
      </c>
      <c r="G918" s="22">
        <v>26856</v>
      </c>
      <c r="H918" s="21">
        <v>48.008219178082193</v>
      </c>
      <c r="I918" t="s">
        <v>1280</v>
      </c>
      <c r="J918" t="s">
        <v>4397</v>
      </c>
      <c r="K918" t="s">
        <v>4398</v>
      </c>
      <c r="L918">
        <v>3115092360</v>
      </c>
    </row>
    <row r="919" spans="1:12" x14ac:dyDescent="0.25">
      <c r="A919">
        <v>919</v>
      </c>
      <c r="B919" t="s">
        <v>2438</v>
      </c>
      <c r="C919" t="s">
        <v>424</v>
      </c>
      <c r="D919" t="s">
        <v>16</v>
      </c>
      <c r="E919" t="s">
        <v>686</v>
      </c>
      <c r="F919" t="s">
        <v>761</v>
      </c>
      <c r="G919" s="22">
        <v>26503</v>
      </c>
      <c r="H919" s="21">
        <v>48.975342465753428</v>
      </c>
      <c r="I919" t="s">
        <v>566</v>
      </c>
      <c r="J919" t="s">
        <v>3429</v>
      </c>
      <c r="K919" t="s">
        <v>3430</v>
      </c>
      <c r="L919">
        <v>3115092352</v>
      </c>
    </row>
    <row r="920" spans="1:12" x14ac:dyDescent="0.25">
      <c r="A920">
        <v>920</v>
      </c>
      <c r="B920" t="s">
        <v>1896</v>
      </c>
      <c r="C920" t="s">
        <v>31</v>
      </c>
      <c r="D920" t="s">
        <v>36</v>
      </c>
      <c r="E920" t="s">
        <v>56</v>
      </c>
      <c r="F920" t="s">
        <v>61</v>
      </c>
      <c r="G920" s="22">
        <v>32808</v>
      </c>
      <c r="H920" s="21">
        <v>31.701369863013699</v>
      </c>
      <c r="I920" t="s">
        <v>1281</v>
      </c>
      <c r="J920" t="s">
        <v>4399</v>
      </c>
      <c r="K920" t="s">
        <v>4400</v>
      </c>
      <c r="L920">
        <v>3115092352</v>
      </c>
    </row>
    <row r="921" spans="1:12" x14ac:dyDescent="0.25">
      <c r="A921">
        <v>921</v>
      </c>
      <c r="B921" t="s">
        <v>2439</v>
      </c>
      <c r="C921" t="s">
        <v>483</v>
      </c>
      <c r="D921" t="s">
        <v>369</v>
      </c>
      <c r="E921" t="s">
        <v>802</v>
      </c>
      <c r="F921" t="s">
        <v>803</v>
      </c>
      <c r="G921" s="22">
        <v>29613</v>
      </c>
      <c r="H921" s="21">
        <v>40.454794520547942</v>
      </c>
      <c r="I921" t="s">
        <v>571</v>
      </c>
      <c r="J921" t="s">
        <v>3431</v>
      </c>
      <c r="K921" t="s">
        <v>3432</v>
      </c>
      <c r="L921">
        <v>3115114930</v>
      </c>
    </row>
    <row r="922" spans="1:12" x14ac:dyDescent="0.25">
      <c r="A922">
        <v>922</v>
      </c>
      <c r="B922" t="s">
        <v>1897</v>
      </c>
      <c r="C922" t="s">
        <v>973</v>
      </c>
      <c r="D922" t="s">
        <v>122</v>
      </c>
      <c r="E922" t="s">
        <v>117</v>
      </c>
      <c r="F922" t="s">
        <v>470</v>
      </c>
      <c r="G922" s="22">
        <v>32560</v>
      </c>
      <c r="H922" s="21">
        <v>32.38082191780822</v>
      </c>
      <c r="I922" t="s">
        <v>1282</v>
      </c>
      <c r="J922" t="s">
        <v>4401</v>
      </c>
      <c r="K922" t="s">
        <v>4402</v>
      </c>
      <c r="L922">
        <v>3115114930</v>
      </c>
    </row>
    <row r="923" spans="1:12" x14ac:dyDescent="0.25">
      <c r="A923">
        <v>923</v>
      </c>
      <c r="B923" t="s">
        <v>2440</v>
      </c>
      <c r="C923" t="s">
        <v>431</v>
      </c>
      <c r="D923" t="s">
        <v>1430</v>
      </c>
      <c r="E923" t="s">
        <v>684</v>
      </c>
      <c r="F923" t="s">
        <v>672</v>
      </c>
      <c r="G923" s="22">
        <v>26653</v>
      </c>
      <c r="H923" s="21">
        <v>48.564383561643837</v>
      </c>
      <c r="I923" t="s">
        <v>1406</v>
      </c>
      <c r="J923" t="s">
        <v>3433</v>
      </c>
      <c r="K923" t="s">
        <v>3434</v>
      </c>
      <c r="L923">
        <v>3115114916</v>
      </c>
    </row>
    <row r="924" spans="1:12" x14ac:dyDescent="0.25">
      <c r="A924">
        <v>924</v>
      </c>
      <c r="B924" t="s">
        <v>1898</v>
      </c>
      <c r="C924" t="s">
        <v>32</v>
      </c>
      <c r="D924" t="s">
        <v>309</v>
      </c>
      <c r="E924" t="s">
        <v>117</v>
      </c>
      <c r="F924" t="s">
        <v>704</v>
      </c>
      <c r="G924" s="22">
        <v>32293</v>
      </c>
      <c r="H924" s="21">
        <v>33.112328767123287</v>
      </c>
      <c r="I924" t="s">
        <v>1283</v>
      </c>
      <c r="J924" t="s">
        <v>4403</v>
      </c>
      <c r="K924" t="s">
        <v>4404</v>
      </c>
      <c r="L924">
        <v>3115114916</v>
      </c>
    </row>
    <row r="925" spans="1:12" x14ac:dyDescent="0.25">
      <c r="A925">
        <v>925</v>
      </c>
      <c r="B925" t="s">
        <v>2441</v>
      </c>
      <c r="C925" t="s">
        <v>342</v>
      </c>
      <c r="D925" t="s">
        <v>402</v>
      </c>
      <c r="E925" t="s">
        <v>784</v>
      </c>
      <c r="F925" t="s">
        <v>684</v>
      </c>
      <c r="G925" s="22">
        <v>33090</v>
      </c>
      <c r="H925" s="21">
        <v>30.92876712328767</v>
      </c>
      <c r="I925" t="s">
        <v>588</v>
      </c>
      <c r="J925" t="s">
        <v>3435</v>
      </c>
      <c r="K925" t="s">
        <v>3436</v>
      </c>
      <c r="L925">
        <v>3115114911</v>
      </c>
    </row>
    <row r="926" spans="1:12" x14ac:dyDescent="0.25">
      <c r="A926">
        <v>926</v>
      </c>
      <c r="B926" t="s">
        <v>1899</v>
      </c>
      <c r="C926" t="s">
        <v>1073</v>
      </c>
      <c r="D926" t="s">
        <v>159</v>
      </c>
      <c r="E926" t="s">
        <v>199</v>
      </c>
      <c r="F926" t="s">
        <v>823</v>
      </c>
      <c r="G926" s="22">
        <v>34585</v>
      </c>
      <c r="H926" s="21">
        <v>26.832876712328765</v>
      </c>
      <c r="I926" t="s">
        <v>1284</v>
      </c>
      <c r="J926" t="s">
        <v>4405</v>
      </c>
      <c r="K926" t="s">
        <v>4406</v>
      </c>
      <c r="L926">
        <v>3115114911</v>
      </c>
    </row>
    <row r="927" spans="1:12" x14ac:dyDescent="0.25">
      <c r="A927">
        <v>927</v>
      </c>
      <c r="B927" t="s">
        <v>2442</v>
      </c>
      <c r="C927" t="s">
        <v>371</v>
      </c>
      <c r="D927" t="s">
        <v>391</v>
      </c>
      <c r="E927" t="s">
        <v>235</v>
      </c>
      <c r="F927" t="s">
        <v>730</v>
      </c>
      <c r="G927" s="22">
        <v>29047</v>
      </c>
      <c r="H927" s="21">
        <v>42.005479452054793</v>
      </c>
      <c r="I927" t="s">
        <v>581</v>
      </c>
      <c r="J927" t="s">
        <v>3437</v>
      </c>
      <c r="K927" t="s">
        <v>3438</v>
      </c>
      <c r="L927">
        <v>3115114910</v>
      </c>
    </row>
    <row r="928" spans="1:12" x14ac:dyDescent="0.25">
      <c r="A928">
        <v>928</v>
      </c>
      <c r="B928" t="s">
        <v>1900</v>
      </c>
      <c r="C928" t="s">
        <v>1074</v>
      </c>
      <c r="D928" t="s">
        <v>304</v>
      </c>
      <c r="E928" t="s">
        <v>216</v>
      </c>
      <c r="F928" t="s">
        <v>734</v>
      </c>
      <c r="G928" s="22">
        <v>26931</v>
      </c>
      <c r="H928" s="21">
        <v>47.802739726027397</v>
      </c>
      <c r="I928" t="s">
        <v>1285</v>
      </c>
      <c r="J928" t="s">
        <v>4407</v>
      </c>
      <c r="K928" t="s">
        <v>4408</v>
      </c>
      <c r="L928">
        <v>3115114910</v>
      </c>
    </row>
    <row r="929" spans="1:12" x14ac:dyDescent="0.25">
      <c r="A929">
        <v>929</v>
      </c>
      <c r="B929" t="s">
        <v>2443</v>
      </c>
      <c r="C929" t="s">
        <v>483</v>
      </c>
      <c r="D929" t="s">
        <v>342</v>
      </c>
      <c r="E929" t="s">
        <v>718</v>
      </c>
      <c r="F929" t="s">
        <v>723</v>
      </c>
      <c r="G929" s="22">
        <v>29169</v>
      </c>
      <c r="H929" s="21">
        <v>41.671232876712331</v>
      </c>
      <c r="I929" t="s">
        <v>533</v>
      </c>
      <c r="J929" t="s">
        <v>3439</v>
      </c>
      <c r="K929" t="s">
        <v>3440</v>
      </c>
      <c r="L929">
        <v>3115114909</v>
      </c>
    </row>
    <row r="930" spans="1:12" x14ac:dyDescent="0.25">
      <c r="A930">
        <v>930</v>
      </c>
      <c r="B930" t="s">
        <v>1901</v>
      </c>
      <c r="C930" t="s">
        <v>936</v>
      </c>
      <c r="D930" t="s">
        <v>146</v>
      </c>
      <c r="E930" t="s">
        <v>207</v>
      </c>
      <c r="F930" t="s">
        <v>720</v>
      </c>
      <c r="G930" s="22">
        <v>27631</v>
      </c>
      <c r="H930" s="21">
        <v>45.884931506849313</v>
      </c>
      <c r="I930" t="s">
        <v>1286</v>
      </c>
      <c r="J930" t="s">
        <v>4409</v>
      </c>
      <c r="K930" t="s">
        <v>4410</v>
      </c>
      <c r="L930">
        <v>3115114909</v>
      </c>
    </row>
    <row r="931" spans="1:12" x14ac:dyDescent="0.25">
      <c r="A931">
        <v>931</v>
      </c>
      <c r="B931" t="s">
        <v>2444</v>
      </c>
      <c r="C931" t="s">
        <v>880</v>
      </c>
      <c r="D931" t="s">
        <v>656</v>
      </c>
      <c r="E931" t="s">
        <v>731</v>
      </c>
      <c r="F931" t="s">
        <v>717</v>
      </c>
      <c r="G931" s="22">
        <v>27654</v>
      </c>
      <c r="H931" s="21">
        <v>45.821917808219176</v>
      </c>
      <c r="I931" t="s">
        <v>1388</v>
      </c>
      <c r="J931" t="s">
        <v>3441</v>
      </c>
      <c r="K931" t="s">
        <v>3442</v>
      </c>
      <c r="L931">
        <v>3115060130</v>
      </c>
    </row>
    <row r="932" spans="1:12" x14ac:dyDescent="0.25">
      <c r="A932">
        <v>932</v>
      </c>
      <c r="B932" t="s">
        <v>1902</v>
      </c>
      <c r="C932" t="s">
        <v>990</v>
      </c>
      <c r="D932" t="s">
        <v>319</v>
      </c>
      <c r="E932" t="s">
        <v>57</v>
      </c>
      <c r="F932" t="s">
        <v>798</v>
      </c>
      <c r="G932" s="22">
        <v>24607</v>
      </c>
      <c r="H932" s="21">
        <v>54.169863013698631</v>
      </c>
      <c r="I932" t="s">
        <v>1287</v>
      </c>
      <c r="J932" t="s">
        <v>4411</v>
      </c>
      <c r="K932" t="s">
        <v>4412</v>
      </c>
      <c r="L932">
        <v>3115060130</v>
      </c>
    </row>
    <row r="933" spans="1:12" x14ac:dyDescent="0.25">
      <c r="A933">
        <v>933</v>
      </c>
      <c r="B933" t="s">
        <v>2445</v>
      </c>
      <c r="C933" t="s">
        <v>431</v>
      </c>
      <c r="D933" t="s">
        <v>402</v>
      </c>
      <c r="E933" t="s">
        <v>711</v>
      </c>
      <c r="F933" t="s">
        <v>794</v>
      </c>
      <c r="G933" s="22">
        <v>36875</v>
      </c>
      <c r="H933" s="21">
        <v>20.55890410958904</v>
      </c>
      <c r="I933" t="s">
        <v>593</v>
      </c>
      <c r="J933" t="s">
        <v>3443</v>
      </c>
      <c r="K933" t="s">
        <v>3444</v>
      </c>
      <c r="L933">
        <v>3115060125</v>
      </c>
    </row>
    <row r="934" spans="1:12" x14ac:dyDescent="0.25">
      <c r="A934">
        <v>934</v>
      </c>
      <c r="B934" t="s">
        <v>1903</v>
      </c>
      <c r="C934" t="s">
        <v>1008</v>
      </c>
      <c r="D934" t="s">
        <v>306</v>
      </c>
      <c r="E934" t="s">
        <v>156</v>
      </c>
      <c r="F934" t="s">
        <v>772</v>
      </c>
      <c r="G934" s="22">
        <v>31161</v>
      </c>
      <c r="H934" s="21">
        <v>36.213698630136989</v>
      </c>
      <c r="I934" t="s">
        <v>1288</v>
      </c>
      <c r="J934" t="s">
        <v>4413</v>
      </c>
      <c r="K934" t="s">
        <v>4414</v>
      </c>
      <c r="L934">
        <v>3115060125</v>
      </c>
    </row>
    <row r="935" spans="1:12" x14ac:dyDescent="0.25">
      <c r="A935">
        <v>935</v>
      </c>
      <c r="B935" t="s">
        <v>2446</v>
      </c>
      <c r="C935" t="s">
        <v>431</v>
      </c>
      <c r="D935" t="s">
        <v>339</v>
      </c>
      <c r="E935" t="s">
        <v>712</v>
      </c>
      <c r="F935" t="s">
        <v>754</v>
      </c>
      <c r="G935" s="22">
        <v>35314</v>
      </c>
      <c r="H935" s="21">
        <v>24.835616438356166</v>
      </c>
      <c r="I935" t="s">
        <v>556</v>
      </c>
      <c r="J935" t="s">
        <v>3445</v>
      </c>
      <c r="K935" t="s">
        <v>3446</v>
      </c>
      <c r="L935">
        <v>3115060110</v>
      </c>
    </row>
    <row r="936" spans="1:12" x14ac:dyDescent="0.25">
      <c r="A936">
        <v>936</v>
      </c>
      <c r="B936" t="s">
        <v>1904</v>
      </c>
      <c r="C936" t="s">
        <v>33</v>
      </c>
      <c r="D936" t="s">
        <v>1075</v>
      </c>
      <c r="E936" t="s">
        <v>51</v>
      </c>
      <c r="F936" t="s">
        <v>519</v>
      </c>
      <c r="G936" s="22">
        <v>29964</v>
      </c>
      <c r="H936" s="21">
        <v>39.493150684931507</v>
      </c>
      <c r="I936" t="s">
        <v>1289</v>
      </c>
      <c r="J936" t="s">
        <v>4415</v>
      </c>
      <c r="K936" t="s">
        <v>4416</v>
      </c>
      <c r="L936">
        <v>3115060110</v>
      </c>
    </row>
    <row r="937" spans="1:12" x14ac:dyDescent="0.25">
      <c r="A937">
        <v>937</v>
      </c>
      <c r="B937" t="s">
        <v>2447</v>
      </c>
      <c r="C937" t="s">
        <v>431</v>
      </c>
      <c r="D937" t="s">
        <v>342</v>
      </c>
      <c r="E937" t="s">
        <v>793</v>
      </c>
      <c r="F937" t="s">
        <v>721</v>
      </c>
      <c r="G937" s="22">
        <v>36947</v>
      </c>
      <c r="H937" s="21">
        <v>20.361643835616437</v>
      </c>
      <c r="I937" t="s">
        <v>555</v>
      </c>
      <c r="J937" t="s">
        <v>3447</v>
      </c>
      <c r="K937" t="s">
        <v>3448</v>
      </c>
      <c r="L937">
        <v>3115060091</v>
      </c>
    </row>
    <row r="938" spans="1:12" x14ac:dyDescent="0.25">
      <c r="A938">
        <v>938</v>
      </c>
      <c r="B938" t="s">
        <v>1905</v>
      </c>
      <c r="C938" t="s">
        <v>1076</v>
      </c>
      <c r="D938" t="s">
        <v>7</v>
      </c>
      <c r="E938" t="s">
        <v>2507</v>
      </c>
      <c r="F938" t="s">
        <v>718</v>
      </c>
      <c r="G938" s="22">
        <v>36660</v>
      </c>
      <c r="H938" s="21">
        <v>21.147945205479452</v>
      </c>
      <c r="I938" t="s">
        <v>1290</v>
      </c>
      <c r="J938" t="s">
        <v>4417</v>
      </c>
      <c r="K938" t="s">
        <v>4418</v>
      </c>
      <c r="L938">
        <v>3115060091</v>
      </c>
    </row>
    <row r="939" spans="1:12" x14ac:dyDescent="0.25">
      <c r="A939">
        <v>939</v>
      </c>
      <c r="B939" t="s">
        <v>2448</v>
      </c>
      <c r="C939" t="s">
        <v>341</v>
      </c>
      <c r="D939" t="s">
        <v>483</v>
      </c>
      <c r="E939" t="s">
        <v>710</v>
      </c>
      <c r="F939" t="s">
        <v>832</v>
      </c>
      <c r="G939" s="22">
        <v>37589</v>
      </c>
      <c r="H939" s="21">
        <v>18.602739726027398</v>
      </c>
      <c r="I939" t="s">
        <v>583</v>
      </c>
      <c r="J939" t="s">
        <v>3449</v>
      </c>
      <c r="K939" t="s">
        <v>3450</v>
      </c>
      <c r="L939">
        <v>3115060080</v>
      </c>
    </row>
    <row r="940" spans="1:12" x14ac:dyDescent="0.25">
      <c r="A940">
        <v>940</v>
      </c>
      <c r="B940" t="s">
        <v>1906</v>
      </c>
      <c r="C940" t="s">
        <v>34</v>
      </c>
      <c r="D940" t="s">
        <v>50</v>
      </c>
      <c r="E940" t="s">
        <v>54</v>
      </c>
      <c r="F940" t="s">
        <v>742</v>
      </c>
      <c r="G940" s="22">
        <v>31566</v>
      </c>
      <c r="H940" s="21">
        <v>35.104109589041094</v>
      </c>
      <c r="I940" t="s">
        <v>1252</v>
      </c>
      <c r="J940" t="s">
        <v>4419</v>
      </c>
      <c r="K940" t="s">
        <v>4420</v>
      </c>
      <c r="L940">
        <v>3115060080</v>
      </c>
    </row>
    <row r="941" spans="1:12" x14ac:dyDescent="0.25">
      <c r="A941">
        <v>941</v>
      </c>
      <c r="B941" t="s">
        <v>2449</v>
      </c>
      <c r="C941" t="s">
        <v>483</v>
      </c>
      <c r="D941" t="s">
        <v>488</v>
      </c>
      <c r="E941" t="s">
        <v>829</v>
      </c>
      <c r="F941" t="s">
        <v>780</v>
      </c>
      <c r="G941" s="22">
        <v>28665</v>
      </c>
      <c r="H941" s="21">
        <v>43.052054794520551</v>
      </c>
      <c r="I941" t="s">
        <v>1409</v>
      </c>
      <c r="J941" t="s">
        <v>3451</v>
      </c>
      <c r="K941" t="s">
        <v>3452</v>
      </c>
      <c r="L941">
        <v>3115114385</v>
      </c>
    </row>
    <row r="942" spans="1:12" x14ac:dyDescent="0.25">
      <c r="A942">
        <v>942</v>
      </c>
      <c r="B942" t="s">
        <v>1907</v>
      </c>
      <c r="C942" t="s">
        <v>2508</v>
      </c>
      <c r="D942" t="s">
        <v>7</v>
      </c>
      <c r="E942" t="s">
        <v>169</v>
      </c>
      <c r="F942" t="s">
        <v>800</v>
      </c>
      <c r="G942" s="22">
        <v>35310</v>
      </c>
      <c r="H942" s="21">
        <v>24.846575342465755</v>
      </c>
      <c r="I942" t="s">
        <v>1291</v>
      </c>
      <c r="J942" t="s">
        <v>4421</v>
      </c>
      <c r="K942" t="s">
        <v>4422</v>
      </c>
      <c r="L942">
        <v>3115114385</v>
      </c>
    </row>
    <row r="943" spans="1:12" x14ac:dyDescent="0.25">
      <c r="A943">
        <v>943</v>
      </c>
      <c r="B943" t="s">
        <v>2450</v>
      </c>
      <c r="C943" t="s">
        <v>374</v>
      </c>
      <c r="D943" t="s">
        <v>1431</v>
      </c>
      <c r="E943" t="s">
        <v>769</v>
      </c>
      <c r="F943" t="s">
        <v>719</v>
      </c>
      <c r="G943" s="22">
        <v>31339</v>
      </c>
      <c r="H943" s="21">
        <v>35.726027397260275</v>
      </c>
      <c r="I943" t="s">
        <v>592</v>
      </c>
      <c r="J943" t="s">
        <v>3453</v>
      </c>
      <c r="K943" t="s">
        <v>3454</v>
      </c>
      <c r="L943">
        <v>3115114360</v>
      </c>
    </row>
    <row r="944" spans="1:12" x14ac:dyDescent="0.25">
      <c r="A944">
        <v>944</v>
      </c>
      <c r="B944" t="s">
        <v>1908</v>
      </c>
      <c r="C944" t="s">
        <v>35</v>
      </c>
      <c r="D944" t="s">
        <v>31</v>
      </c>
      <c r="E944" t="s">
        <v>56</v>
      </c>
      <c r="F944" t="s">
        <v>740</v>
      </c>
      <c r="G944" s="22">
        <v>35348</v>
      </c>
      <c r="H944" s="21">
        <v>24.742465753424657</v>
      </c>
      <c r="I944" t="s">
        <v>1292</v>
      </c>
      <c r="J944" t="s">
        <v>4423</v>
      </c>
      <c r="K944" t="s">
        <v>4424</v>
      </c>
      <c r="L944">
        <v>3115114360</v>
      </c>
    </row>
    <row r="945" spans="1:12" x14ac:dyDescent="0.25">
      <c r="A945">
        <v>945</v>
      </c>
      <c r="B945" t="s">
        <v>2451</v>
      </c>
      <c r="C945" t="s">
        <v>483</v>
      </c>
      <c r="D945" t="s">
        <v>353</v>
      </c>
      <c r="E945" t="s">
        <v>221</v>
      </c>
      <c r="F945" t="s">
        <v>824</v>
      </c>
      <c r="G945" s="22">
        <v>29849</v>
      </c>
      <c r="H945" s="21">
        <v>39.80821917808219</v>
      </c>
      <c r="I945" t="s">
        <v>539</v>
      </c>
      <c r="J945" t="s">
        <v>3455</v>
      </c>
      <c r="K945" t="s">
        <v>3456</v>
      </c>
      <c r="L945">
        <v>3115093653</v>
      </c>
    </row>
    <row r="946" spans="1:12" x14ac:dyDescent="0.25">
      <c r="A946">
        <v>946</v>
      </c>
      <c r="B946" t="s">
        <v>1909</v>
      </c>
      <c r="C946" t="s">
        <v>165</v>
      </c>
      <c r="D946" t="s">
        <v>1077</v>
      </c>
      <c r="E946" t="s">
        <v>297</v>
      </c>
      <c r="F946" t="s">
        <v>522</v>
      </c>
      <c r="G946" s="22">
        <v>37189</v>
      </c>
      <c r="H946" s="21">
        <v>19.698630136986303</v>
      </c>
      <c r="I946" t="s">
        <v>1293</v>
      </c>
      <c r="J946" t="s">
        <v>4425</v>
      </c>
      <c r="K946" t="s">
        <v>4426</v>
      </c>
      <c r="L946">
        <v>3115093653</v>
      </c>
    </row>
    <row r="947" spans="1:12" x14ac:dyDescent="0.25">
      <c r="A947">
        <v>947</v>
      </c>
      <c r="B947" t="s">
        <v>2452</v>
      </c>
      <c r="C947" t="s">
        <v>342</v>
      </c>
      <c r="D947" t="s">
        <v>487</v>
      </c>
      <c r="E947" t="s">
        <v>800</v>
      </c>
      <c r="F947" t="s">
        <v>745</v>
      </c>
      <c r="G947" s="22">
        <v>36436</v>
      </c>
      <c r="H947" s="21">
        <v>21.761643835616439</v>
      </c>
      <c r="I947" t="s">
        <v>574</v>
      </c>
      <c r="J947" t="s">
        <v>3457</v>
      </c>
      <c r="K947" t="s">
        <v>3458</v>
      </c>
      <c r="L947">
        <v>3115093598</v>
      </c>
    </row>
    <row r="948" spans="1:12" x14ac:dyDescent="0.25">
      <c r="A948">
        <v>948</v>
      </c>
      <c r="B948" t="s">
        <v>1910</v>
      </c>
      <c r="C948" t="s">
        <v>1078</v>
      </c>
      <c r="D948" t="s">
        <v>1057</v>
      </c>
      <c r="E948" t="s">
        <v>72</v>
      </c>
      <c r="F948" t="s">
        <v>840</v>
      </c>
      <c r="G948" s="22">
        <v>33751</v>
      </c>
      <c r="H948" s="21">
        <v>29.117808219178084</v>
      </c>
      <c r="I948" t="s">
        <v>1167</v>
      </c>
      <c r="J948" t="s">
        <v>4427</v>
      </c>
      <c r="K948" t="s">
        <v>4428</v>
      </c>
      <c r="L948">
        <v>3115093598</v>
      </c>
    </row>
    <row r="949" spans="1:12" x14ac:dyDescent="0.25">
      <c r="A949">
        <v>949</v>
      </c>
      <c r="B949" t="s">
        <v>2453</v>
      </c>
      <c r="C949" t="s">
        <v>1432</v>
      </c>
      <c r="D949" t="s">
        <v>1433</v>
      </c>
      <c r="E949" t="s">
        <v>717</v>
      </c>
      <c r="F949" t="s">
        <v>692</v>
      </c>
      <c r="G949" s="22">
        <v>26683</v>
      </c>
      <c r="H949" s="21">
        <v>48.482191780821921</v>
      </c>
      <c r="I949" t="s">
        <v>1372</v>
      </c>
      <c r="J949" t="s">
        <v>3459</v>
      </c>
      <c r="K949" t="s">
        <v>3460</v>
      </c>
      <c r="L949">
        <v>3115093583</v>
      </c>
    </row>
    <row r="950" spans="1:12" x14ac:dyDescent="0.25">
      <c r="A950">
        <v>950</v>
      </c>
      <c r="B950" t="s">
        <v>1911</v>
      </c>
      <c r="C950" t="s">
        <v>1079</v>
      </c>
      <c r="D950" t="s">
        <v>628</v>
      </c>
      <c r="E950" t="s">
        <v>49</v>
      </c>
      <c r="F950" t="s">
        <v>677</v>
      </c>
      <c r="G950" s="22">
        <v>31058</v>
      </c>
      <c r="H950" s="21">
        <v>36.495890410958907</v>
      </c>
      <c r="I950" t="s">
        <v>1294</v>
      </c>
      <c r="J950" t="s">
        <v>4429</v>
      </c>
      <c r="K950" t="s">
        <v>4430</v>
      </c>
      <c r="L950">
        <v>3115093583</v>
      </c>
    </row>
    <row r="951" spans="1:12" x14ac:dyDescent="0.25">
      <c r="A951">
        <v>951</v>
      </c>
      <c r="B951" t="s">
        <v>2454</v>
      </c>
      <c r="C951" t="s">
        <v>1434</v>
      </c>
      <c r="D951" t="s">
        <v>1435</v>
      </c>
      <c r="E951" t="s">
        <v>767</v>
      </c>
      <c r="F951" t="s">
        <v>736</v>
      </c>
      <c r="G951" s="22">
        <v>31310</v>
      </c>
      <c r="H951" s="21">
        <v>35.805479452054797</v>
      </c>
      <c r="I951" t="s">
        <v>1371</v>
      </c>
      <c r="J951" t="s">
        <v>3461</v>
      </c>
      <c r="K951" t="s">
        <v>3462</v>
      </c>
      <c r="L951">
        <v>3115092386</v>
      </c>
    </row>
    <row r="952" spans="1:12" x14ac:dyDescent="0.25">
      <c r="A952">
        <v>952</v>
      </c>
      <c r="B952" t="s">
        <v>1912</v>
      </c>
      <c r="C952" t="s">
        <v>1080</v>
      </c>
      <c r="D952" t="s">
        <v>320</v>
      </c>
      <c r="E952" t="s">
        <v>191</v>
      </c>
      <c r="F952" t="s">
        <v>713</v>
      </c>
      <c r="G952" s="22">
        <v>37244</v>
      </c>
      <c r="H952" s="21">
        <v>19.547945205479451</v>
      </c>
      <c r="I952" t="s">
        <v>1295</v>
      </c>
      <c r="J952" t="s">
        <v>4431</v>
      </c>
      <c r="K952" t="s">
        <v>4432</v>
      </c>
      <c r="L952">
        <v>3115092386</v>
      </c>
    </row>
    <row r="953" spans="1:12" x14ac:dyDescent="0.25">
      <c r="A953">
        <v>953</v>
      </c>
      <c r="B953" t="s">
        <v>2455</v>
      </c>
      <c r="C953" t="s">
        <v>1118</v>
      </c>
      <c r="D953" t="s">
        <v>508</v>
      </c>
      <c r="E953" t="s">
        <v>750</v>
      </c>
      <c r="F953" t="s">
        <v>829</v>
      </c>
      <c r="G953" s="22">
        <v>35071</v>
      </c>
      <c r="H953" s="21">
        <v>25.5013698630137</v>
      </c>
      <c r="I953" t="s">
        <v>1377</v>
      </c>
      <c r="J953" t="s">
        <v>3463</v>
      </c>
      <c r="K953" t="s">
        <v>3464</v>
      </c>
      <c r="L953">
        <v>3115092375</v>
      </c>
    </row>
    <row r="954" spans="1:12" x14ac:dyDescent="0.25">
      <c r="A954">
        <v>954</v>
      </c>
      <c r="B954" t="s">
        <v>1913</v>
      </c>
      <c r="C954" t="s">
        <v>300</v>
      </c>
      <c r="D954" t="s">
        <v>634</v>
      </c>
      <c r="E954" t="s">
        <v>61</v>
      </c>
      <c r="F954" t="s">
        <v>852</v>
      </c>
      <c r="G954" s="22">
        <v>27672</v>
      </c>
      <c r="H954" s="21">
        <v>45.772602739726025</v>
      </c>
      <c r="I954" t="s">
        <v>1296</v>
      </c>
      <c r="J954" t="s">
        <v>4433</v>
      </c>
      <c r="K954" t="s">
        <v>4434</v>
      </c>
      <c r="L954">
        <v>3115092375</v>
      </c>
    </row>
    <row r="955" spans="1:12" x14ac:dyDescent="0.25">
      <c r="A955">
        <v>955</v>
      </c>
      <c r="B955" t="s">
        <v>2456</v>
      </c>
      <c r="C955" t="s">
        <v>483</v>
      </c>
      <c r="D955" t="s">
        <v>1115</v>
      </c>
      <c r="E955" t="s">
        <v>755</v>
      </c>
      <c r="F955" t="s">
        <v>673</v>
      </c>
      <c r="G955" s="22">
        <v>32379</v>
      </c>
      <c r="H955" s="21">
        <v>32.876712328767127</v>
      </c>
      <c r="I955" t="s">
        <v>1382</v>
      </c>
      <c r="J955" t="s">
        <v>3465</v>
      </c>
      <c r="K955" t="s">
        <v>3466</v>
      </c>
      <c r="L955">
        <v>3115092369</v>
      </c>
    </row>
    <row r="956" spans="1:12" x14ac:dyDescent="0.25">
      <c r="A956">
        <v>956</v>
      </c>
      <c r="B956" t="s">
        <v>1914</v>
      </c>
      <c r="C956" t="s">
        <v>939</v>
      </c>
      <c r="D956" t="s">
        <v>36</v>
      </c>
      <c r="E956" t="s">
        <v>94</v>
      </c>
      <c r="F956" t="s">
        <v>705</v>
      </c>
      <c r="G956" s="22">
        <v>26310</v>
      </c>
      <c r="H956" s="21">
        <v>49.504109589041093</v>
      </c>
      <c r="I956" t="s">
        <v>1297</v>
      </c>
      <c r="J956" t="s">
        <v>4435</v>
      </c>
      <c r="K956" t="s">
        <v>4436</v>
      </c>
      <c r="L956">
        <v>3115092369</v>
      </c>
    </row>
    <row r="957" spans="1:12" x14ac:dyDescent="0.25">
      <c r="A957">
        <v>957</v>
      </c>
      <c r="B957" t="s">
        <v>2457</v>
      </c>
      <c r="C957" t="s">
        <v>1131</v>
      </c>
      <c r="D957" t="s">
        <v>1123</v>
      </c>
      <c r="E957" t="s">
        <v>845</v>
      </c>
      <c r="F957" t="s">
        <v>688</v>
      </c>
      <c r="G957" s="22">
        <v>35279</v>
      </c>
      <c r="H957" s="21">
        <v>24.931506849315067</v>
      </c>
      <c r="I957" t="s">
        <v>589</v>
      </c>
      <c r="J957" t="s">
        <v>3467</v>
      </c>
      <c r="K957" t="s">
        <v>3468</v>
      </c>
      <c r="L957">
        <v>3115092360</v>
      </c>
    </row>
    <row r="958" spans="1:12" x14ac:dyDescent="0.25">
      <c r="A958">
        <v>958</v>
      </c>
      <c r="B958" t="s">
        <v>1915</v>
      </c>
      <c r="C958" t="s">
        <v>1081</v>
      </c>
      <c r="D958" t="s">
        <v>23</v>
      </c>
      <c r="E958" t="s">
        <v>147</v>
      </c>
      <c r="F958" t="s">
        <v>738</v>
      </c>
      <c r="G958" s="22">
        <v>27635</v>
      </c>
      <c r="H958" s="21">
        <v>45.873972602739727</v>
      </c>
      <c r="I958" t="s">
        <v>1298</v>
      </c>
      <c r="J958" t="s">
        <v>4437</v>
      </c>
      <c r="K958" t="s">
        <v>4438</v>
      </c>
      <c r="L958">
        <v>3115092360</v>
      </c>
    </row>
    <row r="959" spans="1:12" x14ac:dyDescent="0.25">
      <c r="A959">
        <v>959</v>
      </c>
      <c r="B959" t="s">
        <v>2458</v>
      </c>
      <c r="C959" t="s">
        <v>431</v>
      </c>
      <c r="D959" t="s">
        <v>1145</v>
      </c>
      <c r="E959" t="s">
        <v>699</v>
      </c>
      <c r="F959" t="s">
        <v>831</v>
      </c>
      <c r="G959" s="22">
        <v>32637</v>
      </c>
      <c r="H959" s="21">
        <v>32.169863013698631</v>
      </c>
      <c r="I959" t="s">
        <v>577</v>
      </c>
      <c r="J959" t="s">
        <v>3469</v>
      </c>
      <c r="K959" t="s">
        <v>3470</v>
      </c>
      <c r="L959">
        <v>3115092352</v>
      </c>
    </row>
    <row r="960" spans="1:12" x14ac:dyDescent="0.25">
      <c r="A960">
        <v>960</v>
      </c>
      <c r="B960" t="s">
        <v>1916</v>
      </c>
      <c r="C960" t="s">
        <v>198</v>
      </c>
      <c r="D960" t="s">
        <v>1082</v>
      </c>
      <c r="E960" t="s">
        <v>86</v>
      </c>
      <c r="F960" t="s">
        <v>806</v>
      </c>
      <c r="G960" s="22">
        <v>30062</v>
      </c>
      <c r="H960" s="21">
        <v>39.224657534246575</v>
      </c>
      <c r="I960" t="s">
        <v>1299</v>
      </c>
      <c r="J960" t="s">
        <v>4439</v>
      </c>
      <c r="K960" t="s">
        <v>4440</v>
      </c>
      <c r="L960">
        <v>3115092352</v>
      </c>
    </row>
    <row r="961" spans="1:12" x14ac:dyDescent="0.25">
      <c r="A961">
        <v>961</v>
      </c>
      <c r="B961" t="s">
        <v>2459</v>
      </c>
      <c r="C961" t="s">
        <v>448</v>
      </c>
      <c r="D961" t="s">
        <v>333</v>
      </c>
      <c r="E961" t="s">
        <v>713</v>
      </c>
      <c r="F961" t="s">
        <v>795</v>
      </c>
      <c r="G961" s="22">
        <v>27621</v>
      </c>
      <c r="H961" s="21">
        <v>45.912328767123284</v>
      </c>
      <c r="I961" t="s">
        <v>573</v>
      </c>
      <c r="J961" t="s">
        <v>3471</v>
      </c>
      <c r="K961" t="s">
        <v>3472</v>
      </c>
      <c r="L961">
        <v>3115114930</v>
      </c>
    </row>
    <row r="962" spans="1:12" x14ac:dyDescent="0.25">
      <c r="A962">
        <v>962</v>
      </c>
      <c r="B962" t="s">
        <v>1917</v>
      </c>
      <c r="C962" t="s">
        <v>958</v>
      </c>
      <c r="D962" t="s">
        <v>1083</v>
      </c>
      <c r="E962" t="s">
        <v>84</v>
      </c>
      <c r="F962" t="s">
        <v>826</v>
      </c>
      <c r="G962" s="22">
        <v>25094</v>
      </c>
      <c r="H962" s="21">
        <v>52.835616438356162</v>
      </c>
      <c r="I962" t="s">
        <v>1300</v>
      </c>
      <c r="J962" t="s">
        <v>4441</v>
      </c>
      <c r="K962" t="s">
        <v>4442</v>
      </c>
      <c r="L962">
        <v>3115114930</v>
      </c>
    </row>
    <row r="963" spans="1:12" x14ac:dyDescent="0.25">
      <c r="A963">
        <v>963</v>
      </c>
      <c r="B963" t="s">
        <v>2460</v>
      </c>
      <c r="C963" t="s">
        <v>860</v>
      </c>
      <c r="D963" t="s">
        <v>649</v>
      </c>
      <c r="E963" t="s">
        <v>702</v>
      </c>
      <c r="F963" t="s">
        <v>675</v>
      </c>
      <c r="G963" s="22">
        <v>36400</v>
      </c>
      <c r="H963" s="21">
        <v>21.860273972602741</v>
      </c>
      <c r="I963" t="s">
        <v>578</v>
      </c>
      <c r="J963" t="s">
        <v>3473</v>
      </c>
      <c r="K963" t="s">
        <v>3474</v>
      </c>
      <c r="L963">
        <v>3115114916</v>
      </c>
    </row>
    <row r="964" spans="1:12" x14ac:dyDescent="0.25">
      <c r="A964">
        <v>964</v>
      </c>
      <c r="B964" t="s">
        <v>1918</v>
      </c>
      <c r="C964" t="s">
        <v>24</v>
      </c>
      <c r="D964" t="s">
        <v>6</v>
      </c>
      <c r="E964" t="s">
        <v>713</v>
      </c>
      <c r="F964" t="s">
        <v>221</v>
      </c>
      <c r="G964" s="22">
        <v>37003</v>
      </c>
      <c r="H964" s="21">
        <v>20.208219178082192</v>
      </c>
      <c r="I964" t="s">
        <v>1301</v>
      </c>
      <c r="J964" t="s">
        <v>4443</v>
      </c>
      <c r="K964" t="s">
        <v>4444</v>
      </c>
      <c r="L964">
        <v>3115114916</v>
      </c>
    </row>
    <row r="965" spans="1:12" x14ac:dyDescent="0.25">
      <c r="A965">
        <v>965</v>
      </c>
      <c r="B965" t="s">
        <v>2461</v>
      </c>
      <c r="C965" t="s">
        <v>507</v>
      </c>
      <c r="D965" t="s">
        <v>481</v>
      </c>
      <c r="E965" t="s">
        <v>832</v>
      </c>
      <c r="F965" t="s">
        <v>815</v>
      </c>
      <c r="G965" s="22">
        <v>30466</v>
      </c>
      <c r="H965" s="21">
        <v>38.11780821917808</v>
      </c>
      <c r="I965" t="s">
        <v>1312</v>
      </c>
      <c r="J965" t="s">
        <v>3475</v>
      </c>
      <c r="K965" t="s">
        <v>3476</v>
      </c>
      <c r="L965">
        <v>3115114911</v>
      </c>
    </row>
    <row r="966" spans="1:12" x14ac:dyDescent="0.25">
      <c r="A966">
        <v>966</v>
      </c>
      <c r="B966" t="s">
        <v>1919</v>
      </c>
      <c r="C966" t="s">
        <v>37</v>
      </c>
      <c r="D966" t="s">
        <v>146</v>
      </c>
      <c r="E966" t="s">
        <v>714</v>
      </c>
      <c r="F966" t="s">
        <v>768</v>
      </c>
      <c r="G966" s="22">
        <v>25407</v>
      </c>
      <c r="H966" s="21">
        <v>51.978082191780821</v>
      </c>
      <c r="I966" t="s">
        <v>1302</v>
      </c>
      <c r="J966" t="s">
        <v>4445</v>
      </c>
      <c r="K966" t="s">
        <v>4446</v>
      </c>
      <c r="L966">
        <v>3115114911</v>
      </c>
    </row>
    <row r="967" spans="1:12" x14ac:dyDescent="0.25">
      <c r="A967">
        <v>967</v>
      </c>
      <c r="B967" t="s">
        <v>2462</v>
      </c>
      <c r="C967" t="s">
        <v>873</v>
      </c>
      <c r="D967" t="s">
        <v>662</v>
      </c>
      <c r="E967" t="s">
        <v>811</v>
      </c>
      <c r="F967" t="s">
        <v>845</v>
      </c>
      <c r="G967" s="22">
        <v>31869</v>
      </c>
      <c r="H967" s="21">
        <v>34.273972602739725</v>
      </c>
      <c r="I967" t="s">
        <v>1361</v>
      </c>
      <c r="J967" t="s">
        <v>3477</v>
      </c>
      <c r="K967" t="s">
        <v>3478</v>
      </c>
      <c r="L967">
        <v>3115114910</v>
      </c>
    </row>
    <row r="968" spans="1:12" x14ac:dyDescent="0.25">
      <c r="A968">
        <v>968</v>
      </c>
      <c r="B968" t="s">
        <v>1920</v>
      </c>
      <c r="C968" t="s">
        <v>20</v>
      </c>
      <c r="D968" t="s">
        <v>319</v>
      </c>
      <c r="E968" t="s">
        <v>715</v>
      </c>
      <c r="F968" t="s">
        <v>679</v>
      </c>
      <c r="G968" s="22">
        <v>31267</v>
      </c>
      <c r="H968" s="21">
        <v>35.923287671232877</v>
      </c>
      <c r="I968" t="s">
        <v>1303</v>
      </c>
      <c r="J968" t="s">
        <v>4447</v>
      </c>
      <c r="K968" t="s">
        <v>4448</v>
      </c>
      <c r="L968">
        <v>3115114910</v>
      </c>
    </row>
    <row r="969" spans="1:12" x14ac:dyDescent="0.25">
      <c r="A969">
        <v>969</v>
      </c>
      <c r="B969" t="s">
        <v>2463</v>
      </c>
      <c r="C969" t="s">
        <v>342</v>
      </c>
      <c r="D969" t="s">
        <v>450</v>
      </c>
      <c r="E969" t="s">
        <v>733</v>
      </c>
      <c r="F969" t="s">
        <v>701</v>
      </c>
      <c r="G969" s="22">
        <v>33217</v>
      </c>
      <c r="H969" s="21">
        <v>30.580821917808219</v>
      </c>
      <c r="I969" t="s">
        <v>569</v>
      </c>
      <c r="J969" t="s">
        <v>3479</v>
      </c>
      <c r="K969" t="s">
        <v>3480</v>
      </c>
      <c r="L969">
        <v>3115114909</v>
      </c>
    </row>
    <row r="970" spans="1:12" x14ac:dyDescent="0.25">
      <c r="A970">
        <v>970</v>
      </c>
      <c r="B970" t="s">
        <v>1921</v>
      </c>
      <c r="C970" t="s">
        <v>16</v>
      </c>
      <c r="D970" t="s">
        <v>17</v>
      </c>
      <c r="E970" t="s">
        <v>716</v>
      </c>
      <c r="F970" t="s">
        <v>225</v>
      </c>
      <c r="G970" s="22">
        <v>36153</v>
      </c>
      <c r="H970" s="21">
        <v>22.536986301369861</v>
      </c>
      <c r="I970" t="s">
        <v>1304</v>
      </c>
      <c r="J970" t="s">
        <v>4449</v>
      </c>
      <c r="K970" t="s">
        <v>4450</v>
      </c>
      <c r="L970">
        <v>3115114909</v>
      </c>
    </row>
    <row r="971" spans="1:12" x14ac:dyDescent="0.25">
      <c r="A971">
        <v>971</v>
      </c>
      <c r="B971" t="s">
        <v>1922</v>
      </c>
      <c r="C971" t="s">
        <v>996</v>
      </c>
      <c r="D971" t="s">
        <v>167</v>
      </c>
      <c r="E971" t="s">
        <v>704</v>
      </c>
      <c r="F971" t="s">
        <v>788</v>
      </c>
      <c r="G971" s="22">
        <v>27841</v>
      </c>
      <c r="H971" s="21">
        <v>45.30958904109589</v>
      </c>
      <c r="I971" t="s">
        <v>1305</v>
      </c>
      <c r="J971" t="s">
        <v>4451</v>
      </c>
      <c r="K971" t="s">
        <v>4452</v>
      </c>
      <c r="L971">
        <v>3115060130</v>
      </c>
    </row>
    <row r="972" spans="1:12" x14ac:dyDescent="0.25">
      <c r="A972">
        <v>972</v>
      </c>
      <c r="B972" t="s">
        <v>1923</v>
      </c>
      <c r="C972" t="s">
        <v>1084</v>
      </c>
      <c r="D972" t="s">
        <v>1045</v>
      </c>
      <c r="E972" t="s">
        <v>717</v>
      </c>
      <c r="F972" t="s">
        <v>769</v>
      </c>
      <c r="G972" s="22">
        <v>31280</v>
      </c>
      <c r="H972" s="21">
        <v>35.887671232876713</v>
      </c>
      <c r="I972" t="s">
        <v>1306</v>
      </c>
      <c r="J972" t="s">
        <v>4453</v>
      </c>
      <c r="K972" t="s">
        <v>4454</v>
      </c>
      <c r="L972">
        <v>3115060125</v>
      </c>
    </row>
    <row r="973" spans="1:12" x14ac:dyDescent="0.25">
      <c r="A973">
        <v>973</v>
      </c>
      <c r="B973" t="s">
        <v>1924</v>
      </c>
      <c r="C973" t="s">
        <v>1085</v>
      </c>
      <c r="D973" t="s">
        <v>967</v>
      </c>
      <c r="E973" t="s">
        <v>681</v>
      </c>
      <c r="F973" t="s">
        <v>676</v>
      </c>
      <c r="G973" s="22">
        <v>32175</v>
      </c>
      <c r="H973" s="21">
        <v>33.435616438356163</v>
      </c>
      <c r="I973" t="s">
        <v>1307</v>
      </c>
      <c r="J973" t="s">
        <v>4455</v>
      </c>
      <c r="K973" t="s">
        <v>4456</v>
      </c>
      <c r="L973">
        <v>3115060110</v>
      </c>
    </row>
    <row r="974" spans="1:12" x14ac:dyDescent="0.25">
      <c r="A974">
        <v>974</v>
      </c>
      <c r="B974" t="s">
        <v>1925</v>
      </c>
      <c r="C974" t="s">
        <v>1086</v>
      </c>
      <c r="D974" t="s">
        <v>1087</v>
      </c>
      <c r="E974" t="s">
        <v>718</v>
      </c>
      <c r="F974" t="s">
        <v>796</v>
      </c>
      <c r="G974" s="22">
        <v>36749</v>
      </c>
      <c r="H974" s="21">
        <v>20.904109589041095</v>
      </c>
      <c r="I974" t="s">
        <v>1308</v>
      </c>
      <c r="J974" t="s">
        <v>4457</v>
      </c>
      <c r="K974" t="s">
        <v>4458</v>
      </c>
      <c r="L974">
        <v>3115060091</v>
      </c>
    </row>
    <row r="975" spans="1:12" x14ac:dyDescent="0.25">
      <c r="A975">
        <v>975</v>
      </c>
      <c r="B975" t="s">
        <v>1926</v>
      </c>
      <c r="C975" t="s">
        <v>1088</v>
      </c>
      <c r="D975" t="s">
        <v>1089</v>
      </c>
      <c r="E975" t="s">
        <v>719</v>
      </c>
      <c r="F975" t="s">
        <v>748</v>
      </c>
      <c r="G975" s="22">
        <v>27741</v>
      </c>
      <c r="H975" s="21">
        <v>45.583561643835615</v>
      </c>
      <c r="I975" t="s">
        <v>1207</v>
      </c>
      <c r="J975" t="s">
        <v>4459</v>
      </c>
      <c r="K975" t="s">
        <v>4460</v>
      </c>
      <c r="L975">
        <v>3115060080</v>
      </c>
    </row>
    <row r="976" spans="1:12" x14ac:dyDescent="0.25">
      <c r="A976">
        <v>976</v>
      </c>
      <c r="B976" t="s">
        <v>1927</v>
      </c>
      <c r="C976" t="s">
        <v>630</v>
      </c>
      <c r="D976" t="s">
        <v>23</v>
      </c>
      <c r="E976" t="s">
        <v>297</v>
      </c>
      <c r="F976" t="s">
        <v>822</v>
      </c>
      <c r="G976" s="22">
        <v>27570</v>
      </c>
      <c r="H976" s="21">
        <v>46.052054794520551</v>
      </c>
      <c r="I976" t="s">
        <v>544</v>
      </c>
      <c r="J976" t="s">
        <v>4461</v>
      </c>
      <c r="K976" t="s">
        <v>4462</v>
      </c>
      <c r="L976">
        <v>3115114385</v>
      </c>
    </row>
    <row r="977" spans="1:12" x14ac:dyDescent="0.25">
      <c r="A977">
        <v>977</v>
      </c>
      <c r="B977" t="s">
        <v>1928</v>
      </c>
      <c r="C977" t="s">
        <v>20</v>
      </c>
      <c r="D977" t="s">
        <v>16</v>
      </c>
      <c r="E977" t="s">
        <v>720</v>
      </c>
      <c r="F977" t="s">
        <v>471</v>
      </c>
      <c r="G977" s="22">
        <v>33371</v>
      </c>
      <c r="H977" s="21">
        <v>30.158904109589042</v>
      </c>
      <c r="I977" t="s">
        <v>1174</v>
      </c>
      <c r="J977" t="s">
        <v>4463</v>
      </c>
      <c r="K977" t="s">
        <v>4464</v>
      </c>
      <c r="L977">
        <v>3115114360</v>
      </c>
    </row>
    <row r="978" spans="1:12" x14ac:dyDescent="0.25">
      <c r="A978">
        <v>978</v>
      </c>
      <c r="B978" t="s">
        <v>1929</v>
      </c>
      <c r="C978" t="s">
        <v>1090</v>
      </c>
      <c r="D978" t="s">
        <v>76</v>
      </c>
      <c r="E978" t="s">
        <v>239</v>
      </c>
      <c r="F978" t="s">
        <v>760</v>
      </c>
      <c r="G978" s="22">
        <v>26860</v>
      </c>
      <c r="H978" s="21">
        <v>47.9972602739726</v>
      </c>
      <c r="I978" t="s">
        <v>1309</v>
      </c>
      <c r="J978" t="s">
        <v>4465</v>
      </c>
      <c r="K978" t="s">
        <v>4466</v>
      </c>
      <c r="L978">
        <v>3115093653</v>
      </c>
    </row>
    <row r="979" spans="1:12" x14ac:dyDescent="0.25">
      <c r="A979">
        <v>979</v>
      </c>
      <c r="B979" t="s">
        <v>1930</v>
      </c>
      <c r="C979" t="s">
        <v>20</v>
      </c>
      <c r="D979" t="s">
        <v>174</v>
      </c>
      <c r="E979" t="s">
        <v>721</v>
      </c>
      <c r="F979" t="s">
        <v>722</v>
      </c>
      <c r="G979" s="22">
        <v>31500</v>
      </c>
      <c r="H979" s="21">
        <v>35.284931506849318</v>
      </c>
      <c r="I979" t="s">
        <v>1310</v>
      </c>
      <c r="J979" t="s">
        <v>4467</v>
      </c>
      <c r="K979" t="s">
        <v>4468</v>
      </c>
      <c r="L979">
        <v>3115093598</v>
      </c>
    </row>
    <row r="980" spans="1:12" x14ac:dyDescent="0.25">
      <c r="A980">
        <v>980</v>
      </c>
      <c r="B980" t="s">
        <v>1931</v>
      </c>
      <c r="C980" t="s">
        <v>1091</v>
      </c>
      <c r="D980" t="s">
        <v>9</v>
      </c>
      <c r="E980" t="s">
        <v>722</v>
      </c>
      <c r="F980" t="s">
        <v>476</v>
      </c>
      <c r="G980" s="22">
        <v>34916</v>
      </c>
      <c r="H980" s="21">
        <v>25.926027397260274</v>
      </c>
      <c r="I980" t="s">
        <v>1311</v>
      </c>
      <c r="J980" t="s">
        <v>4469</v>
      </c>
      <c r="K980" t="s">
        <v>4470</v>
      </c>
      <c r="L980">
        <v>3115093583</v>
      </c>
    </row>
    <row r="981" spans="1:12" x14ac:dyDescent="0.25">
      <c r="A981">
        <v>981</v>
      </c>
      <c r="B981" t="s">
        <v>1932</v>
      </c>
      <c r="C981" t="s">
        <v>159</v>
      </c>
      <c r="D981" t="s">
        <v>1415</v>
      </c>
      <c r="E981" t="s">
        <v>730</v>
      </c>
      <c r="F981" t="s">
        <v>692</v>
      </c>
      <c r="G981" s="22">
        <v>33780</v>
      </c>
      <c r="H981" s="21">
        <v>29.038356164383561</v>
      </c>
      <c r="I981" t="s">
        <v>1312</v>
      </c>
      <c r="J981" t="s">
        <v>4471</v>
      </c>
      <c r="K981" t="s">
        <v>4472</v>
      </c>
      <c r="L981">
        <v>3115092386</v>
      </c>
    </row>
    <row r="982" spans="1:12" x14ac:dyDescent="0.25">
      <c r="A982">
        <v>982</v>
      </c>
      <c r="B982" t="s">
        <v>1933</v>
      </c>
      <c r="C982" t="s">
        <v>620</v>
      </c>
      <c r="D982" t="s">
        <v>897</v>
      </c>
      <c r="E982" t="s">
        <v>803</v>
      </c>
      <c r="F982" t="s">
        <v>795</v>
      </c>
      <c r="G982" s="22">
        <v>36375</v>
      </c>
      <c r="H982" s="21">
        <v>21.92876712328767</v>
      </c>
      <c r="I982" t="s">
        <v>1313</v>
      </c>
      <c r="J982" t="s">
        <v>4473</v>
      </c>
      <c r="K982" t="s">
        <v>4474</v>
      </c>
      <c r="L982">
        <v>3115092375</v>
      </c>
    </row>
    <row r="983" spans="1:12" x14ac:dyDescent="0.25">
      <c r="A983">
        <v>983</v>
      </c>
      <c r="B983" t="s">
        <v>1934</v>
      </c>
      <c r="C983" t="s">
        <v>25</v>
      </c>
      <c r="D983" t="s">
        <v>6</v>
      </c>
      <c r="E983" t="s">
        <v>756</v>
      </c>
      <c r="F983" t="s">
        <v>802</v>
      </c>
      <c r="G983" s="22">
        <v>31483</v>
      </c>
      <c r="H983" s="21">
        <v>35.331506849315069</v>
      </c>
      <c r="I983" t="s">
        <v>1233</v>
      </c>
      <c r="J983" t="s">
        <v>4475</v>
      </c>
      <c r="K983" t="s">
        <v>4476</v>
      </c>
      <c r="L983">
        <v>3115092369</v>
      </c>
    </row>
    <row r="984" spans="1:12" x14ac:dyDescent="0.25">
      <c r="A984">
        <v>984</v>
      </c>
      <c r="B984" t="s">
        <v>1935</v>
      </c>
      <c r="C984" t="s">
        <v>931</v>
      </c>
      <c r="D984" t="s">
        <v>16</v>
      </c>
      <c r="E984" t="s">
        <v>824</v>
      </c>
      <c r="F984" t="s">
        <v>742</v>
      </c>
      <c r="G984" s="22">
        <v>24654</v>
      </c>
      <c r="H984" s="21">
        <v>54.041095890410958</v>
      </c>
      <c r="I984" t="s">
        <v>1314</v>
      </c>
      <c r="J984" t="s">
        <v>4477</v>
      </c>
      <c r="K984" t="s">
        <v>4478</v>
      </c>
      <c r="L984">
        <v>3115092360</v>
      </c>
    </row>
    <row r="985" spans="1:12" x14ac:dyDescent="0.25">
      <c r="A985">
        <v>985</v>
      </c>
      <c r="B985" t="s">
        <v>1936</v>
      </c>
      <c r="C985" t="s">
        <v>14</v>
      </c>
      <c r="D985" t="s">
        <v>8</v>
      </c>
      <c r="E985" t="s">
        <v>522</v>
      </c>
      <c r="F985" t="s">
        <v>747</v>
      </c>
      <c r="G985" s="22">
        <v>29711</v>
      </c>
      <c r="H985" s="21">
        <v>40.186301369863017</v>
      </c>
      <c r="I985" t="s">
        <v>1315</v>
      </c>
      <c r="J985" t="s">
        <v>4479</v>
      </c>
      <c r="K985" t="s">
        <v>4480</v>
      </c>
      <c r="L985">
        <v>3115092352</v>
      </c>
    </row>
    <row r="986" spans="1:12" x14ac:dyDescent="0.25">
      <c r="A986">
        <v>986</v>
      </c>
      <c r="B986" t="s">
        <v>1937</v>
      </c>
      <c r="C986" t="s">
        <v>20</v>
      </c>
      <c r="D986" t="s">
        <v>16</v>
      </c>
      <c r="E986" t="s">
        <v>297</v>
      </c>
      <c r="F986" t="s">
        <v>768</v>
      </c>
      <c r="G986" s="22">
        <v>33740</v>
      </c>
      <c r="H986" s="21">
        <v>29.147945205479452</v>
      </c>
      <c r="I986" t="s">
        <v>1316</v>
      </c>
      <c r="J986" t="s">
        <v>4481</v>
      </c>
      <c r="K986" t="s">
        <v>4482</v>
      </c>
      <c r="L986">
        <v>3115114930</v>
      </c>
    </row>
    <row r="987" spans="1:12" x14ac:dyDescent="0.25">
      <c r="A987">
        <v>987</v>
      </c>
      <c r="B987" t="s">
        <v>1938</v>
      </c>
      <c r="C987" t="s">
        <v>20</v>
      </c>
      <c r="D987" t="s">
        <v>19</v>
      </c>
      <c r="E987" t="s">
        <v>738</v>
      </c>
      <c r="F987" t="s">
        <v>752</v>
      </c>
      <c r="G987" s="22">
        <v>30882</v>
      </c>
      <c r="H987" s="21">
        <v>36.978082191780821</v>
      </c>
      <c r="I987" t="s">
        <v>1317</v>
      </c>
      <c r="J987" t="s">
        <v>4483</v>
      </c>
      <c r="K987" t="s">
        <v>4484</v>
      </c>
      <c r="L987">
        <v>3115114916</v>
      </c>
    </row>
    <row r="988" spans="1:12" x14ac:dyDescent="0.25">
      <c r="A988">
        <v>988</v>
      </c>
      <c r="B988" t="s">
        <v>1939</v>
      </c>
      <c r="C988" t="s">
        <v>324</v>
      </c>
      <c r="D988" t="s">
        <v>6</v>
      </c>
      <c r="E988" t="s">
        <v>837</v>
      </c>
      <c r="F988" t="s">
        <v>851</v>
      </c>
      <c r="G988" s="22">
        <v>28321</v>
      </c>
      <c r="H988" s="21">
        <v>43.994520547945207</v>
      </c>
      <c r="I988" t="s">
        <v>1318</v>
      </c>
      <c r="J988" t="s">
        <v>4485</v>
      </c>
      <c r="K988" t="s">
        <v>4486</v>
      </c>
      <c r="L988">
        <v>3115114911</v>
      </c>
    </row>
    <row r="989" spans="1:12" x14ac:dyDescent="0.25">
      <c r="A989">
        <v>989</v>
      </c>
      <c r="B989" t="s">
        <v>1940</v>
      </c>
      <c r="C989" t="s">
        <v>143</v>
      </c>
      <c r="D989" t="s">
        <v>32</v>
      </c>
      <c r="E989" t="s">
        <v>722</v>
      </c>
      <c r="F989" t="s">
        <v>817</v>
      </c>
      <c r="G989" s="22">
        <v>28930</v>
      </c>
      <c r="H989" s="21">
        <v>42.326027397260276</v>
      </c>
      <c r="I989" t="s">
        <v>1319</v>
      </c>
      <c r="J989" t="s">
        <v>4487</v>
      </c>
      <c r="K989" t="s">
        <v>4488</v>
      </c>
      <c r="L989">
        <v>3115114910</v>
      </c>
    </row>
    <row r="990" spans="1:12" x14ac:dyDescent="0.25">
      <c r="A990">
        <v>990</v>
      </c>
      <c r="B990" t="s">
        <v>1941</v>
      </c>
      <c r="C990" t="s">
        <v>10</v>
      </c>
      <c r="D990" t="s">
        <v>1416</v>
      </c>
      <c r="E990" t="s">
        <v>820</v>
      </c>
      <c r="F990" t="s">
        <v>844</v>
      </c>
      <c r="G990" s="22">
        <v>29221</v>
      </c>
      <c r="H990" s="21">
        <v>41.528767123287672</v>
      </c>
      <c r="I990" t="s">
        <v>1320</v>
      </c>
      <c r="J990" t="s">
        <v>4489</v>
      </c>
      <c r="K990" t="s">
        <v>4490</v>
      </c>
      <c r="L990">
        <v>3115114909</v>
      </c>
    </row>
    <row r="991" spans="1:12" x14ac:dyDescent="0.25">
      <c r="A991">
        <v>991</v>
      </c>
      <c r="B991" t="s">
        <v>1942</v>
      </c>
      <c r="C991" t="s">
        <v>140</v>
      </c>
      <c r="D991" t="s">
        <v>17</v>
      </c>
      <c r="E991" t="s">
        <v>712</v>
      </c>
      <c r="F991" t="s">
        <v>813</v>
      </c>
      <c r="G991" s="22">
        <v>27085</v>
      </c>
      <c r="H991" s="21">
        <v>47.38082191780822</v>
      </c>
      <c r="I991" t="s">
        <v>1321</v>
      </c>
      <c r="J991" t="s">
        <v>4491</v>
      </c>
      <c r="K991" t="s">
        <v>4492</v>
      </c>
      <c r="L991">
        <v>3115060130</v>
      </c>
    </row>
    <row r="992" spans="1:12" x14ac:dyDescent="0.25">
      <c r="A992">
        <v>992</v>
      </c>
      <c r="B992" t="s">
        <v>1943</v>
      </c>
      <c r="C992" t="s">
        <v>31</v>
      </c>
      <c r="D992" t="s">
        <v>893</v>
      </c>
      <c r="E992" t="s">
        <v>707</v>
      </c>
      <c r="F992" t="s">
        <v>809</v>
      </c>
      <c r="G992" s="22">
        <v>36658</v>
      </c>
      <c r="H992" s="21">
        <v>21.153424657534245</v>
      </c>
      <c r="I992" t="s">
        <v>1322</v>
      </c>
      <c r="J992" t="s">
        <v>4493</v>
      </c>
      <c r="K992" t="s">
        <v>4494</v>
      </c>
      <c r="L992">
        <v>3115060125</v>
      </c>
    </row>
    <row r="993" spans="1:12" x14ac:dyDescent="0.25">
      <c r="A993">
        <v>993</v>
      </c>
      <c r="B993" t="s">
        <v>1944</v>
      </c>
      <c r="C993" t="s">
        <v>198</v>
      </c>
      <c r="D993" t="s">
        <v>6</v>
      </c>
      <c r="E993" t="s">
        <v>673</v>
      </c>
      <c r="F993" t="s">
        <v>740</v>
      </c>
      <c r="G993" s="22">
        <v>24508</v>
      </c>
      <c r="H993" s="21">
        <v>54.441095890410956</v>
      </c>
      <c r="I993" t="s">
        <v>1323</v>
      </c>
      <c r="J993" t="s">
        <v>4495</v>
      </c>
      <c r="K993" t="s">
        <v>4496</v>
      </c>
      <c r="L993">
        <v>3115060110</v>
      </c>
    </row>
    <row r="994" spans="1:12" x14ac:dyDescent="0.25">
      <c r="A994">
        <v>994</v>
      </c>
      <c r="B994" t="s">
        <v>1945</v>
      </c>
      <c r="C994" t="s">
        <v>935</v>
      </c>
      <c r="D994" t="s">
        <v>18</v>
      </c>
      <c r="E994" t="s">
        <v>774</v>
      </c>
      <c r="F994" t="s">
        <v>750</v>
      </c>
      <c r="G994" s="22">
        <v>33222</v>
      </c>
      <c r="H994" s="21">
        <v>30.567123287671233</v>
      </c>
      <c r="I994" t="s">
        <v>1324</v>
      </c>
      <c r="J994" t="s">
        <v>4497</v>
      </c>
      <c r="K994" t="s">
        <v>4498</v>
      </c>
      <c r="L994">
        <v>3115060091</v>
      </c>
    </row>
    <row r="995" spans="1:12" x14ac:dyDescent="0.25">
      <c r="A995">
        <v>995</v>
      </c>
      <c r="B995" t="s">
        <v>1946</v>
      </c>
      <c r="C995" t="s">
        <v>301</v>
      </c>
      <c r="D995" t="s">
        <v>9</v>
      </c>
      <c r="E995" t="s">
        <v>701</v>
      </c>
      <c r="F995" t="s">
        <v>676</v>
      </c>
      <c r="G995" s="22">
        <v>26801</v>
      </c>
      <c r="H995" s="21">
        <v>48.158904109589038</v>
      </c>
      <c r="I995" t="s">
        <v>1325</v>
      </c>
      <c r="J995" t="s">
        <v>4499</v>
      </c>
      <c r="K995" t="s">
        <v>4500</v>
      </c>
      <c r="L995">
        <v>3115060080</v>
      </c>
    </row>
    <row r="996" spans="1:12" x14ac:dyDescent="0.25">
      <c r="A996">
        <v>996</v>
      </c>
      <c r="B996" t="s">
        <v>1947</v>
      </c>
      <c r="C996" t="s">
        <v>988</v>
      </c>
      <c r="D996" t="s">
        <v>31</v>
      </c>
      <c r="E996" t="s">
        <v>754</v>
      </c>
      <c r="F996" t="s">
        <v>751</v>
      </c>
      <c r="G996" s="22">
        <v>34341</v>
      </c>
      <c r="H996" s="21">
        <v>27.5013698630137</v>
      </c>
      <c r="I996" t="s">
        <v>1326</v>
      </c>
      <c r="J996" t="s">
        <v>4501</v>
      </c>
      <c r="K996" t="s">
        <v>4502</v>
      </c>
      <c r="L996">
        <v>3115114385</v>
      </c>
    </row>
    <row r="997" spans="1:12" x14ac:dyDescent="0.25">
      <c r="A997">
        <v>997</v>
      </c>
      <c r="B997" t="s">
        <v>1948</v>
      </c>
      <c r="C997" t="s">
        <v>140</v>
      </c>
      <c r="D997" t="s">
        <v>1417</v>
      </c>
      <c r="E997" t="s">
        <v>841</v>
      </c>
      <c r="F997" t="s">
        <v>762</v>
      </c>
      <c r="G997" s="22">
        <v>27720</v>
      </c>
      <c r="H997" s="21">
        <v>45.641095890410959</v>
      </c>
      <c r="I997" t="s">
        <v>1261</v>
      </c>
      <c r="J997" t="s">
        <v>4503</v>
      </c>
      <c r="K997" t="s">
        <v>4504</v>
      </c>
      <c r="L997">
        <v>3115114360</v>
      </c>
    </row>
    <row r="998" spans="1:12" x14ac:dyDescent="0.25">
      <c r="A998">
        <v>998</v>
      </c>
      <c r="B998" t="s">
        <v>1949</v>
      </c>
      <c r="C998" t="s">
        <v>1418</v>
      </c>
      <c r="D998" t="s">
        <v>32</v>
      </c>
      <c r="E998" t="s">
        <v>831</v>
      </c>
      <c r="F998" t="s">
        <v>835</v>
      </c>
      <c r="G998" s="22">
        <v>35742</v>
      </c>
      <c r="H998" s="21">
        <v>23.663013698630138</v>
      </c>
      <c r="I998" t="s">
        <v>1327</v>
      </c>
      <c r="J998" t="s">
        <v>4505</v>
      </c>
      <c r="K998" t="s">
        <v>4506</v>
      </c>
      <c r="L998">
        <v>3115093653</v>
      </c>
    </row>
    <row r="999" spans="1:12" x14ac:dyDescent="0.25">
      <c r="A999">
        <v>999</v>
      </c>
      <c r="B999" t="s">
        <v>1950</v>
      </c>
      <c r="C999" t="s">
        <v>926</v>
      </c>
      <c r="D999" t="s">
        <v>936</v>
      </c>
      <c r="E999" t="s">
        <v>825</v>
      </c>
      <c r="F999" t="s">
        <v>732</v>
      </c>
      <c r="G999" s="22">
        <v>31502</v>
      </c>
      <c r="H999" s="21">
        <v>35.279452054794518</v>
      </c>
      <c r="I999" t="s">
        <v>1328</v>
      </c>
      <c r="J999" t="s">
        <v>4507</v>
      </c>
      <c r="K999" t="s">
        <v>4508</v>
      </c>
      <c r="L999">
        <v>3115093598</v>
      </c>
    </row>
    <row r="1000" spans="1:12" x14ac:dyDescent="0.25">
      <c r="A1000">
        <v>1000</v>
      </c>
      <c r="B1000" t="s">
        <v>1951</v>
      </c>
      <c r="C1000" t="s">
        <v>9</v>
      </c>
      <c r="D1000" t="s">
        <v>1419</v>
      </c>
      <c r="E1000" t="s">
        <v>680</v>
      </c>
      <c r="F1000" t="s">
        <v>836</v>
      </c>
      <c r="G1000" s="22">
        <v>36453</v>
      </c>
      <c r="H1000" s="21">
        <v>21.715068493150685</v>
      </c>
      <c r="I1000" t="s">
        <v>1311</v>
      </c>
      <c r="J1000" t="s">
        <v>4509</v>
      </c>
      <c r="K1000" t="s">
        <v>4510</v>
      </c>
      <c r="L1000">
        <v>3115093583</v>
      </c>
    </row>
    <row r="1001" spans="1:12" x14ac:dyDescent="0.25">
      <c r="A1001">
        <v>1001</v>
      </c>
      <c r="B1001" t="s">
        <v>1952</v>
      </c>
      <c r="C1001" t="s">
        <v>1086</v>
      </c>
      <c r="D1001" t="s">
        <v>9</v>
      </c>
      <c r="E1001" t="s">
        <v>710</v>
      </c>
      <c r="F1001" t="s">
        <v>790</v>
      </c>
      <c r="G1001" s="22">
        <v>25585</v>
      </c>
      <c r="H1001" s="21">
        <v>51.490410958904107</v>
      </c>
      <c r="I1001" t="s">
        <v>1329</v>
      </c>
      <c r="J1001" t="s">
        <v>4511</v>
      </c>
      <c r="K1001" t="s">
        <v>4512</v>
      </c>
      <c r="L1001">
        <v>3115092386</v>
      </c>
    </row>
    <row r="1002" spans="1:12" x14ac:dyDescent="0.25">
      <c r="A1002">
        <v>1002</v>
      </c>
      <c r="B1002" t="s">
        <v>1953</v>
      </c>
      <c r="C1002" t="s">
        <v>937</v>
      </c>
      <c r="D1002" t="s">
        <v>22</v>
      </c>
      <c r="E1002" t="s">
        <v>744</v>
      </c>
      <c r="F1002" t="s">
        <v>812</v>
      </c>
      <c r="G1002" s="22">
        <v>27892</v>
      </c>
      <c r="H1002" s="21">
        <v>45.169863013698631</v>
      </c>
      <c r="I1002" t="s">
        <v>1330</v>
      </c>
      <c r="J1002" t="s">
        <v>4513</v>
      </c>
      <c r="K1002" t="s">
        <v>4514</v>
      </c>
      <c r="L1002">
        <v>3115092375</v>
      </c>
    </row>
    <row r="1003" spans="1:12" x14ac:dyDescent="0.25">
      <c r="A1003">
        <v>1003</v>
      </c>
      <c r="B1003" t="s">
        <v>1954</v>
      </c>
      <c r="C1003" t="s">
        <v>939</v>
      </c>
      <c r="D1003" t="s">
        <v>1420</v>
      </c>
      <c r="E1003" t="s">
        <v>834</v>
      </c>
      <c r="F1003" t="s">
        <v>244</v>
      </c>
      <c r="G1003" s="22">
        <v>27316</v>
      </c>
      <c r="H1003" s="21">
        <v>46.747945205479454</v>
      </c>
      <c r="I1003" t="s">
        <v>1331</v>
      </c>
      <c r="J1003" t="s">
        <v>4515</v>
      </c>
      <c r="K1003" t="s">
        <v>4516</v>
      </c>
      <c r="L1003">
        <v>3115092369</v>
      </c>
    </row>
    <row r="1004" spans="1:12" x14ac:dyDescent="0.25">
      <c r="A1004">
        <v>1004</v>
      </c>
      <c r="B1004" t="s">
        <v>1955</v>
      </c>
      <c r="C1004" t="s">
        <v>941</v>
      </c>
      <c r="D1004" t="s">
        <v>218</v>
      </c>
      <c r="E1004" t="s">
        <v>670</v>
      </c>
      <c r="F1004" t="s">
        <v>780</v>
      </c>
      <c r="G1004" s="22">
        <v>24551</v>
      </c>
      <c r="H1004" s="21">
        <v>54.323287671232876</v>
      </c>
      <c r="I1004" t="s">
        <v>1180</v>
      </c>
      <c r="J1004" t="s">
        <v>4517</v>
      </c>
      <c r="K1004" t="s">
        <v>4518</v>
      </c>
      <c r="L1004">
        <v>3115092360</v>
      </c>
    </row>
    <row r="1005" spans="1:12" x14ac:dyDescent="0.25">
      <c r="A1005">
        <v>1005</v>
      </c>
      <c r="B1005" t="s">
        <v>1956</v>
      </c>
      <c r="C1005" t="s">
        <v>1023</v>
      </c>
      <c r="D1005" t="s">
        <v>626</v>
      </c>
      <c r="E1005" t="s">
        <v>772</v>
      </c>
      <c r="F1005" t="s">
        <v>785</v>
      </c>
      <c r="G1005" s="22">
        <v>26530</v>
      </c>
      <c r="H1005" s="21">
        <v>48.901369863013699</v>
      </c>
      <c r="I1005" t="s">
        <v>1177</v>
      </c>
      <c r="J1005" t="s">
        <v>4519</v>
      </c>
      <c r="K1005" t="s">
        <v>4520</v>
      </c>
      <c r="L1005">
        <v>3115092352</v>
      </c>
    </row>
    <row r="1006" spans="1:12" x14ac:dyDescent="0.25">
      <c r="A1006">
        <v>1006</v>
      </c>
      <c r="B1006" t="s">
        <v>1957</v>
      </c>
      <c r="C1006" t="s">
        <v>931</v>
      </c>
      <c r="D1006" t="s">
        <v>7</v>
      </c>
      <c r="E1006" t="s">
        <v>702</v>
      </c>
      <c r="F1006" t="s">
        <v>225</v>
      </c>
      <c r="G1006" s="22">
        <v>35104</v>
      </c>
      <c r="H1006" s="21">
        <v>25.410958904109588</v>
      </c>
      <c r="I1006" t="s">
        <v>1165</v>
      </c>
      <c r="J1006" t="s">
        <v>4521</v>
      </c>
      <c r="K1006" t="s">
        <v>4522</v>
      </c>
      <c r="L1006">
        <v>3115114930</v>
      </c>
    </row>
    <row r="1007" spans="1:12" x14ac:dyDescent="0.25">
      <c r="A1007">
        <v>1007</v>
      </c>
      <c r="B1007" t="s">
        <v>1958</v>
      </c>
      <c r="C1007" t="s">
        <v>935</v>
      </c>
      <c r="D1007" t="s">
        <v>18</v>
      </c>
      <c r="E1007" t="s">
        <v>833</v>
      </c>
      <c r="F1007" t="s">
        <v>681</v>
      </c>
      <c r="G1007" s="22">
        <v>32046</v>
      </c>
      <c r="H1007" s="21">
        <v>33.789041095890411</v>
      </c>
      <c r="I1007" t="s">
        <v>1332</v>
      </c>
      <c r="J1007" t="s">
        <v>4523</v>
      </c>
      <c r="K1007" t="s">
        <v>4524</v>
      </c>
      <c r="L1007">
        <v>3115114916</v>
      </c>
    </row>
    <row r="1008" spans="1:12" x14ac:dyDescent="0.25">
      <c r="A1008">
        <v>1008</v>
      </c>
      <c r="B1008" t="s">
        <v>1959</v>
      </c>
      <c r="C1008" t="s">
        <v>907</v>
      </c>
      <c r="D1008" t="s">
        <v>7</v>
      </c>
      <c r="E1008" t="s">
        <v>708</v>
      </c>
      <c r="F1008" t="s">
        <v>456</v>
      </c>
      <c r="G1008" s="22">
        <v>27041</v>
      </c>
      <c r="H1008" s="21">
        <v>47.5013698630137</v>
      </c>
      <c r="I1008" t="s">
        <v>1333</v>
      </c>
      <c r="J1008" t="s">
        <v>4525</v>
      </c>
      <c r="K1008" t="s">
        <v>4526</v>
      </c>
      <c r="L1008">
        <v>3115114911</v>
      </c>
    </row>
    <row r="1009" spans="1:12" x14ac:dyDescent="0.25">
      <c r="A1009">
        <v>1009</v>
      </c>
      <c r="B1009" t="s">
        <v>1960</v>
      </c>
      <c r="C1009" t="s">
        <v>149</v>
      </c>
      <c r="D1009" t="s">
        <v>1421</v>
      </c>
      <c r="E1009" t="s">
        <v>475</v>
      </c>
      <c r="F1009" t="s">
        <v>840</v>
      </c>
      <c r="G1009" s="22">
        <v>29319</v>
      </c>
      <c r="H1009" s="21">
        <v>41.260273972602739</v>
      </c>
      <c r="I1009" t="s">
        <v>1334</v>
      </c>
      <c r="J1009" t="s">
        <v>4527</v>
      </c>
      <c r="K1009" t="s">
        <v>4528</v>
      </c>
      <c r="L1009">
        <v>3115114910</v>
      </c>
    </row>
    <row r="1010" spans="1:12" x14ac:dyDescent="0.25">
      <c r="A1010">
        <v>1010</v>
      </c>
      <c r="B1010" t="s">
        <v>1961</v>
      </c>
      <c r="C1010" t="s">
        <v>943</v>
      </c>
      <c r="D1010" t="s">
        <v>1422</v>
      </c>
      <c r="E1010" t="s">
        <v>818</v>
      </c>
      <c r="F1010" t="s">
        <v>247</v>
      </c>
      <c r="G1010" s="22">
        <v>25996</v>
      </c>
      <c r="H1010" s="21">
        <v>50.364383561643834</v>
      </c>
      <c r="I1010" t="s">
        <v>1335</v>
      </c>
      <c r="J1010" t="s">
        <v>4529</v>
      </c>
      <c r="K1010" t="s">
        <v>4530</v>
      </c>
      <c r="L1010">
        <v>3115114909</v>
      </c>
    </row>
    <row r="1011" spans="1:12" x14ac:dyDescent="0.25">
      <c r="A1011">
        <v>1011</v>
      </c>
      <c r="B1011" t="s">
        <v>1962</v>
      </c>
      <c r="C1011" t="s">
        <v>20</v>
      </c>
      <c r="D1011" t="s">
        <v>955</v>
      </c>
      <c r="E1011" t="s">
        <v>704</v>
      </c>
      <c r="F1011" t="s">
        <v>733</v>
      </c>
      <c r="G1011" s="22">
        <v>31005</v>
      </c>
      <c r="H1011" s="21">
        <v>36.641095890410959</v>
      </c>
      <c r="I1011" t="s">
        <v>1336</v>
      </c>
      <c r="J1011" t="s">
        <v>4531</v>
      </c>
      <c r="K1011" t="s">
        <v>4532</v>
      </c>
      <c r="L1011">
        <v>3115060130</v>
      </c>
    </row>
    <row r="1012" spans="1:12" x14ac:dyDescent="0.25">
      <c r="A1012">
        <v>1012</v>
      </c>
      <c r="B1012" t="s">
        <v>1963</v>
      </c>
      <c r="C1012" t="s">
        <v>993</v>
      </c>
      <c r="D1012" t="s">
        <v>894</v>
      </c>
      <c r="E1012" t="s">
        <v>720</v>
      </c>
      <c r="F1012" t="s">
        <v>721</v>
      </c>
      <c r="G1012" s="22">
        <v>36169</v>
      </c>
      <c r="H1012" s="21">
        <v>22.493150684931507</v>
      </c>
      <c r="I1012" t="s">
        <v>1337</v>
      </c>
      <c r="J1012" t="s">
        <v>4533</v>
      </c>
      <c r="K1012" t="s">
        <v>4534</v>
      </c>
      <c r="L1012">
        <v>3115060125</v>
      </c>
    </row>
    <row r="1013" spans="1:12" x14ac:dyDescent="0.25">
      <c r="A1013">
        <v>1013</v>
      </c>
      <c r="B1013" t="s">
        <v>1964</v>
      </c>
      <c r="C1013" t="s">
        <v>944</v>
      </c>
      <c r="D1013" t="s">
        <v>82</v>
      </c>
      <c r="E1013" t="s">
        <v>221</v>
      </c>
      <c r="F1013" t="s">
        <v>705</v>
      </c>
      <c r="G1013" s="22">
        <v>34512</v>
      </c>
      <c r="H1013" s="21">
        <v>27.032876712328768</v>
      </c>
      <c r="I1013" t="s">
        <v>1338</v>
      </c>
      <c r="J1013" t="s">
        <v>4535</v>
      </c>
      <c r="K1013" t="s">
        <v>4536</v>
      </c>
      <c r="L1013">
        <v>3115060110</v>
      </c>
    </row>
    <row r="1014" spans="1:12" x14ac:dyDescent="0.25">
      <c r="A1014">
        <v>1014</v>
      </c>
      <c r="B1014" t="s">
        <v>1965</v>
      </c>
      <c r="C1014" t="s">
        <v>1423</v>
      </c>
      <c r="D1014" t="s">
        <v>1420</v>
      </c>
      <c r="E1014" t="s">
        <v>839</v>
      </c>
      <c r="F1014" t="s">
        <v>753</v>
      </c>
      <c r="G1014" s="22">
        <v>28666</v>
      </c>
      <c r="H1014" s="21">
        <v>43.049315068493151</v>
      </c>
      <c r="I1014" t="s">
        <v>1236</v>
      </c>
      <c r="J1014" t="s">
        <v>4537</v>
      </c>
      <c r="K1014" t="s">
        <v>4538</v>
      </c>
      <c r="L1014">
        <v>3115060091</v>
      </c>
    </row>
    <row r="1015" spans="1:12" x14ac:dyDescent="0.25">
      <c r="A1015">
        <v>1015</v>
      </c>
      <c r="B1015" t="s">
        <v>1966</v>
      </c>
      <c r="C1015" t="s">
        <v>956</v>
      </c>
      <c r="D1015" t="s">
        <v>6</v>
      </c>
      <c r="E1015" t="s">
        <v>727</v>
      </c>
      <c r="F1015" t="s">
        <v>781</v>
      </c>
      <c r="G1015" s="22">
        <v>35607</v>
      </c>
      <c r="H1015" s="21">
        <v>24.032876712328768</v>
      </c>
      <c r="I1015" t="s">
        <v>1339</v>
      </c>
      <c r="J1015" t="s">
        <v>4539</v>
      </c>
      <c r="K1015" t="s">
        <v>4540</v>
      </c>
      <c r="L1015">
        <v>3115060080</v>
      </c>
    </row>
    <row r="1016" spans="1:12" x14ac:dyDescent="0.25">
      <c r="A1016">
        <v>1016</v>
      </c>
      <c r="B1016" t="s">
        <v>1967</v>
      </c>
      <c r="C1016" t="s">
        <v>625</v>
      </c>
      <c r="D1016" t="s">
        <v>957</v>
      </c>
      <c r="E1016" t="s">
        <v>42</v>
      </c>
      <c r="F1016" t="s">
        <v>816</v>
      </c>
      <c r="G1016" s="22">
        <v>32625</v>
      </c>
      <c r="H1016" s="21">
        <v>32.202739726027396</v>
      </c>
      <c r="I1016" t="s">
        <v>1340</v>
      </c>
      <c r="J1016" t="s">
        <v>4541</v>
      </c>
      <c r="K1016" t="s">
        <v>4542</v>
      </c>
      <c r="L1016">
        <v>3115114385</v>
      </c>
    </row>
    <row r="1017" spans="1:12" x14ac:dyDescent="0.25">
      <c r="A1017">
        <v>1017</v>
      </c>
      <c r="B1017" t="s">
        <v>1968</v>
      </c>
      <c r="C1017" t="s">
        <v>307</v>
      </c>
      <c r="D1017" t="s">
        <v>897</v>
      </c>
      <c r="E1017" t="s">
        <v>767</v>
      </c>
      <c r="F1017" t="s">
        <v>807</v>
      </c>
      <c r="G1017" s="22">
        <v>33563</v>
      </c>
      <c r="H1017" s="21">
        <v>29.632876712328766</v>
      </c>
      <c r="I1017" t="s">
        <v>1341</v>
      </c>
      <c r="J1017" t="s">
        <v>4543</v>
      </c>
      <c r="K1017" t="s">
        <v>4544</v>
      </c>
      <c r="L1017">
        <v>3115114360</v>
      </c>
    </row>
    <row r="1018" spans="1:12" x14ac:dyDescent="0.25">
      <c r="A1018">
        <v>1018</v>
      </c>
      <c r="B1018" t="s">
        <v>1969</v>
      </c>
      <c r="C1018" t="s">
        <v>946</v>
      </c>
      <c r="D1018" t="s">
        <v>18</v>
      </c>
      <c r="E1018" t="s">
        <v>474</v>
      </c>
      <c r="F1018" t="s">
        <v>829</v>
      </c>
      <c r="G1018" s="22">
        <v>29931</v>
      </c>
      <c r="H1018" s="21">
        <v>39.583561643835615</v>
      </c>
      <c r="I1018" t="s">
        <v>1342</v>
      </c>
      <c r="J1018" t="s">
        <v>4545</v>
      </c>
      <c r="K1018" t="s">
        <v>4546</v>
      </c>
      <c r="L1018">
        <v>3115093653</v>
      </c>
    </row>
    <row r="1019" spans="1:12" x14ac:dyDescent="0.25">
      <c r="A1019">
        <v>1019</v>
      </c>
      <c r="B1019" t="s">
        <v>1970</v>
      </c>
      <c r="C1019" t="s">
        <v>1084</v>
      </c>
      <c r="D1019" t="s">
        <v>98</v>
      </c>
      <c r="E1019" t="s">
        <v>804</v>
      </c>
      <c r="F1019" t="s">
        <v>679</v>
      </c>
      <c r="G1019" s="22">
        <v>24686</v>
      </c>
      <c r="H1019" s="21">
        <v>53.953424657534249</v>
      </c>
      <c r="I1019" t="s">
        <v>1343</v>
      </c>
      <c r="J1019" t="s">
        <v>4547</v>
      </c>
      <c r="K1019" t="s">
        <v>4548</v>
      </c>
      <c r="L1019">
        <v>3115093598</v>
      </c>
    </row>
    <row r="1020" spans="1:12" x14ac:dyDescent="0.25">
      <c r="A1020">
        <v>1020</v>
      </c>
      <c r="B1020" t="s">
        <v>1971</v>
      </c>
      <c r="C1020" t="s">
        <v>67</v>
      </c>
      <c r="D1020" t="s">
        <v>1424</v>
      </c>
      <c r="E1020" t="s">
        <v>793</v>
      </c>
      <c r="F1020" t="s">
        <v>743</v>
      </c>
      <c r="G1020" s="22">
        <v>35170</v>
      </c>
      <c r="H1020" s="21">
        <v>25.230136986301371</v>
      </c>
      <c r="I1020" t="s">
        <v>1344</v>
      </c>
      <c r="J1020" t="s">
        <v>4549</v>
      </c>
      <c r="K1020" t="s">
        <v>4550</v>
      </c>
      <c r="L1020">
        <v>3115093583</v>
      </c>
    </row>
    <row r="1021" spans="1:12" x14ac:dyDescent="0.25">
      <c r="A1021">
        <v>1021</v>
      </c>
      <c r="B1021" t="s">
        <v>1972</v>
      </c>
      <c r="C1021" t="s">
        <v>67</v>
      </c>
      <c r="D1021" t="s">
        <v>620</v>
      </c>
      <c r="E1021" t="s">
        <v>759</v>
      </c>
      <c r="F1021" t="s">
        <v>458</v>
      </c>
      <c r="G1021" s="22">
        <v>35716</v>
      </c>
      <c r="H1021" s="21">
        <v>23.734246575342464</v>
      </c>
      <c r="I1021" t="s">
        <v>1345</v>
      </c>
      <c r="J1021" t="s">
        <v>4551</v>
      </c>
      <c r="K1021" t="s">
        <v>4552</v>
      </c>
      <c r="L1021">
        <v>3115092386</v>
      </c>
    </row>
    <row r="1022" spans="1:12" x14ac:dyDescent="0.25">
      <c r="A1022">
        <v>1022</v>
      </c>
      <c r="B1022" t="s">
        <v>1973</v>
      </c>
      <c r="C1022" t="s">
        <v>1425</v>
      </c>
      <c r="D1022" t="s">
        <v>17</v>
      </c>
      <c r="E1022" t="s">
        <v>693</v>
      </c>
      <c r="F1022" t="s">
        <v>699</v>
      </c>
      <c r="G1022" s="22">
        <v>31923</v>
      </c>
      <c r="H1022" s="21">
        <v>34.126027397260273</v>
      </c>
      <c r="I1022" t="s">
        <v>1346</v>
      </c>
      <c r="J1022" t="s">
        <v>4553</v>
      </c>
      <c r="K1022" t="s">
        <v>4554</v>
      </c>
      <c r="L1022">
        <v>3115092375</v>
      </c>
    </row>
    <row r="1023" spans="1:12" x14ac:dyDescent="0.25">
      <c r="A1023">
        <v>1023</v>
      </c>
      <c r="B1023" t="s">
        <v>1974</v>
      </c>
      <c r="C1023" t="s">
        <v>1426</v>
      </c>
      <c r="D1023" t="s">
        <v>204</v>
      </c>
      <c r="E1023" t="s">
        <v>470</v>
      </c>
      <c r="F1023" t="s">
        <v>715</v>
      </c>
      <c r="G1023" s="22">
        <v>28321</v>
      </c>
      <c r="H1023" s="21">
        <v>43.994520547945207</v>
      </c>
      <c r="I1023" t="s">
        <v>1347</v>
      </c>
      <c r="J1023" t="s">
        <v>4555</v>
      </c>
      <c r="K1023" t="s">
        <v>4556</v>
      </c>
      <c r="L1023">
        <v>3115092369</v>
      </c>
    </row>
    <row r="1024" spans="1:12" x14ac:dyDescent="0.25">
      <c r="A1024">
        <v>1024</v>
      </c>
      <c r="B1024" t="s">
        <v>1975</v>
      </c>
      <c r="C1024" t="s">
        <v>926</v>
      </c>
      <c r="D1024" t="s">
        <v>1427</v>
      </c>
      <c r="E1024" t="s">
        <v>749</v>
      </c>
      <c r="F1024" t="s">
        <v>846</v>
      </c>
      <c r="G1024" s="22">
        <v>28930</v>
      </c>
      <c r="H1024" s="21">
        <v>42.326027397260276</v>
      </c>
      <c r="I1024" t="s">
        <v>1182</v>
      </c>
      <c r="J1024" t="s">
        <v>4557</v>
      </c>
      <c r="K1024" t="s">
        <v>4558</v>
      </c>
      <c r="L1024">
        <v>3115092360</v>
      </c>
    </row>
    <row r="1025" spans="1:12" x14ac:dyDescent="0.25">
      <c r="A1025">
        <v>1025</v>
      </c>
      <c r="B1025" t="s">
        <v>1976</v>
      </c>
      <c r="C1025" t="s">
        <v>958</v>
      </c>
      <c r="D1025" t="s">
        <v>959</v>
      </c>
      <c r="E1025" t="s">
        <v>235</v>
      </c>
      <c r="F1025" t="s">
        <v>687</v>
      </c>
      <c r="G1025" s="22">
        <v>29221</v>
      </c>
      <c r="H1025" s="21">
        <v>41.528767123287672</v>
      </c>
      <c r="I1025" t="s">
        <v>1348</v>
      </c>
      <c r="J1025" t="s">
        <v>4559</v>
      </c>
      <c r="K1025" t="s">
        <v>4560</v>
      </c>
      <c r="L1025">
        <v>3115092352</v>
      </c>
    </row>
    <row r="1026" spans="1:12" x14ac:dyDescent="0.25">
      <c r="A1026">
        <v>1026</v>
      </c>
      <c r="B1026" t="s">
        <v>1977</v>
      </c>
      <c r="C1026" t="s">
        <v>1428</v>
      </c>
      <c r="D1026" t="s">
        <v>195</v>
      </c>
      <c r="E1026" t="s">
        <v>737</v>
      </c>
      <c r="F1026" t="s">
        <v>2476</v>
      </c>
      <c r="G1026" s="22">
        <v>27085</v>
      </c>
      <c r="H1026" s="21">
        <v>47.38082191780822</v>
      </c>
      <c r="I1026" t="s">
        <v>1349</v>
      </c>
      <c r="J1026" t="s">
        <v>4561</v>
      </c>
      <c r="K1026" t="s">
        <v>4562</v>
      </c>
      <c r="L1026">
        <v>3115114930</v>
      </c>
    </row>
    <row r="1027" spans="1:12" x14ac:dyDescent="0.25">
      <c r="A1027">
        <v>1027</v>
      </c>
      <c r="B1027" t="s">
        <v>1978</v>
      </c>
      <c r="C1027" t="s">
        <v>129</v>
      </c>
      <c r="D1027" t="s">
        <v>1049</v>
      </c>
      <c r="E1027" t="s">
        <v>784</v>
      </c>
      <c r="F1027" t="s">
        <v>851</v>
      </c>
      <c r="G1027" s="22">
        <v>36658</v>
      </c>
      <c r="H1027" s="21">
        <v>21.153424657534245</v>
      </c>
      <c r="I1027" t="s">
        <v>1350</v>
      </c>
      <c r="J1027" t="s">
        <v>4563</v>
      </c>
      <c r="K1027" t="s">
        <v>4564</v>
      </c>
      <c r="L1027">
        <v>3115114916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N543"/>
  <sheetViews>
    <sheetView topLeftCell="D1" zoomScaleNormal="100" workbookViewId="0">
      <selection activeCell="D1" sqref="A1:XFD1048576"/>
    </sheetView>
  </sheetViews>
  <sheetFormatPr baseColWidth="10" defaultColWidth="14.44140625" defaultRowHeight="15.75" customHeight="1" x14ac:dyDescent="0.25"/>
  <cols>
    <col min="2" max="2" width="20.44140625" customWidth="1"/>
    <col min="3" max="3" width="22.109375" customWidth="1"/>
    <col min="4" max="4" width="21.5546875" customWidth="1"/>
    <col min="5" max="5" width="22.33203125" customWidth="1"/>
    <col min="6" max="6" width="22.44140625" customWidth="1"/>
    <col min="7" max="7" width="11.44140625" style="13" customWidth="1"/>
    <col min="8" max="8" width="39.44140625" customWidth="1"/>
    <col min="9" max="9" width="30.109375" customWidth="1"/>
    <col min="10" max="10" width="15" customWidth="1"/>
    <col min="11" max="11" width="47" customWidth="1"/>
    <col min="12" max="12" width="13.88671875" customWidth="1"/>
    <col min="14" max="14" width="14.44140625" style="13"/>
  </cols>
  <sheetData>
    <row r="1" spans="1:14" ht="13.2" x14ac:dyDescent="0.25">
      <c r="A1" s="1" t="s">
        <v>1436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495</v>
      </c>
      <c r="H1" s="1" t="s">
        <v>5</v>
      </c>
      <c r="I1" s="1" t="s">
        <v>2464</v>
      </c>
      <c r="J1" s="1" t="s">
        <v>2501</v>
      </c>
      <c r="K1" s="1" t="s">
        <v>2479</v>
      </c>
      <c r="L1" s="18" t="s">
        <v>2502</v>
      </c>
      <c r="M1" s="18" t="s">
        <v>2480</v>
      </c>
      <c r="N1" s="19" t="s">
        <v>2509</v>
      </c>
    </row>
    <row r="2" spans="1:14" ht="15.75" customHeight="1" x14ac:dyDescent="0.25">
      <c r="A2" t="s">
        <v>1979</v>
      </c>
      <c r="B2" s="2" t="s">
        <v>330</v>
      </c>
      <c r="C2" s="2" t="s">
        <v>349</v>
      </c>
      <c r="D2" s="2" t="s">
        <v>331</v>
      </c>
      <c r="E2" s="2" t="s">
        <v>445</v>
      </c>
      <c r="F2" s="6">
        <v>26348</v>
      </c>
      <c r="G2" s="16">
        <f t="shared" ref="G2:G65" ca="1" si="0">(TODAY()-F2)/365</f>
        <v>49.402739726027399</v>
      </c>
      <c r="H2" s="2" t="s">
        <v>529</v>
      </c>
      <c r="I2" t="str" cm="1">
        <f t="array" ref="I2">ADAPTAR(B2)&amp;ADAPTAR(C2)&amp;"_"&amp;ADAPTAR(E2)&amp;F2</f>
        <v>andrescamilo_leyva26348</v>
      </c>
      <c r="J2" s="13">
        <v>0</v>
      </c>
      <c r="K2" t="str" cm="1">
        <f t="array" ref="K2">ADAPTAR(B2)&amp;"."&amp;ADAPTAR(D2)&amp;YEAR(F2)&amp;"@"&amp;VLOOKUP(J2,Dominios!$A$2:$B$30,2,FALSE)</f>
        <v>andres.monroy1972@auribus.com.co</v>
      </c>
      <c r="L2" s="13">
        <v>0</v>
      </c>
      <c r="M2">
        <f>VLOOKUP(L2,Celulares!$A$2:$B$30,2,FALSE)</f>
        <v>3115114930</v>
      </c>
      <c r="N2" s="13" t="s">
        <v>2510</v>
      </c>
    </row>
    <row r="3" spans="1:14" ht="15.75" customHeight="1" x14ac:dyDescent="0.25">
      <c r="A3" t="s">
        <v>1980</v>
      </c>
      <c r="B3" s="2" t="s">
        <v>332</v>
      </c>
      <c r="C3" s="2" t="s">
        <v>446</v>
      </c>
      <c r="D3" s="2" t="s">
        <v>55</v>
      </c>
      <c r="E3" s="2" t="s">
        <v>107</v>
      </c>
      <c r="F3" s="6">
        <v>27107</v>
      </c>
      <c r="G3" s="16">
        <f t="shared" ca="1" si="0"/>
        <v>47.323287671232876</v>
      </c>
      <c r="H3" s="2" t="s">
        <v>530</v>
      </c>
      <c r="I3" t="str" cm="1">
        <f t="array" ref="I3">ADAPTAR(B3)&amp;ADAPTAR(C3)&amp;"_"&amp;ADAPTAR(E3)&amp;F3</f>
        <v>danielfelipe_perez27107</v>
      </c>
      <c r="J3" s="13">
        <v>1</v>
      </c>
      <c r="K3" t="str" cm="1">
        <f t="array" ref="K3">ADAPTAR(B3)&amp;"."&amp;ADAPTAR(D3)&amp;YEAR(F3)&amp;"@"&amp;VLOOKUP(J3,Dominios!$A$2:$B$30,2,FALSE)</f>
        <v>daniel.rodriguez1974@colamus.co</v>
      </c>
      <c r="L3" s="13">
        <v>1</v>
      </c>
      <c r="M3">
        <f>VLOOKUP(L3,Celulares!$A$2:$B$30,2,FALSE)</f>
        <v>3115114916</v>
      </c>
    </row>
    <row r="4" spans="1:14" ht="15.75" customHeight="1" x14ac:dyDescent="0.25">
      <c r="A4" t="s">
        <v>1981</v>
      </c>
      <c r="B4" s="2" t="s">
        <v>431</v>
      </c>
      <c r="C4" s="2" t="s">
        <v>333</v>
      </c>
      <c r="D4" s="2" t="s">
        <v>334</v>
      </c>
      <c r="E4" s="2" t="s">
        <v>447</v>
      </c>
      <c r="F4" s="6">
        <v>34975</v>
      </c>
      <c r="G4" s="16">
        <f t="shared" ca="1" si="0"/>
        <v>25.767123287671232</v>
      </c>
      <c r="H4" s="2" t="s">
        <v>531</v>
      </c>
      <c r="I4" t="str" cm="1">
        <f t="array" ref="I4">ADAPTAR(B4)&amp;ADAPTAR(C4)&amp;"_"&amp;ADAPTAR(E4)&amp;F4</f>
        <v>luisalejandro_rincon34975</v>
      </c>
      <c r="J4" s="13">
        <v>2</v>
      </c>
      <c r="K4" t="str" cm="1">
        <f t="array" ref="K4">ADAPTAR(B4)&amp;"."&amp;ADAPTAR(D4)&amp;YEAR(F4)&amp;"@"&amp;VLOOKUP(J4,Dominios!$A$2:$B$30,2,FALSE)</f>
        <v>luis.merizalde1995@colombiamail.co</v>
      </c>
      <c r="L4" s="13">
        <v>2</v>
      </c>
      <c r="M4">
        <f>VLOOKUP(L4,Celulares!$A$2:$B$30,2,FALSE)</f>
        <v>3115114911</v>
      </c>
    </row>
    <row r="5" spans="1:14" ht="15.75" customHeight="1" x14ac:dyDescent="0.25">
      <c r="A5" t="s">
        <v>1982</v>
      </c>
      <c r="B5" s="2" t="s">
        <v>341</v>
      </c>
      <c r="C5" s="2" t="s">
        <v>335</v>
      </c>
      <c r="D5" s="2" t="s">
        <v>127</v>
      </c>
      <c r="E5" s="2" t="s">
        <v>279</v>
      </c>
      <c r="F5" s="6">
        <v>23361</v>
      </c>
      <c r="G5" s="16">
        <f t="shared" ca="1" si="0"/>
        <v>57.586301369863016</v>
      </c>
      <c r="H5" s="2" t="s">
        <v>532</v>
      </c>
      <c r="I5" t="str" cm="1">
        <f t="array" ref="I5">ADAPTAR(B5)&amp;ADAPTAR(C5)&amp;"_"&amp;ADAPTAR(E5)&amp;F5</f>
        <v>juansebastian_nino23361</v>
      </c>
      <c r="J5" s="13">
        <v>3</v>
      </c>
      <c r="K5" t="str" cm="1">
        <f t="array" ref="K5">ADAPTAR(B5)&amp;"."&amp;ADAPTAR(D5)&amp;YEAR(F5)&amp;"@"&amp;VLOOKUP(J5,Dominios!$A$2:$B$30,2,FALSE)</f>
        <v>juan.torres1963@diabunter.co</v>
      </c>
      <c r="L5" s="13">
        <v>3</v>
      </c>
      <c r="M5">
        <f>VLOOKUP(L5,Celulares!$A$2:$B$30,2,FALSE)</f>
        <v>3115114910</v>
      </c>
    </row>
    <row r="6" spans="1:14" ht="15.75" customHeight="1" x14ac:dyDescent="0.25">
      <c r="A6" t="s">
        <v>1983</v>
      </c>
      <c r="B6" s="2" t="s">
        <v>336</v>
      </c>
      <c r="C6" s="2" t="s">
        <v>353</v>
      </c>
      <c r="D6" s="2" t="s">
        <v>337</v>
      </c>
      <c r="E6" s="2" t="s">
        <v>56</v>
      </c>
      <c r="F6" s="6">
        <v>28829</v>
      </c>
      <c r="G6" s="16">
        <f t="shared" ca="1" si="0"/>
        <v>42.605479452054794</v>
      </c>
      <c r="H6" s="2" t="s">
        <v>533</v>
      </c>
      <c r="I6" t="str" cm="1">
        <f t="array" ref="I6">ADAPTAR(B6)&amp;ADAPTAR(C6)&amp;"_"&amp;ADAPTAR(E6)&amp;F6</f>
        <v>smithsantiago_rojas28829</v>
      </c>
      <c r="J6" s="13">
        <v>4</v>
      </c>
      <c r="K6" t="str" cm="1">
        <f t="array" ref="K6">ADAPTAR(B6)&amp;"."&amp;ADAPTAR(D6)&amp;YEAR(F6)&amp;"@"&amp;VLOOKUP(J6,Dominios!$A$2:$B$30,2,FALSE)</f>
        <v>smith.sanchez1978@ebrietas.co</v>
      </c>
      <c r="L6" s="13">
        <v>4</v>
      </c>
      <c r="M6">
        <f>VLOOKUP(L6,Celulares!$A$2:$B$30,2,FALSE)</f>
        <v>3115114909</v>
      </c>
    </row>
    <row r="7" spans="1:14" ht="15.75" customHeight="1" x14ac:dyDescent="0.25">
      <c r="A7" t="s">
        <v>1984</v>
      </c>
      <c r="B7" s="2" t="s">
        <v>338</v>
      </c>
      <c r="C7" s="2" t="s">
        <v>339</v>
      </c>
      <c r="D7" s="2" t="s">
        <v>340</v>
      </c>
      <c r="E7" s="2" t="s">
        <v>169</v>
      </c>
      <c r="F7" s="6">
        <v>26278</v>
      </c>
      <c r="G7" s="16">
        <f t="shared" ca="1" si="0"/>
        <v>49.594520547945208</v>
      </c>
      <c r="H7" s="2" t="s">
        <v>534</v>
      </c>
      <c r="I7" t="str" cm="1">
        <f t="array" ref="I7">ADAPTAR(B7)&amp;ADAPTAR(C7)&amp;"_"&amp;ADAPTAR(E7)&amp;F7</f>
        <v>alixfernando_rodriguez26278</v>
      </c>
      <c r="J7" s="13">
        <v>5</v>
      </c>
      <c r="K7" t="str" cm="1">
        <f t="array" ref="K7">ADAPTAR(B7)&amp;"."&amp;ADAPTAR(D7)&amp;YEAR(F7)&amp;"@"&amp;VLOOKUP(J7,Dominios!$A$2:$B$30,2,FALSE)</f>
        <v>alix.porras1971@elsinsonte.co</v>
      </c>
      <c r="L7" s="13">
        <v>5</v>
      </c>
      <c r="M7">
        <f>VLOOKUP(L7,Celulares!$A$2:$B$30,2,FALSE)</f>
        <v>3115060130</v>
      </c>
    </row>
    <row r="8" spans="1:14" ht="15.75" customHeight="1" x14ac:dyDescent="0.25">
      <c r="A8" t="s">
        <v>1985</v>
      </c>
      <c r="B8" s="2" t="s">
        <v>341</v>
      </c>
      <c r="C8" s="2" t="s">
        <v>342</v>
      </c>
      <c r="D8" s="2" t="s">
        <v>293</v>
      </c>
      <c r="E8" s="2" t="s">
        <v>66</v>
      </c>
      <c r="F8" s="6">
        <v>25676</v>
      </c>
      <c r="G8" s="16">
        <f t="shared" ca="1" si="0"/>
        <v>51.243835616438353</v>
      </c>
      <c r="H8" s="2" t="s">
        <v>535</v>
      </c>
      <c r="I8" t="str" cm="1">
        <f t="array" ref="I8">ADAPTAR(B8)&amp;ADAPTAR(C8)&amp;"_"&amp;ADAPTAR(E8)&amp;F8</f>
        <v>juancarlos_velez25676</v>
      </c>
      <c r="J8" s="13">
        <v>6</v>
      </c>
      <c r="K8" t="str" cm="1">
        <f t="array" ref="K8">ADAPTAR(B8)&amp;"."&amp;ADAPTAR(D8)&amp;YEAR(F8)&amp;"@"&amp;VLOOKUP(J8,Dominios!$A$2:$B$30,2,FALSE)</f>
        <v>juan.sanchez1970@enigmaserver.co</v>
      </c>
      <c r="L8" s="13">
        <v>6</v>
      </c>
      <c r="M8">
        <f>VLOOKUP(L8,Celulares!$A$2:$B$30,2,FALSE)</f>
        <v>3115060125</v>
      </c>
    </row>
    <row r="9" spans="1:14" ht="15.75" customHeight="1" x14ac:dyDescent="0.25">
      <c r="A9" t="s">
        <v>1986</v>
      </c>
      <c r="B9" s="2" t="s">
        <v>343</v>
      </c>
      <c r="C9" s="2" t="s">
        <v>448</v>
      </c>
      <c r="D9" s="2" t="s">
        <v>251</v>
      </c>
      <c r="E9" s="2" t="s">
        <v>344</v>
      </c>
      <c r="F9" s="6">
        <v>36500</v>
      </c>
      <c r="G9" s="16">
        <f t="shared" ca="1" si="0"/>
        <v>21.589041095890412</v>
      </c>
      <c r="H9" s="2" t="s">
        <v>536</v>
      </c>
      <c r="I9" t="str" cm="1">
        <f t="array" ref="I9">ADAPTAR(B9)&amp;ADAPTAR(C9)&amp;"_"&amp;ADAPTAR(E9)&amp;F9</f>
        <v>oscarivan_mejia36500</v>
      </c>
      <c r="J9" s="13">
        <v>7</v>
      </c>
      <c r="K9" t="str" cm="1">
        <f t="array" ref="K9">ADAPTAR(B9)&amp;"."&amp;ADAPTAR(D9)&amp;YEAR(F9)&amp;"@"&amp;VLOOKUP(J9,Dominios!$A$2:$B$30,2,FALSE)</f>
        <v>oscar.aldana1999@hocknas.co</v>
      </c>
      <c r="L9" s="13">
        <v>7</v>
      </c>
      <c r="M9">
        <f>VLOOKUP(L9,Celulares!$A$2:$B$30,2,FALSE)</f>
        <v>3115060110</v>
      </c>
    </row>
    <row r="10" spans="1:14" ht="15.75" customHeight="1" x14ac:dyDescent="0.25">
      <c r="A10" t="s">
        <v>1987</v>
      </c>
      <c r="B10" s="2" t="s">
        <v>421</v>
      </c>
      <c r="C10" s="2" t="s">
        <v>446</v>
      </c>
      <c r="D10" s="2" t="s">
        <v>153</v>
      </c>
      <c r="E10" s="2" t="s">
        <v>117</v>
      </c>
      <c r="F10" s="6">
        <v>29364</v>
      </c>
      <c r="G10" s="16">
        <f t="shared" ca="1" si="0"/>
        <v>41.139726027397259</v>
      </c>
      <c r="H10" s="2" t="s">
        <v>537</v>
      </c>
      <c r="I10" t="str" cm="1">
        <f t="array" ref="I10">ADAPTAR(B10)&amp;ADAPTAR(C10)&amp;"_"&amp;ADAPTAR(E10)&amp;F10</f>
        <v>nicolasfelipe_diaz29364</v>
      </c>
      <c r="J10" s="13">
        <v>8</v>
      </c>
      <c r="K10" t="str" cm="1">
        <f t="array" ref="K10">ADAPTAR(B10)&amp;"."&amp;ADAPTAR(D10)&amp;YEAR(F10)&amp;"@"&amp;VLOOKUP(J10,Dominios!$A$2:$B$30,2,FALSE)</f>
        <v>nicolas.vargas1980@hostedoceri.co</v>
      </c>
      <c r="L10" s="13">
        <v>8</v>
      </c>
      <c r="M10">
        <f>VLOOKUP(L10,Celulares!$A$2:$B$30,2,FALSE)</f>
        <v>3115060091</v>
      </c>
    </row>
    <row r="11" spans="1:14" ht="15.75" customHeight="1" x14ac:dyDescent="0.25">
      <c r="A11" t="s">
        <v>1988</v>
      </c>
      <c r="B11" s="2" t="s">
        <v>345</v>
      </c>
      <c r="C11" s="2" t="s">
        <v>397</v>
      </c>
      <c r="D11" s="2" t="s">
        <v>346</v>
      </c>
      <c r="E11" s="2" t="s">
        <v>443</v>
      </c>
      <c r="F11" s="6">
        <v>25260</v>
      </c>
      <c r="G11" s="16">
        <f t="shared" ca="1" si="0"/>
        <v>52.38356164383562</v>
      </c>
      <c r="H11" s="2" t="s">
        <v>538</v>
      </c>
      <c r="I11" t="str" cm="1">
        <f t="array" ref="I11">ADAPTAR(B11)&amp;ADAPTAR(C11)&amp;"_"&amp;ADAPTAR(E11)&amp;F11</f>
        <v>alvarojose_huertas25260</v>
      </c>
      <c r="J11" s="13">
        <v>9</v>
      </c>
      <c r="K11" t="str" cm="1">
        <f t="array" ref="K11">ADAPTAR(B11)&amp;"."&amp;ADAPTAR(D11)&amp;YEAR(F11)&amp;"@"&amp;VLOOKUP(J11,Dominios!$A$2:$B$30,2,FALSE)</f>
        <v>alvaro.romero1969@libertas.com.co</v>
      </c>
      <c r="L11" s="13">
        <v>9</v>
      </c>
      <c r="M11">
        <f>VLOOKUP(L11,Celulares!$A$2:$B$30,2,FALSE)</f>
        <v>3115060080</v>
      </c>
    </row>
    <row r="12" spans="1:14" ht="15.75" customHeight="1" x14ac:dyDescent="0.25">
      <c r="A12" t="s">
        <v>1989</v>
      </c>
      <c r="B12" s="2" t="s">
        <v>347</v>
      </c>
      <c r="C12" s="2" t="s">
        <v>432</v>
      </c>
      <c r="D12" s="2" t="s">
        <v>348</v>
      </c>
      <c r="E12" s="2" t="s">
        <v>278</v>
      </c>
      <c r="F12" s="6">
        <v>23846</v>
      </c>
      <c r="G12" s="16">
        <f t="shared" ca="1" si="0"/>
        <v>56.257534246575339</v>
      </c>
      <c r="H12" s="2" t="s">
        <v>539</v>
      </c>
      <c r="I12" t="str" cm="1">
        <f t="array" ref="I12">ADAPTAR(B12)&amp;ADAPTAR(C12)&amp;"_"&amp;ADAPTAR(E12)&amp;F12</f>
        <v>alvaroantonio_cruz23846</v>
      </c>
      <c r="J12" s="13">
        <v>10</v>
      </c>
      <c r="K12" t="str" cm="1">
        <f t="array" ref="K12">ADAPTAR(B12)&amp;"."&amp;ADAPTAR(D12)&amp;YEAR(F12)&amp;"@"&amp;VLOOKUP(J12,Dominios!$A$2:$B$30,2,FALSE)</f>
        <v>alvaro.zapata1965@nascitur.com.co</v>
      </c>
      <c r="L12" s="13">
        <v>10</v>
      </c>
      <c r="M12">
        <f>VLOOKUP(L12,Celulares!$A$2:$B$30,2,FALSE)</f>
        <v>3115114385</v>
      </c>
    </row>
    <row r="13" spans="1:14" ht="15.75" customHeight="1" x14ac:dyDescent="0.25">
      <c r="A13" t="s">
        <v>1990</v>
      </c>
      <c r="B13" s="2" t="s">
        <v>349</v>
      </c>
      <c r="C13" s="2" t="s">
        <v>330</v>
      </c>
      <c r="D13" s="2" t="s">
        <v>94</v>
      </c>
      <c r="E13" s="2" t="s">
        <v>406</v>
      </c>
      <c r="F13" s="6">
        <v>35411</v>
      </c>
      <c r="G13" s="16">
        <f t="shared" ca="1" si="0"/>
        <v>24.572602739726026</v>
      </c>
      <c r="H13" s="2" t="s">
        <v>540</v>
      </c>
      <c r="I13" t="str" cm="1">
        <f t="array" ref="I13">ADAPTAR(B13)&amp;ADAPTAR(C13)&amp;"_"&amp;ADAPTAR(E13)&amp;F13</f>
        <v>camiloandres_quijano35411</v>
      </c>
      <c r="J13" s="13">
        <v>11</v>
      </c>
      <c r="K13" t="str" cm="1">
        <f t="array" ref="K13">ADAPTAR(B13)&amp;"."&amp;ADAPTAR(D13)&amp;YEAR(F13)&amp;"@"&amp;VLOOKUP(J13,Dominios!$A$2:$B$30,2,FALSE)</f>
        <v>camilo.gonzalez1996@nemesis.ml</v>
      </c>
      <c r="L13" s="13">
        <v>11</v>
      </c>
      <c r="M13">
        <f>VLOOKUP(L13,Celulares!$A$2:$B$30,2,FALSE)</f>
        <v>3115114360</v>
      </c>
    </row>
    <row r="14" spans="1:14" ht="15.75" customHeight="1" x14ac:dyDescent="0.25">
      <c r="A14" t="s">
        <v>1991</v>
      </c>
      <c r="B14" s="2" t="s">
        <v>341</v>
      </c>
      <c r="C14" s="2" t="s">
        <v>429</v>
      </c>
      <c r="D14" s="2" t="s">
        <v>350</v>
      </c>
      <c r="E14" s="2" t="s">
        <v>449</v>
      </c>
      <c r="F14" s="6">
        <v>27787</v>
      </c>
      <c r="G14" s="16">
        <f t="shared" ca="1" si="0"/>
        <v>45.460273972602742</v>
      </c>
      <c r="H14" s="2" t="s">
        <v>541</v>
      </c>
      <c r="I14" t="str" cm="1">
        <f t="array" ref="I14">ADAPTAR(B14)&amp;ADAPTAR(C14)&amp;"_"&amp;ADAPTAR(E14)&amp;F14</f>
        <v>juangabriel_sossa27787</v>
      </c>
      <c r="J14" s="13">
        <v>12</v>
      </c>
      <c r="K14" t="str" cm="1">
        <f t="array" ref="K14">ADAPTAR(B14)&amp;"."&amp;ADAPTAR(D14)&amp;YEAR(F14)&amp;"@"&amp;VLOOKUP(J14,Dominios!$A$2:$B$30,2,FALSE)</f>
        <v>juan.garces1976@nunquam.com.co</v>
      </c>
      <c r="L14" s="13">
        <v>12</v>
      </c>
      <c r="M14">
        <f>VLOOKUP(L14,Celulares!$A$2:$B$30,2,FALSE)</f>
        <v>3115093653</v>
      </c>
    </row>
    <row r="15" spans="1:14" ht="15.75" customHeight="1" x14ac:dyDescent="0.25">
      <c r="A15" t="s">
        <v>1992</v>
      </c>
      <c r="B15" s="2" t="s">
        <v>351</v>
      </c>
      <c r="C15" s="2" t="s">
        <v>432</v>
      </c>
      <c r="D15" s="2" t="s">
        <v>153</v>
      </c>
      <c r="E15" s="2" t="s">
        <v>352</v>
      </c>
      <c r="F15" s="6">
        <v>31248</v>
      </c>
      <c r="G15" s="16">
        <f t="shared" ca="1" si="0"/>
        <v>35.978082191780821</v>
      </c>
      <c r="H15" s="2" t="s">
        <v>542</v>
      </c>
      <c r="I15" t="str" cm="1">
        <f t="array" ref="I15">ADAPTAR(B15)&amp;ADAPTAR(C15)&amp;"_"&amp;ADAPTAR(E15)&amp;F15</f>
        <v>jaimeantonio_salamanca31248</v>
      </c>
      <c r="J15" s="13">
        <v>13</v>
      </c>
      <c r="K15" t="str" cm="1">
        <f t="array" ref="K15">ADAPTAR(B15)&amp;"."&amp;ADAPTAR(D15)&amp;YEAR(F15)&amp;"@"&amp;VLOOKUP(J15,Dominios!$A$2:$B$30,2,FALSE)</f>
        <v>jaime.vargas1985@sempiternam.co</v>
      </c>
      <c r="L15" s="13">
        <v>13</v>
      </c>
      <c r="M15">
        <f>VLOOKUP(L15,Celulares!$A$2:$B$30,2,FALSE)</f>
        <v>3115093598</v>
      </c>
    </row>
    <row r="16" spans="1:14" ht="15.75" customHeight="1" x14ac:dyDescent="0.25">
      <c r="A16" t="s">
        <v>1993</v>
      </c>
      <c r="B16" s="2" t="s">
        <v>353</v>
      </c>
      <c r="C16" s="2" t="s">
        <v>450</v>
      </c>
      <c r="D16" s="2" t="s">
        <v>298</v>
      </c>
      <c r="E16" s="2" t="s">
        <v>451</v>
      </c>
      <c r="F16" s="6">
        <v>35399</v>
      </c>
      <c r="G16" s="16">
        <f t="shared" ca="1" si="0"/>
        <v>24.605479452054794</v>
      </c>
      <c r="H16" s="2" t="s">
        <v>543</v>
      </c>
      <c r="I16" t="str" cm="1">
        <f t="array" ref="I16">ADAPTAR(B16)&amp;ADAPTAR(C16)&amp;"_"&amp;ADAPTAR(E16)&amp;F16</f>
        <v>santiagoenrique_puentes35399</v>
      </c>
      <c r="J16" s="13">
        <v>14</v>
      </c>
      <c r="K16" t="str" cm="1">
        <f t="array" ref="K16">ADAPTAR(B16)&amp;"."&amp;ADAPTAR(D16)&amp;YEAR(F16)&amp;"@"&amp;VLOOKUP(J16,Dominios!$A$2:$B$30,2,FALSE)</f>
        <v>santiago.jaimes1996@sk9.co</v>
      </c>
      <c r="L16" s="13">
        <v>14</v>
      </c>
      <c r="M16">
        <f>VLOOKUP(L16,Celulares!$A$2:$B$30,2,FALSE)</f>
        <v>3115093583</v>
      </c>
    </row>
    <row r="17" spans="1:13" ht="15.75" customHeight="1" x14ac:dyDescent="0.25">
      <c r="A17" t="s">
        <v>1994</v>
      </c>
      <c r="B17" s="2" t="s">
        <v>354</v>
      </c>
      <c r="C17" s="2" t="s">
        <v>402</v>
      </c>
      <c r="D17" s="2" t="s">
        <v>355</v>
      </c>
      <c r="E17" s="2" t="s">
        <v>170</v>
      </c>
      <c r="F17" s="6">
        <v>29975</v>
      </c>
      <c r="G17" s="16">
        <f t="shared" ca="1" si="0"/>
        <v>39.465753424657535</v>
      </c>
      <c r="H17" s="2" t="s">
        <v>544</v>
      </c>
      <c r="I17" t="str" cm="1">
        <f t="array" ref="I17">ADAPTAR(B17)&amp;ADAPTAR(C17)&amp;"_"&amp;ADAPTAR(E17)&amp;F17</f>
        <v>darioalberto_cortes29975</v>
      </c>
      <c r="J17" s="13">
        <v>15</v>
      </c>
      <c r="K17" t="str" cm="1">
        <f t="array" ref="K17">ADAPTAR(B17)&amp;"."&amp;ADAPTAR(D17)&amp;YEAR(F17)&amp;"@"&amp;VLOOKUP(J17,Dominios!$A$2:$B$30,2,FALSE)</f>
        <v>dario.cardenas1982@socialmediacolombia.com.co</v>
      </c>
      <c r="L17" s="13">
        <v>15</v>
      </c>
      <c r="M17">
        <f>VLOOKUP(L17,Celulares!$A$2:$B$30,2,FALSE)</f>
        <v>3115092386</v>
      </c>
    </row>
    <row r="18" spans="1:13" ht="15.75" customHeight="1" x14ac:dyDescent="0.25">
      <c r="A18" t="s">
        <v>1995</v>
      </c>
      <c r="B18" s="2" t="s">
        <v>341</v>
      </c>
      <c r="C18" s="2" t="s">
        <v>369</v>
      </c>
      <c r="D18" s="2" t="s">
        <v>368</v>
      </c>
      <c r="E18" s="2" t="s">
        <v>452</v>
      </c>
      <c r="F18" s="6">
        <v>26802</v>
      </c>
      <c r="G18" s="16">
        <f t="shared" ca="1" si="0"/>
        <v>48.158904109589038</v>
      </c>
      <c r="H18" s="2" t="s">
        <v>545</v>
      </c>
      <c r="I18" t="str" cm="1">
        <f t="array" ref="I18">ADAPTAR(B18)&amp;ADAPTAR(C18)&amp;"_"&amp;ADAPTAR(E18)&amp;F18</f>
        <v>juanpablo_riano26802</v>
      </c>
      <c r="J18" s="13">
        <v>16</v>
      </c>
      <c r="K18" t="str" cm="1">
        <f t="array" ref="K18">ADAPTAR(B18)&amp;"."&amp;ADAPTAR(D18)&amp;YEAR(F18)&amp;"@"&amp;VLOOKUP(J18,Dominios!$A$2:$B$30,2,FALSE)</f>
        <v>juan.fonseca1973@tecnicoensistemas.com.co</v>
      </c>
      <c r="L18" s="13">
        <v>16</v>
      </c>
      <c r="M18">
        <f>VLOOKUP(L18,Celulares!$A$2:$B$30,2,FALSE)</f>
        <v>3115092375</v>
      </c>
    </row>
    <row r="19" spans="1:13" ht="15.75" customHeight="1" x14ac:dyDescent="0.25">
      <c r="A19" t="s">
        <v>1996</v>
      </c>
      <c r="B19" s="2" t="s">
        <v>356</v>
      </c>
      <c r="C19" s="2" t="s">
        <v>330</v>
      </c>
      <c r="D19" s="2" t="s">
        <v>346</v>
      </c>
      <c r="E19" s="2" t="s">
        <v>221</v>
      </c>
      <c r="F19" s="6">
        <v>32291</v>
      </c>
      <c r="G19" s="16">
        <f t="shared" ca="1" si="0"/>
        <v>33.12054794520548</v>
      </c>
      <c r="H19" s="2" t="s">
        <v>921</v>
      </c>
      <c r="I19" t="str" cm="1">
        <f t="array" ref="I19">ADAPTAR(B19)&amp;ADAPTAR(C19)&amp;"_"&amp;ADAPTAR(E19)&amp;F19</f>
        <v>gustavoandres_silva32291</v>
      </c>
      <c r="J19" s="13">
        <v>17</v>
      </c>
      <c r="K19" t="str" cm="1">
        <f t="array" ref="K19">ADAPTAR(B19)&amp;"."&amp;ADAPTAR(D19)&amp;YEAR(F19)&amp;"@"&amp;VLOOKUP(J19,Dominios!$A$2:$B$30,2,FALSE)</f>
        <v>gustavo.romero1988@totum.com.co</v>
      </c>
      <c r="L19" s="13">
        <v>17</v>
      </c>
      <c r="M19">
        <f>VLOOKUP(L19,Celulares!$A$2:$B$30,2,FALSE)</f>
        <v>3115092369</v>
      </c>
    </row>
    <row r="20" spans="1:13" ht="15.75" customHeight="1" x14ac:dyDescent="0.25">
      <c r="A20" t="s">
        <v>1997</v>
      </c>
      <c r="B20" s="2" t="s">
        <v>442</v>
      </c>
      <c r="C20" s="2" t="s">
        <v>330</v>
      </c>
      <c r="D20" s="2" t="s">
        <v>443</v>
      </c>
      <c r="E20" s="2" t="s">
        <v>444</v>
      </c>
      <c r="F20" s="6">
        <v>34165</v>
      </c>
      <c r="G20" s="16">
        <f t="shared" ca="1" si="0"/>
        <v>27.986301369863014</v>
      </c>
      <c r="H20" s="2" t="s">
        <v>546</v>
      </c>
      <c r="I20" t="str" cm="1">
        <f t="array" ref="I20">ADAPTAR(B20)&amp;ADAPTAR(C20)&amp;"_"&amp;ADAPTAR(E20)&amp;F20</f>
        <v>carlosandres_salgado34165</v>
      </c>
      <c r="J20" s="13">
        <v>18</v>
      </c>
      <c r="K20" t="str" cm="1">
        <f t="array" ref="K20">ADAPTAR(B20)&amp;"."&amp;ADAPTAR(D20)&amp;YEAR(F20)&amp;"@"&amp;VLOOKUP(J20,Dominios!$A$2:$B$30,2,FALSE)</f>
        <v>carlos.huertas1993@voipcolombia.co</v>
      </c>
      <c r="L20" s="13">
        <v>18</v>
      </c>
      <c r="M20">
        <f>VLOOKUP(L20,Celulares!$A$2:$B$30,2,FALSE)</f>
        <v>3115092360</v>
      </c>
    </row>
    <row r="21" spans="1:13" ht="15.75" customHeight="1" x14ac:dyDescent="0.25">
      <c r="A21" t="s">
        <v>1998</v>
      </c>
      <c r="B21" s="2" t="s">
        <v>453</v>
      </c>
      <c r="C21" s="2" t="s">
        <v>371</v>
      </c>
      <c r="D21" s="2" t="s">
        <v>357</v>
      </c>
      <c r="E21" s="2" t="s">
        <v>72</v>
      </c>
      <c r="F21" s="6">
        <v>26788</v>
      </c>
      <c r="G21" s="16">
        <f t="shared" ca="1" si="0"/>
        <v>48.197260273972603</v>
      </c>
      <c r="H21" s="2" t="s">
        <v>547</v>
      </c>
      <c r="I21" t="str" cm="1">
        <f t="array" ref="I21">ADAPTAR(B21)&amp;ADAPTAR(C21)&amp;"_"&amp;ADAPTAR(E21)&amp;F21</f>
        <v>cesarjulio_quiroga26788</v>
      </c>
      <c r="J21" s="13">
        <v>19</v>
      </c>
      <c r="K21" t="str" cm="1">
        <f t="array" ref="K21">ADAPTAR(B21)&amp;"."&amp;ADAPTAR(D21)&amp;YEAR(F21)&amp;"@"&amp;VLOOKUP(J21,Dominios!$A$2:$B$30,2,FALSE)</f>
        <v>cesar.villamil1973@vpncolombia.com.co</v>
      </c>
      <c r="L21" s="13">
        <v>19</v>
      </c>
      <c r="M21">
        <f>VLOOKUP(L21,Celulares!$A$2:$B$30,2,FALSE)</f>
        <v>3115092352</v>
      </c>
    </row>
    <row r="22" spans="1:13" ht="15.75" customHeight="1" x14ac:dyDescent="0.25">
      <c r="A22" t="s">
        <v>1999</v>
      </c>
      <c r="B22" s="2" t="s">
        <v>341</v>
      </c>
      <c r="C22" s="2" t="s">
        <v>349</v>
      </c>
      <c r="D22" s="2" t="s">
        <v>358</v>
      </c>
      <c r="E22" s="2" t="s">
        <v>199</v>
      </c>
      <c r="F22" s="6">
        <v>28797</v>
      </c>
      <c r="G22" s="16">
        <f t="shared" ca="1" si="0"/>
        <v>42.69315068493151</v>
      </c>
      <c r="H22" s="2" t="s">
        <v>548</v>
      </c>
      <c r="I22" t="str" cm="1">
        <f t="array" ref="I22">ADAPTAR(B22)&amp;ADAPTAR(C22)&amp;"_"&amp;ADAPTAR(E22)&amp;F22</f>
        <v>juancamilo_lopez28797</v>
      </c>
      <c r="J22" s="13">
        <v>0</v>
      </c>
      <c r="K22" t="str" cm="1">
        <f t="array" ref="K22">ADAPTAR(B22)&amp;"."&amp;ADAPTAR(D22)&amp;YEAR(F22)&amp;"@"&amp;VLOOKUP(J22,Dominios!$A$2:$B$30,2,FALSE)</f>
        <v>juan.calderon1978@auribus.com.co</v>
      </c>
      <c r="L22" s="13">
        <v>0</v>
      </c>
      <c r="M22">
        <f>VLOOKUP(L22,Celulares!$A$2:$B$30,2,FALSE)</f>
        <v>3115114930</v>
      </c>
    </row>
    <row r="23" spans="1:13" ht="15.75" customHeight="1" x14ac:dyDescent="0.25">
      <c r="A23" t="s">
        <v>2000</v>
      </c>
      <c r="B23" s="2" t="s">
        <v>359</v>
      </c>
      <c r="C23" s="2" t="s">
        <v>333</v>
      </c>
      <c r="D23" s="2" t="s">
        <v>183</v>
      </c>
      <c r="E23" s="2" t="s">
        <v>47</v>
      </c>
      <c r="F23" s="6">
        <v>29376</v>
      </c>
      <c r="G23" s="16">
        <f t="shared" ca="1" si="0"/>
        <v>41.106849315068494</v>
      </c>
      <c r="H23" s="2" t="s">
        <v>546</v>
      </c>
      <c r="I23" t="str" cm="1">
        <f t="array" ref="I23">ADAPTAR(B23)&amp;ADAPTAR(C23)&amp;"_"&amp;ADAPTAR(E23)&amp;F23</f>
        <v>sergioalejandro_gomez29376</v>
      </c>
      <c r="J23" s="13">
        <v>1</v>
      </c>
      <c r="K23" t="str" cm="1">
        <f t="array" ref="K23">ADAPTAR(B23)&amp;"."&amp;ADAPTAR(D23)&amp;YEAR(F23)&amp;"@"&amp;VLOOKUP(J23,Dominios!$A$2:$B$30,2,FALSE)</f>
        <v>sergio.forero1980@colamus.co</v>
      </c>
      <c r="L23" s="13">
        <v>1</v>
      </c>
      <c r="M23">
        <f>VLOOKUP(L23,Celulares!$A$2:$B$30,2,FALSE)</f>
        <v>3115114916</v>
      </c>
    </row>
    <row r="24" spans="1:13" ht="15.75" customHeight="1" x14ac:dyDescent="0.25">
      <c r="A24" t="s">
        <v>2001</v>
      </c>
      <c r="B24" s="2" t="s">
        <v>360</v>
      </c>
      <c r="C24" s="2" t="s">
        <v>330</v>
      </c>
      <c r="D24" s="2" t="s">
        <v>361</v>
      </c>
      <c r="E24" s="2" t="s">
        <v>264</v>
      </c>
      <c r="F24" s="6">
        <v>27098</v>
      </c>
      <c r="G24" s="16">
        <f t="shared" ca="1" si="0"/>
        <v>47.347945205479455</v>
      </c>
      <c r="H24" s="2" t="s">
        <v>549</v>
      </c>
      <c r="I24" t="str" cm="1">
        <f t="array" ref="I24">ADAPTAR(B24)&amp;ADAPTAR(C24)&amp;"_"&amp;ADAPTAR(E24)&amp;F24</f>
        <v>mauricioandres_jimenez27098</v>
      </c>
      <c r="J24" s="13">
        <v>2</v>
      </c>
      <c r="K24" t="str" cm="1">
        <f t="array" ref="K24">ADAPTAR(B24)&amp;"."&amp;ADAPTAR(D24)&amp;YEAR(F24)&amp;"@"&amp;VLOOKUP(J24,Dominios!$A$2:$B$30,2,FALSE)</f>
        <v>mauricio.chaparro1974@colombiamail.co</v>
      </c>
      <c r="L24" s="13">
        <v>2</v>
      </c>
      <c r="M24">
        <f>VLOOKUP(L24,Celulares!$A$2:$B$30,2,FALSE)</f>
        <v>3115114911</v>
      </c>
    </row>
    <row r="25" spans="1:13" ht="15.75" customHeight="1" x14ac:dyDescent="0.25">
      <c r="A25" t="s">
        <v>2002</v>
      </c>
      <c r="B25" s="2" t="s">
        <v>362</v>
      </c>
      <c r="C25" s="2" t="s">
        <v>479</v>
      </c>
      <c r="D25" s="2" t="s">
        <v>363</v>
      </c>
      <c r="E25" s="2" t="s">
        <v>454</v>
      </c>
      <c r="F25" s="6">
        <v>29361</v>
      </c>
      <c r="G25" s="16">
        <f t="shared" ca="1" si="0"/>
        <v>41.147945205479452</v>
      </c>
      <c r="H25" s="2" t="s">
        <v>550</v>
      </c>
      <c r="I25" t="str" cm="1">
        <f t="array" ref="I25">ADAPTAR(B25)&amp;ADAPTAR(C25)&amp;"_"&amp;ADAPTAR(E25)&amp;F25</f>
        <v>henryguillermo_higuera29361</v>
      </c>
      <c r="J25" s="13">
        <v>3</v>
      </c>
      <c r="K25" t="str" cm="1">
        <f t="array" ref="K25">ADAPTAR(B25)&amp;"."&amp;ADAPTAR(D25)&amp;YEAR(F25)&amp;"@"&amp;VLOOKUP(J25,Dominios!$A$2:$B$30,2,FALSE)</f>
        <v>henry.patino1980@diabunter.co</v>
      </c>
      <c r="L25" s="13">
        <v>3</v>
      </c>
      <c r="M25">
        <f>VLOOKUP(L25,Celulares!$A$2:$B$30,2,FALSE)</f>
        <v>3115114910</v>
      </c>
    </row>
    <row r="26" spans="1:13" ht="15.75" customHeight="1" x14ac:dyDescent="0.25">
      <c r="A26" t="s">
        <v>2003</v>
      </c>
      <c r="B26" s="2" t="s">
        <v>364</v>
      </c>
      <c r="C26" s="2" t="s">
        <v>365</v>
      </c>
      <c r="D26" s="2" t="s">
        <v>366</v>
      </c>
      <c r="E26" s="2" t="s">
        <v>367</v>
      </c>
      <c r="F26" s="6">
        <v>21589</v>
      </c>
      <c r="G26" s="16">
        <f t="shared" ca="1" si="0"/>
        <v>62.441095890410956</v>
      </c>
      <c r="H26" s="2" t="s">
        <v>551</v>
      </c>
      <c r="I26" t="str" cm="1">
        <f t="array" ref="I26">ADAPTAR(B26)&amp;ADAPTAR(C26)&amp;"_"&amp;ADAPTAR(E26)&amp;F26</f>
        <v>angelesteban_malagon21589</v>
      </c>
      <c r="J26" s="13">
        <v>4</v>
      </c>
      <c r="K26" t="str" cm="1">
        <f t="array" ref="K26">ADAPTAR(B26)&amp;"."&amp;ADAPTAR(D26)&amp;YEAR(F26)&amp;"@"&amp;VLOOKUP(J26,Dominios!$A$2:$B$30,2,FALSE)</f>
        <v>angel.montana1959@ebrietas.co</v>
      </c>
      <c r="L26" s="13">
        <v>4</v>
      </c>
      <c r="M26">
        <f>VLOOKUP(L26,Celulares!$A$2:$B$30,2,FALSE)</f>
        <v>3115114909</v>
      </c>
    </row>
    <row r="27" spans="1:13" ht="15.75" customHeight="1" x14ac:dyDescent="0.25">
      <c r="A27" t="s">
        <v>2004</v>
      </c>
      <c r="B27" s="2" t="s">
        <v>480</v>
      </c>
      <c r="C27" s="2" t="s">
        <v>335</v>
      </c>
      <c r="D27" s="2" t="s">
        <v>117</v>
      </c>
      <c r="E27" s="2" t="s">
        <v>368</v>
      </c>
      <c r="F27" s="6">
        <v>36123</v>
      </c>
      <c r="G27" s="16">
        <f t="shared" ca="1" si="0"/>
        <v>22.621917808219177</v>
      </c>
      <c r="H27" s="2" t="s">
        <v>552</v>
      </c>
      <c r="I27" t="str" cm="1">
        <f t="array" ref="I27">ADAPTAR(B27)&amp;ADAPTAR(C27)&amp;"_"&amp;ADAPTAR(E27)&amp;F27</f>
        <v>johansebastian_fonseca36123</v>
      </c>
      <c r="J27" s="13">
        <v>5</v>
      </c>
      <c r="K27" t="str" cm="1">
        <f t="array" ref="K27">ADAPTAR(B27)&amp;"."&amp;ADAPTAR(D27)&amp;YEAR(F27)&amp;"@"&amp;VLOOKUP(J27,Dominios!$A$2:$B$30,2,FALSE)</f>
        <v>johan.diaz1998@elsinsonte.co</v>
      </c>
      <c r="L27" s="13">
        <v>5</v>
      </c>
      <c r="M27">
        <f>VLOOKUP(L27,Celulares!$A$2:$B$30,2,FALSE)</f>
        <v>3115060130</v>
      </c>
    </row>
    <row r="28" spans="1:13" ht="15.75" customHeight="1" x14ac:dyDescent="0.25">
      <c r="A28" t="s">
        <v>2005</v>
      </c>
      <c r="B28" s="2" t="s">
        <v>341</v>
      </c>
      <c r="C28" s="2" t="s">
        <v>481</v>
      </c>
      <c r="D28" s="2" t="s">
        <v>369</v>
      </c>
      <c r="E28" s="2" t="s">
        <v>337</v>
      </c>
      <c r="F28" s="6">
        <v>23022</v>
      </c>
      <c r="G28" s="16">
        <f t="shared" ca="1" si="0"/>
        <v>58.515068493150686</v>
      </c>
      <c r="H28" s="2" t="s">
        <v>553</v>
      </c>
      <c r="I28" t="str" cm="1">
        <f t="array" ref="I28">ADAPTAR(B28)&amp;ADAPTAR(C28)&amp;"_"&amp;ADAPTAR(E28)&amp;F28</f>
        <v>juanmanuel_sanchez23022</v>
      </c>
      <c r="J28" s="13">
        <v>6</v>
      </c>
      <c r="K28" t="str" cm="1">
        <f t="array" ref="K28">ADAPTAR(B28)&amp;"."&amp;ADAPTAR(D28)&amp;YEAR(F28)&amp;"@"&amp;VLOOKUP(J28,Dominios!$A$2:$B$30,2,FALSE)</f>
        <v>juan.pablo1963@enigmaserver.co</v>
      </c>
      <c r="L28" s="13">
        <v>6</v>
      </c>
      <c r="M28">
        <f>VLOOKUP(L28,Celulares!$A$2:$B$30,2,FALSE)</f>
        <v>3115060125</v>
      </c>
    </row>
    <row r="29" spans="1:13" ht="15.75" customHeight="1" x14ac:dyDescent="0.25">
      <c r="A29" t="s">
        <v>2006</v>
      </c>
      <c r="B29" s="2" t="s">
        <v>351</v>
      </c>
      <c r="C29" s="2" t="s">
        <v>482</v>
      </c>
      <c r="D29" s="2" t="s">
        <v>370</v>
      </c>
      <c r="E29" s="2" t="s">
        <v>43</v>
      </c>
      <c r="F29" s="6">
        <v>28093</v>
      </c>
      <c r="G29" s="16">
        <f t="shared" ca="1" si="0"/>
        <v>44.62191780821918</v>
      </c>
      <c r="H29" s="2" t="s">
        <v>554</v>
      </c>
      <c r="I29" t="str" cm="1">
        <f t="array" ref="I29">ADAPTAR(B29)&amp;ADAPTAR(C29)&amp;"_"&amp;ADAPTAR(E29)&amp;F29</f>
        <v>jaimeantonia_herrera28093</v>
      </c>
      <c r="J29" s="13">
        <v>7</v>
      </c>
      <c r="K29" t="str" cm="1">
        <f t="array" ref="K29">ADAPTAR(B29)&amp;"."&amp;ADAPTAR(D29)&amp;YEAR(F29)&amp;"@"&amp;VLOOKUP(J29,Dominios!$A$2:$B$30,2,FALSE)</f>
        <v>jaime.torres1976@hocknas.co</v>
      </c>
      <c r="L29" s="13">
        <v>7</v>
      </c>
      <c r="M29">
        <f>VLOOKUP(L29,Celulares!$A$2:$B$30,2,FALSE)</f>
        <v>3115060110</v>
      </c>
    </row>
    <row r="30" spans="1:13" ht="15.75" customHeight="1" x14ac:dyDescent="0.25">
      <c r="A30" t="s">
        <v>2007</v>
      </c>
      <c r="B30" s="2" t="s">
        <v>342</v>
      </c>
      <c r="C30" s="2" t="s">
        <v>371</v>
      </c>
      <c r="D30" s="2" t="s">
        <v>372</v>
      </c>
      <c r="E30" s="2" t="s">
        <v>373</v>
      </c>
      <c r="F30" s="6">
        <v>29609</v>
      </c>
      <c r="G30" s="16">
        <f t="shared" ca="1" si="0"/>
        <v>40.468493150684928</v>
      </c>
      <c r="H30" s="2" t="s">
        <v>555</v>
      </c>
      <c r="I30" t="str" cm="1">
        <f t="array" ref="I30">ADAPTAR(B30)&amp;ADAPTAR(C30)&amp;"_"&amp;ADAPTAR(E30)&amp;F30</f>
        <v>carlosjulio_quinto29609</v>
      </c>
      <c r="J30" s="13">
        <v>8</v>
      </c>
      <c r="K30" t="str" cm="1">
        <f t="array" ref="K30">ADAPTAR(B30)&amp;"."&amp;ADAPTAR(D30)&amp;YEAR(F30)&amp;"@"&amp;VLOOKUP(J30,Dominios!$A$2:$B$30,2,FALSE)</f>
        <v>carlos.maximo1981@hostedoceri.co</v>
      </c>
      <c r="L30" s="13">
        <v>8</v>
      </c>
      <c r="M30">
        <f>VLOOKUP(L30,Celulares!$A$2:$B$30,2,FALSE)</f>
        <v>3115060091</v>
      </c>
    </row>
    <row r="31" spans="1:13" ht="15.75" customHeight="1" x14ac:dyDescent="0.25">
      <c r="A31" t="s">
        <v>2008</v>
      </c>
      <c r="B31" s="2" t="s">
        <v>374</v>
      </c>
      <c r="C31" s="2" t="s">
        <v>375</v>
      </c>
      <c r="D31" s="2" t="s">
        <v>376</v>
      </c>
      <c r="E31" s="2" t="s">
        <v>145</v>
      </c>
      <c r="F31" s="6">
        <v>27876</v>
      </c>
      <c r="G31" s="16">
        <f t="shared" ca="1" si="0"/>
        <v>45.216438356164382</v>
      </c>
      <c r="H31" s="2" t="s">
        <v>556</v>
      </c>
      <c r="I31" t="str" cm="1">
        <f t="array" ref="I31">ADAPTAR(B31)&amp;ADAPTAR(C31)&amp;"_"&amp;ADAPTAR(E31)&amp;F31</f>
        <v>marcotulio_acosta27876</v>
      </c>
      <c r="J31" s="13">
        <v>9</v>
      </c>
      <c r="K31" t="str" cm="1">
        <f t="array" ref="K31">ADAPTAR(B31)&amp;"."&amp;ADAPTAR(D31)&amp;YEAR(F31)&amp;"@"&amp;VLOOKUP(J31,Dominios!$A$2:$B$30,2,FALSE)</f>
        <v>marco.ciceron1976@libertas.com.co</v>
      </c>
      <c r="L31" s="13">
        <v>9</v>
      </c>
      <c r="M31">
        <f>VLOOKUP(L31,Celulares!$A$2:$B$30,2,FALSE)</f>
        <v>3115060080</v>
      </c>
    </row>
    <row r="32" spans="1:13" ht="15.75" customHeight="1" x14ac:dyDescent="0.25">
      <c r="A32" t="s">
        <v>2009</v>
      </c>
      <c r="B32" s="2" t="s">
        <v>377</v>
      </c>
      <c r="C32" s="2" t="s">
        <v>450</v>
      </c>
      <c r="D32" s="2" t="s">
        <v>378</v>
      </c>
      <c r="E32" s="2" t="s">
        <v>272</v>
      </c>
      <c r="F32" s="6">
        <v>28827</v>
      </c>
      <c r="G32" s="16">
        <f t="shared" ca="1" si="0"/>
        <v>42.610958904109587</v>
      </c>
      <c r="H32" s="2" t="s">
        <v>557</v>
      </c>
      <c r="I32" t="str" cm="1">
        <f t="array" ref="I32">ADAPTAR(B32)&amp;ADAPTAR(C32)&amp;"_"&amp;ADAPTAR(E32)&amp;F32</f>
        <v>lucioenrique_paez28827</v>
      </c>
      <c r="J32" s="13">
        <v>10</v>
      </c>
      <c r="K32" t="str" cm="1">
        <f t="array" ref="K32">ADAPTAR(B32)&amp;"."&amp;ADAPTAR(D32)&amp;YEAR(F32)&amp;"@"&amp;VLOOKUP(J32,Dominios!$A$2:$B$30,2,FALSE)</f>
        <v>lucio.robledo1978@nascitur.com.co</v>
      </c>
      <c r="L32" s="13">
        <v>10</v>
      </c>
      <c r="M32">
        <f>VLOOKUP(L32,Celulares!$A$2:$B$30,2,FALSE)</f>
        <v>3115114385</v>
      </c>
    </row>
    <row r="33" spans="1:13" ht="15.75" customHeight="1" x14ac:dyDescent="0.25">
      <c r="A33" t="s">
        <v>2010</v>
      </c>
      <c r="B33" s="2" t="s">
        <v>341</v>
      </c>
      <c r="C33" s="2" t="s">
        <v>369</v>
      </c>
      <c r="D33" s="2" t="s">
        <v>55</v>
      </c>
      <c r="E33" s="2" t="s">
        <v>177</v>
      </c>
      <c r="F33" s="6">
        <v>29484</v>
      </c>
      <c r="G33" s="16">
        <f t="shared" ca="1" si="0"/>
        <v>40.81095890410959</v>
      </c>
      <c r="H33" s="2" t="s">
        <v>558</v>
      </c>
      <c r="I33" t="str" cm="1">
        <f t="array" ref="I33">ADAPTAR(B33)&amp;ADAPTAR(C33)&amp;"_"&amp;ADAPTAR(E33)&amp;F33</f>
        <v>juanpablo_castillo29484</v>
      </c>
      <c r="J33" s="13">
        <v>11</v>
      </c>
      <c r="K33" t="str" cm="1">
        <f t="array" ref="K33">ADAPTAR(B33)&amp;"."&amp;ADAPTAR(D33)&amp;YEAR(F33)&amp;"@"&amp;VLOOKUP(J33,Dominios!$A$2:$B$30,2,FALSE)</f>
        <v>juan.rodriguez1980@nemesis.ml</v>
      </c>
      <c r="L33" s="13">
        <v>11</v>
      </c>
      <c r="M33">
        <f>VLOOKUP(L33,Celulares!$A$2:$B$30,2,FALSE)</f>
        <v>3115114360</v>
      </c>
    </row>
    <row r="34" spans="1:13" ht="15.75" customHeight="1" x14ac:dyDescent="0.25">
      <c r="A34" t="s">
        <v>2011</v>
      </c>
      <c r="B34" s="2" t="s">
        <v>353</v>
      </c>
      <c r="C34" s="2" t="s">
        <v>483</v>
      </c>
      <c r="D34" s="2" t="s">
        <v>331</v>
      </c>
      <c r="E34" s="2" t="s">
        <v>107</v>
      </c>
      <c r="F34" s="6">
        <v>29376</v>
      </c>
      <c r="G34" s="16">
        <f t="shared" ca="1" si="0"/>
        <v>41.106849315068494</v>
      </c>
      <c r="H34" s="2" t="s">
        <v>559</v>
      </c>
      <c r="I34" t="str" cm="1">
        <f t="array" ref="I34">ADAPTAR(B34)&amp;ADAPTAR(C34)&amp;"_"&amp;ADAPTAR(E34)&amp;F34</f>
        <v>santiagojose_perez29376</v>
      </c>
      <c r="J34" s="13">
        <v>12</v>
      </c>
      <c r="K34" t="str" cm="1">
        <f t="array" ref="K34">ADAPTAR(B34)&amp;"."&amp;ADAPTAR(D34)&amp;YEAR(F34)&amp;"@"&amp;VLOOKUP(J34,Dominios!$A$2:$B$30,2,FALSE)</f>
        <v>santiago.monroy1980@nunquam.com.co</v>
      </c>
      <c r="L34" s="13">
        <v>12</v>
      </c>
      <c r="M34">
        <f>VLOOKUP(L34,Celulares!$A$2:$B$30,2,FALSE)</f>
        <v>3115093653</v>
      </c>
    </row>
    <row r="35" spans="1:13" ht="15.75" customHeight="1" x14ac:dyDescent="0.25">
      <c r="A35" t="s">
        <v>2012</v>
      </c>
      <c r="B35" s="2" t="s">
        <v>379</v>
      </c>
      <c r="C35" s="2" t="s">
        <v>402</v>
      </c>
      <c r="D35" s="2" t="s">
        <v>262</v>
      </c>
      <c r="E35" s="2" t="s">
        <v>348</v>
      </c>
      <c r="F35" s="6">
        <v>29361</v>
      </c>
      <c r="G35" s="16">
        <f t="shared" ca="1" si="0"/>
        <v>41.147945205479452</v>
      </c>
      <c r="H35" s="2" t="s">
        <v>560</v>
      </c>
      <c r="I35" t="str" cm="1">
        <f t="array" ref="I35">ADAPTAR(B35)&amp;ADAPTAR(C35)&amp;"_"&amp;ADAPTAR(E35)&amp;F35</f>
        <v>jairoalberto_zapata29361</v>
      </c>
      <c r="J35" s="13">
        <v>13</v>
      </c>
      <c r="K35" t="str" cm="1">
        <f t="array" ref="K35">ADAPTAR(B35)&amp;"."&amp;ADAPTAR(D35)&amp;YEAR(F35)&amp;"@"&amp;VLOOKUP(J35,Dominios!$A$2:$B$30,2,FALSE)</f>
        <v>jairo.hoyos1980@sempiternam.co</v>
      </c>
      <c r="L35" s="13">
        <v>13</v>
      </c>
      <c r="M35">
        <f>VLOOKUP(L35,Celulares!$A$2:$B$30,2,FALSE)</f>
        <v>3115093598</v>
      </c>
    </row>
    <row r="36" spans="1:13" ht="15.75" customHeight="1" x14ac:dyDescent="0.25">
      <c r="A36" t="s">
        <v>2013</v>
      </c>
      <c r="B36" s="2" t="s">
        <v>391</v>
      </c>
      <c r="C36" s="2" t="s">
        <v>380</v>
      </c>
      <c r="D36" s="2" t="s">
        <v>381</v>
      </c>
      <c r="E36" s="2" t="s">
        <v>455</v>
      </c>
      <c r="F36" s="6">
        <v>23979</v>
      </c>
      <c r="G36" s="16">
        <f t="shared" ca="1" si="0"/>
        <v>55.893150684931506</v>
      </c>
      <c r="H36" s="2" t="s">
        <v>570</v>
      </c>
      <c r="I36" t="str" cm="1">
        <f t="array" ref="I36">ADAPTAR(B36)&amp;ADAPTAR(C36)&amp;"_"&amp;ADAPTAR(E36)&amp;F36</f>
        <v>cesaralirio_crispoca23979</v>
      </c>
      <c r="J36" s="13">
        <v>14</v>
      </c>
      <c r="K36" t="str" cm="1">
        <f t="array" ref="K36">ADAPTAR(B36)&amp;"."&amp;ADAPTAR(D36)&amp;YEAR(F36)&amp;"@"&amp;VLOOKUP(J36,Dominios!$A$2:$B$30,2,FALSE)</f>
        <v>cesar.rodriguez1965@sk9.co</v>
      </c>
      <c r="L36" s="13">
        <v>14</v>
      </c>
      <c r="M36">
        <f>VLOOKUP(L36,Celulares!$A$2:$B$30,2,FALSE)</f>
        <v>3115093583</v>
      </c>
    </row>
    <row r="37" spans="1:13" ht="15.75" customHeight="1" x14ac:dyDescent="0.25">
      <c r="A37" t="s">
        <v>2014</v>
      </c>
      <c r="B37" s="2" t="s">
        <v>347</v>
      </c>
      <c r="C37" s="2" t="s">
        <v>382</v>
      </c>
      <c r="D37" s="2" t="s">
        <v>383</v>
      </c>
      <c r="E37" s="2" t="s">
        <v>384</v>
      </c>
      <c r="F37" s="6">
        <v>28797</v>
      </c>
      <c r="G37" s="16">
        <f t="shared" ca="1" si="0"/>
        <v>42.69315068493151</v>
      </c>
      <c r="H37" s="2" t="s">
        <v>561</v>
      </c>
      <c r="I37" t="str" cm="1">
        <f t="array" ref="I37">ADAPTAR(B37)&amp;ADAPTAR(C37)&amp;"_"&amp;ADAPTAR(E37)&amp;F37</f>
        <v>alvaroandres_coronel28797</v>
      </c>
      <c r="J37" s="13">
        <v>15</v>
      </c>
      <c r="K37" t="str" cm="1">
        <f t="array" ref="K37">ADAPTAR(B37)&amp;"."&amp;ADAPTAR(D37)&amp;YEAR(F37)&amp;"@"&amp;VLOOKUP(J37,Dominios!$A$2:$B$30,2,FALSE)</f>
        <v>alvaro.martinez1978@socialmediacolombia.com.co</v>
      </c>
      <c r="L37" s="13">
        <v>15</v>
      </c>
      <c r="M37">
        <f>VLOOKUP(L37,Celulares!$A$2:$B$30,2,FALSE)</f>
        <v>3115092386</v>
      </c>
    </row>
    <row r="38" spans="1:13" ht="15.75" customHeight="1" x14ac:dyDescent="0.25">
      <c r="A38" t="s">
        <v>2015</v>
      </c>
      <c r="B38" s="2" t="s">
        <v>385</v>
      </c>
      <c r="C38" s="2" t="s">
        <v>349</v>
      </c>
      <c r="D38" s="2" t="s">
        <v>386</v>
      </c>
      <c r="E38" s="2" t="s">
        <v>456</v>
      </c>
      <c r="F38" s="6">
        <v>31210</v>
      </c>
      <c r="G38" s="16">
        <f t="shared" ca="1" si="0"/>
        <v>36.082191780821915</v>
      </c>
      <c r="H38" s="2" t="s">
        <v>562</v>
      </c>
      <c r="I38" t="str" cm="1">
        <f t="array" ref="I38">ADAPTAR(B38)&amp;ADAPTAR(C38)&amp;"_"&amp;ADAPTAR(E38)&amp;F38</f>
        <v>alancamilo_alvarez31210</v>
      </c>
      <c r="J38" s="13">
        <v>16</v>
      </c>
      <c r="K38" t="str" cm="1">
        <f t="array" ref="K38">ADAPTAR(B38)&amp;"."&amp;ADAPTAR(D38)&amp;YEAR(F38)&amp;"@"&amp;VLOOKUP(J38,Dominios!$A$2:$B$30,2,FALSE)</f>
        <v>alan.delgadillo1985@tecnicoensistemas.com.co</v>
      </c>
      <c r="L38" s="13">
        <v>16</v>
      </c>
      <c r="M38">
        <f>VLOOKUP(L38,Celulares!$A$2:$B$30,2,FALSE)</f>
        <v>3115092375</v>
      </c>
    </row>
    <row r="39" spans="1:13" ht="15.75" customHeight="1" x14ac:dyDescent="0.25">
      <c r="A39" t="s">
        <v>2016</v>
      </c>
      <c r="B39" s="2" t="s">
        <v>387</v>
      </c>
      <c r="C39" s="2" t="s">
        <v>353</v>
      </c>
      <c r="D39" s="2" t="s">
        <v>253</v>
      </c>
      <c r="E39" s="2" t="s">
        <v>457</v>
      </c>
      <c r="F39" s="6">
        <v>36404</v>
      </c>
      <c r="G39" s="16">
        <f t="shared" ca="1" si="0"/>
        <v>21.852054794520548</v>
      </c>
      <c r="H39" s="2" t="s">
        <v>563</v>
      </c>
      <c r="I39" t="str" cm="1">
        <f t="array" ref="I39">ADAPTAR(B39)&amp;ADAPTAR(C39)&amp;"_"&amp;ADAPTAR(E39)&amp;F39</f>
        <v>davidsantiago_araque36404</v>
      </c>
      <c r="J39" s="13">
        <v>17</v>
      </c>
      <c r="K39" t="str" cm="1">
        <f t="array" ref="K39">ADAPTAR(B39)&amp;"."&amp;ADAPTAR(D39)&amp;YEAR(F39)&amp;"@"&amp;VLOOKUP(J39,Dominios!$A$2:$B$30,2,FALSE)</f>
        <v>david.cordoba1999@totum.com.co</v>
      </c>
      <c r="L39" s="13">
        <v>17</v>
      </c>
      <c r="M39">
        <f>VLOOKUP(L39,Celulares!$A$2:$B$30,2,FALSE)</f>
        <v>3115092369</v>
      </c>
    </row>
    <row r="40" spans="1:13" ht="15.75" customHeight="1" x14ac:dyDescent="0.25">
      <c r="A40" t="s">
        <v>2017</v>
      </c>
      <c r="B40" s="2" t="s">
        <v>484</v>
      </c>
      <c r="C40" s="2" t="s">
        <v>388</v>
      </c>
      <c r="D40" s="2" t="s">
        <v>127</v>
      </c>
      <c r="E40" s="2" t="s">
        <v>458</v>
      </c>
      <c r="F40" s="6">
        <v>27923</v>
      </c>
      <c r="G40" s="16">
        <f t="shared" ca="1" si="0"/>
        <v>45.087671232876716</v>
      </c>
      <c r="H40" s="2" t="s">
        <v>564</v>
      </c>
      <c r="I40" t="str" cm="1">
        <f t="array" ref="I40">ADAPTAR(B40)&amp;ADAPTAR(C40)&amp;"_"&amp;ADAPTAR(E40)&amp;F40</f>
        <v>crisrtianronaldo_bravo27923</v>
      </c>
      <c r="J40" s="13">
        <v>18</v>
      </c>
      <c r="K40" t="str" cm="1">
        <f t="array" ref="K40">ADAPTAR(B40)&amp;"."&amp;ADAPTAR(D40)&amp;YEAR(F40)&amp;"@"&amp;VLOOKUP(J40,Dominios!$A$2:$B$30,2,FALSE)</f>
        <v>crisrtian.torres1976@voipcolombia.co</v>
      </c>
      <c r="L40" s="13">
        <v>18</v>
      </c>
      <c r="M40">
        <f>VLOOKUP(L40,Celulares!$A$2:$B$30,2,FALSE)</f>
        <v>3115092360</v>
      </c>
    </row>
    <row r="41" spans="1:13" ht="15.75" customHeight="1" x14ac:dyDescent="0.25">
      <c r="A41" t="s">
        <v>2018</v>
      </c>
      <c r="B41" s="2" t="s">
        <v>351</v>
      </c>
      <c r="C41" s="2" t="s">
        <v>382</v>
      </c>
      <c r="D41" s="2" t="s">
        <v>389</v>
      </c>
      <c r="E41" s="2" t="s">
        <v>459</v>
      </c>
      <c r="F41" s="6">
        <v>27923</v>
      </c>
      <c r="G41" s="16">
        <f t="shared" ca="1" si="0"/>
        <v>45.087671232876716</v>
      </c>
      <c r="H41" s="2" t="s">
        <v>565</v>
      </c>
      <c r="I41" t="str" cm="1">
        <f t="array" ref="I41">ADAPTAR(B41)&amp;ADAPTAR(C41)&amp;"_"&amp;ADAPTAR(E41)&amp;F41</f>
        <v>jaimeandres_poveda27923</v>
      </c>
      <c r="J41" s="13">
        <v>19</v>
      </c>
      <c r="K41" t="str" cm="1">
        <f t="array" ref="K41">ADAPTAR(B41)&amp;"."&amp;ADAPTAR(D41)&amp;YEAR(F41)&amp;"@"&amp;VLOOKUP(J41,Dominios!$A$2:$B$30,2,FALSE)</f>
        <v>jaime.novoa1976@vpncolombia.com.co</v>
      </c>
      <c r="L41" s="13">
        <v>19</v>
      </c>
      <c r="M41">
        <f>VLOOKUP(L41,Celulares!$A$2:$B$30,2,FALSE)</f>
        <v>3115092352</v>
      </c>
    </row>
    <row r="42" spans="1:13" ht="15.75" customHeight="1" x14ac:dyDescent="0.25">
      <c r="A42" t="s">
        <v>2019</v>
      </c>
      <c r="B42" s="2" t="s">
        <v>332</v>
      </c>
      <c r="C42" s="2" t="s">
        <v>446</v>
      </c>
      <c r="D42" s="2" t="s">
        <v>127</v>
      </c>
      <c r="E42" s="2" t="s">
        <v>157</v>
      </c>
      <c r="F42" s="6">
        <v>25312</v>
      </c>
      <c r="G42" s="16">
        <f t="shared" ca="1" si="0"/>
        <v>52.241095890410961</v>
      </c>
      <c r="H42" s="2" t="s">
        <v>566</v>
      </c>
      <c r="I42" t="str" cm="1">
        <f t="array" ref="I42">ADAPTAR(B42)&amp;ADAPTAR(C42)&amp;"_"&amp;ADAPTAR(E42)&amp;F42</f>
        <v>danielfelipe_ramirez25312</v>
      </c>
      <c r="J42" s="13">
        <v>0</v>
      </c>
      <c r="K42" t="str" cm="1">
        <f t="array" ref="K42">ADAPTAR(B42)&amp;"."&amp;ADAPTAR(D42)&amp;YEAR(F42)&amp;"@"&amp;VLOOKUP(J42,Dominios!$A$2:$B$30,2,FALSE)</f>
        <v>daniel.torres1969@auribus.com.co</v>
      </c>
      <c r="L42" s="13">
        <v>0</v>
      </c>
      <c r="M42">
        <f>VLOOKUP(L42,Celulares!$A$2:$B$30,2,FALSE)</f>
        <v>3115114930</v>
      </c>
    </row>
    <row r="43" spans="1:13" ht="15.75" customHeight="1" x14ac:dyDescent="0.25">
      <c r="A43" t="s">
        <v>2020</v>
      </c>
      <c r="B43" s="2" t="s">
        <v>332</v>
      </c>
      <c r="C43" s="2" t="s">
        <v>387</v>
      </c>
      <c r="D43" s="2" t="s">
        <v>47</v>
      </c>
      <c r="E43" s="2" t="s">
        <v>390</v>
      </c>
      <c r="F43" s="6">
        <v>22517</v>
      </c>
      <c r="G43" s="16">
        <f t="shared" ca="1" si="0"/>
        <v>59.898630136986299</v>
      </c>
      <c r="H43" s="2" t="s">
        <v>567</v>
      </c>
      <c r="I43" t="str" cm="1">
        <f t="array" ref="I43">ADAPTAR(B43)&amp;ADAPTAR(C43)&amp;"_"&amp;ADAPTAR(E43)&amp;F43</f>
        <v>danieldavid_suarez22517</v>
      </c>
      <c r="J43" s="13">
        <v>1</v>
      </c>
      <c r="K43" t="str" cm="1">
        <f t="array" ref="K43">ADAPTAR(B43)&amp;"."&amp;ADAPTAR(D43)&amp;YEAR(F43)&amp;"@"&amp;VLOOKUP(J43,Dominios!$A$2:$B$30,2,FALSE)</f>
        <v>daniel.gomez1961@colamus.co</v>
      </c>
      <c r="L43" s="13">
        <v>1</v>
      </c>
      <c r="M43">
        <f>VLOOKUP(L43,Celulares!$A$2:$B$30,2,FALSE)</f>
        <v>3115114916</v>
      </c>
    </row>
    <row r="44" spans="1:13" ht="15.75" customHeight="1" x14ac:dyDescent="0.25">
      <c r="A44" t="s">
        <v>2021</v>
      </c>
      <c r="B44" s="2" t="s">
        <v>332</v>
      </c>
      <c r="C44" s="2" t="s">
        <v>365</v>
      </c>
      <c r="D44" s="2" t="s">
        <v>56</v>
      </c>
      <c r="E44" s="2" t="s">
        <v>273</v>
      </c>
      <c r="F44" s="6">
        <v>23791</v>
      </c>
      <c r="G44" s="16">
        <f t="shared" ca="1" si="0"/>
        <v>56.408219178082192</v>
      </c>
      <c r="H44" s="2" t="s">
        <v>568</v>
      </c>
      <c r="I44" t="str" cm="1">
        <f t="array" ref="I44">ADAPTAR(B44)&amp;ADAPTAR(C44)&amp;"_"&amp;ADAPTAR(E44)&amp;F44</f>
        <v>danielesteban_hernandez23791</v>
      </c>
      <c r="J44" s="13">
        <v>2</v>
      </c>
      <c r="K44" t="str" cm="1">
        <f t="array" ref="K44">ADAPTAR(B44)&amp;"."&amp;ADAPTAR(D44)&amp;YEAR(F44)&amp;"@"&amp;VLOOKUP(J44,Dominios!$A$2:$B$30,2,FALSE)</f>
        <v>daniel.rojas1965@colombiamail.co</v>
      </c>
      <c r="L44" s="13">
        <v>2</v>
      </c>
      <c r="M44">
        <f>VLOOKUP(L44,Celulares!$A$2:$B$30,2,FALSE)</f>
        <v>3115114911</v>
      </c>
    </row>
    <row r="45" spans="1:13" ht="15.75" customHeight="1" x14ac:dyDescent="0.25">
      <c r="A45" t="s">
        <v>2022</v>
      </c>
      <c r="B45" s="2" t="s">
        <v>391</v>
      </c>
      <c r="C45" s="2" t="s">
        <v>330</v>
      </c>
      <c r="D45" s="2" t="s">
        <v>392</v>
      </c>
      <c r="E45" s="2" t="s">
        <v>460</v>
      </c>
      <c r="F45" s="6">
        <v>34552</v>
      </c>
      <c r="G45" s="16">
        <f t="shared" ca="1" si="0"/>
        <v>26.926027397260274</v>
      </c>
      <c r="H45" s="2" t="s">
        <v>569</v>
      </c>
      <c r="I45" t="str" cm="1">
        <f t="array" ref="I45">ADAPTAR(B45)&amp;ADAPTAR(C45)&amp;"_"&amp;ADAPTAR(E45)&amp;F45</f>
        <v>cesarandres_serrato34552</v>
      </c>
      <c r="J45" s="13">
        <v>3</v>
      </c>
      <c r="K45" t="str" cm="1">
        <f t="array" ref="K45">ADAPTAR(B45)&amp;"."&amp;ADAPTAR(D45)&amp;YEAR(F45)&amp;"@"&amp;VLOOKUP(J45,Dominios!$A$2:$B$30,2,FALSE)</f>
        <v>cesar.castro1994@diabunter.co</v>
      </c>
      <c r="L45" s="13">
        <v>3</v>
      </c>
      <c r="M45">
        <f>VLOOKUP(L45,Celulares!$A$2:$B$30,2,FALSE)</f>
        <v>3115114910</v>
      </c>
    </row>
    <row r="46" spans="1:13" ht="15.75" customHeight="1" x14ac:dyDescent="0.25">
      <c r="A46" t="s">
        <v>2023</v>
      </c>
      <c r="B46" s="2" t="s">
        <v>330</v>
      </c>
      <c r="C46" s="2" t="s">
        <v>339</v>
      </c>
      <c r="D46" s="2" t="s">
        <v>393</v>
      </c>
      <c r="E46" s="2" t="s">
        <v>355</v>
      </c>
      <c r="F46" s="6">
        <v>26230</v>
      </c>
      <c r="G46" s="16">
        <f t="shared" ca="1" si="0"/>
        <v>49.726027397260275</v>
      </c>
      <c r="H46" s="2" t="s">
        <v>532</v>
      </c>
      <c r="I46" t="str" cm="1">
        <f t="array" ref="I46">ADAPTAR(B46)&amp;ADAPTAR(C46)&amp;"_"&amp;ADAPTAR(E46)&amp;F46</f>
        <v>andresfernando_cardenas26230</v>
      </c>
      <c r="J46" s="13">
        <v>4</v>
      </c>
      <c r="K46" t="str" cm="1">
        <f t="array" ref="K46">ADAPTAR(B46)&amp;"."&amp;ADAPTAR(D46)&amp;YEAR(F46)&amp;"@"&amp;VLOOKUP(J46,Dominios!$A$2:$B$30,2,FALSE)</f>
        <v>andres.valero1971@ebrietas.co</v>
      </c>
      <c r="L46" s="13">
        <v>4</v>
      </c>
      <c r="M46">
        <f>VLOOKUP(L46,Celulares!$A$2:$B$30,2,FALSE)</f>
        <v>3115114909</v>
      </c>
    </row>
    <row r="47" spans="1:13" ht="15.75" customHeight="1" x14ac:dyDescent="0.25">
      <c r="A47" t="s">
        <v>2024</v>
      </c>
      <c r="B47" s="2" t="s">
        <v>394</v>
      </c>
      <c r="C47" s="2" t="s">
        <v>330</v>
      </c>
      <c r="D47" s="2" t="s">
        <v>44</v>
      </c>
      <c r="E47" s="2" t="s">
        <v>273</v>
      </c>
      <c r="F47" s="6">
        <v>34280</v>
      </c>
      <c r="G47" s="16">
        <f t="shared" ca="1" si="0"/>
        <v>27.671232876712327</v>
      </c>
      <c r="H47" s="2" t="s">
        <v>567</v>
      </c>
      <c r="I47" t="str" cm="1">
        <f t="array" ref="I47">ADAPTAR(B47)&amp;ADAPTAR(C47)&amp;"_"&amp;ADAPTAR(E47)&amp;F47</f>
        <v>diegoandres_hernandez34280</v>
      </c>
      <c r="J47" s="13">
        <v>5</v>
      </c>
      <c r="K47" t="str" cm="1">
        <f t="array" ref="K47">ADAPTAR(B47)&amp;"."&amp;ADAPTAR(D47)&amp;YEAR(F47)&amp;"@"&amp;VLOOKUP(J47,Dominios!$A$2:$B$30,2,FALSE)</f>
        <v>diego.matiz1993@elsinsonte.co</v>
      </c>
      <c r="L47" s="13">
        <v>5</v>
      </c>
      <c r="M47">
        <f>VLOOKUP(L47,Celulares!$A$2:$B$30,2,FALSE)</f>
        <v>3115060130</v>
      </c>
    </row>
    <row r="48" spans="1:13" ht="15.75" customHeight="1" x14ac:dyDescent="0.25">
      <c r="A48" t="s">
        <v>2025</v>
      </c>
      <c r="B48" s="2" t="s">
        <v>341</v>
      </c>
      <c r="C48" s="2" t="s">
        <v>387</v>
      </c>
      <c r="D48" s="2" t="s">
        <v>395</v>
      </c>
      <c r="E48" s="2" t="s">
        <v>461</v>
      </c>
      <c r="F48" s="6">
        <v>29979</v>
      </c>
      <c r="G48" s="16">
        <f t="shared" ca="1" si="0"/>
        <v>39.454794520547942</v>
      </c>
      <c r="H48" s="2" t="s">
        <v>530</v>
      </c>
      <c r="I48" t="str" cm="1">
        <f t="array" ref="I48">ADAPTAR(B48)&amp;ADAPTAR(C48)&amp;"_"&amp;ADAPTAR(E48)&amp;F48</f>
        <v>juandavid_roldan29979</v>
      </c>
      <c r="J48" s="13">
        <v>6</v>
      </c>
      <c r="K48" t="str" cm="1">
        <f t="array" ref="K48">ADAPTAR(B48)&amp;"."&amp;ADAPTAR(D48)&amp;YEAR(F48)&amp;"@"&amp;VLOOKUP(J48,Dominios!$A$2:$B$30,2,FALSE)</f>
        <v>juan.ossa1982@enigmaserver.co</v>
      </c>
      <c r="L48" s="13">
        <v>6</v>
      </c>
      <c r="M48">
        <f>VLOOKUP(L48,Celulares!$A$2:$B$30,2,FALSE)</f>
        <v>3115060125</v>
      </c>
    </row>
    <row r="49" spans="1:13" ht="15.75" customHeight="1" x14ac:dyDescent="0.25">
      <c r="A49" t="s">
        <v>2026</v>
      </c>
      <c r="B49" s="2" t="s">
        <v>396</v>
      </c>
      <c r="C49" s="2" t="s">
        <v>485</v>
      </c>
      <c r="D49" s="2" t="s">
        <v>157</v>
      </c>
      <c r="E49" s="2" t="s">
        <v>462</v>
      </c>
      <c r="F49" s="6">
        <v>27371</v>
      </c>
      <c r="G49" s="16">
        <f t="shared" ca="1" si="0"/>
        <v>46.6</v>
      </c>
      <c r="H49" s="2" t="s">
        <v>571</v>
      </c>
      <c r="I49" t="str" cm="1">
        <f t="array" ref="I49">ADAPTAR(B49)&amp;ADAPTAR(C49)&amp;"_"&amp;ADAPTAR(E49)&amp;F49</f>
        <v>aaronsneider_barajas27371</v>
      </c>
      <c r="J49" s="13">
        <v>7</v>
      </c>
      <c r="K49" t="str" cm="1">
        <f t="array" ref="K49">ADAPTAR(B49)&amp;"."&amp;ADAPTAR(D49)&amp;YEAR(F49)&amp;"@"&amp;VLOOKUP(J49,Dominios!$A$2:$B$30,2,FALSE)</f>
        <v>aaron.ramirez1974@hocknas.co</v>
      </c>
      <c r="L49" s="13">
        <v>7</v>
      </c>
      <c r="M49">
        <f>VLOOKUP(L49,Celulares!$A$2:$B$30,2,FALSE)</f>
        <v>3115060110</v>
      </c>
    </row>
    <row r="50" spans="1:13" ht="15.75" customHeight="1" x14ac:dyDescent="0.25">
      <c r="A50" t="s">
        <v>2027</v>
      </c>
      <c r="B50" s="2" t="s">
        <v>397</v>
      </c>
      <c r="C50" s="2" t="s">
        <v>50</v>
      </c>
      <c r="D50" s="2" t="s">
        <v>398</v>
      </c>
      <c r="E50" s="2" t="s">
        <v>463</v>
      </c>
      <c r="F50" s="6">
        <v>27510</v>
      </c>
      <c r="G50" s="16">
        <f t="shared" ca="1" si="0"/>
        <v>46.219178082191782</v>
      </c>
      <c r="H50" s="2" t="s">
        <v>572</v>
      </c>
      <c r="I50" t="str" cm="1">
        <f t="array" ref="I50">ADAPTAR(B50)&amp;ADAPTAR(C50)&amp;"_"&amp;ADAPTAR(E50)&amp;F50</f>
        <v>josemaria_reinoso27510</v>
      </c>
      <c r="J50" s="13">
        <v>8</v>
      </c>
      <c r="K50" t="str" cm="1">
        <f t="array" ref="K50">ADAPTAR(B50)&amp;"."&amp;ADAPTAR(D50)&amp;YEAR(F50)&amp;"@"&amp;VLOOKUP(J50,Dominios!$A$2:$B$30,2,FALSE)</f>
        <v>jose.valverde1975@hostedoceri.co</v>
      </c>
      <c r="L50" s="13">
        <v>8</v>
      </c>
      <c r="M50">
        <f>VLOOKUP(L50,Celulares!$A$2:$B$30,2,FALSE)</f>
        <v>3115060091</v>
      </c>
    </row>
    <row r="51" spans="1:13" ht="15.75" customHeight="1" x14ac:dyDescent="0.25">
      <c r="A51" t="s">
        <v>2028</v>
      </c>
      <c r="B51" s="2" t="s">
        <v>431</v>
      </c>
      <c r="C51" s="2" t="s">
        <v>339</v>
      </c>
      <c r="D51" s="2" t="s">
        <v>57</v>
      </c>
      <c r="E51" s="2" t="s">
        <v>350</v>
      </c>
      <c r="F51" s="6">
        <v>27098</v>
      </c>
      <c r="G51" s="16">
        <f t="shared" ca="1" si="0"/>
        <v>47.347945205479455</v>
      </c>
      <c r="H51" s="2" t="s">
        <v>573</v>
      </c>
      <c r="I51" t="str" cm="1">
        <f t="array" ref="I51">ADAPTAR(B51)&amp;ADAPTAR(C51)&amp;"_"&amp;ADAPTAR(E51)&amp;F51</f>
        <v>luisfernando_garces27098</v>
      </c>
      <c r="J51" s="13">
        <v>9</v>
      </c>
      <c r="K51" t="str" cm="1">
        <f t="array" ref="K51">ADAPTAR(B51)&amp;"."&amp;ADAPTAR(D51)&amp;YEAR(F51)&amp;"@"&amp;VLOOKUP(J51,Dominios!$A$2:$B$30,2,FALSE)</f>
        <v>luis.castro1974@libertas.com.co</v>
      </c>
      <c r="L51" s="13">
        <v>9</v>
      </c>
      <c r="M51">
        <f>VLOOKUP(L51,Celulares!$A$2:$B$30,2,FALSE)</f>
        <v>3115060080</v>
      </c>
    </row>
    <row r="52" spans="1:13" ht="15.75" customHeight="1" x14ac:dyDescent="0.25">
      <c r="A52" t="s">
        <v>2029</v>
      </c>
      <c r="B52" s="2" t="s">
        <v>399</v>
      </c>
      <c r="C52" s="2" t="s">
        <v>400</v>
      </c>
      <c r="D52" s="2" t="s">
        <v>43</v>
      </c>
      <c r="E52" s="2" t="s">
        <v>358</v>
      </c>
      <c r="F52" s="6">
        <v>26052</v>
      </c>
      <c r="G52" s="16">
        <f t="shared" ca="1" si="0"/>
        <v>50.213698630136989</v>
      </c>
      <c r="H52" s="2" t="s">
        <v>559</v>
      </c>
      <c r="I52" t="str" cm="1">
        <f t="array" ref="I52">ADAPTAR(B52)&amp;ADAPTAR(C52)&amp;"_"&amp;ADAPTAR(E52)&amp;F52</f>
        <v>pedroarturo_calderon26052</v>
      </c>
      <c r="J52" s="13">
        <v>10</v>
      </c>
      <c r="K52" t="str" cm="1">
        <f t="array" ref="K52">ADAPTAR(B52)&amp;"."&amp;ADAPTAR(D52)&amp;YEAR(F52)&amp;"@"&amp;VLOOKUP(J52,Dominios!$A$2:$B$30,2,FALSE)</f>
        <v>pedro.herrera1971@nascitur.com.co</v>
      </c>
      <c r="L52" s="13">
        <v>10</v>
      </c>
      <c r="M52">
        <f>VLOOKUP(L52,Celulares!$A$2:$B$30,2,FALSE)</f>
        <v>3115114385</v>
      </c>
    </row>
    <row r="53" spans="1:13" ht="15.75" customHeight="1" x14ac:dyDescent="0.25">
      <c r="A53" t="s">
        <v>2030</v>
      </c>
      <c r="B53" s="2" t="s">
        <v>341</v>
      </c>
      <c r="C53" s="2" t="s">
        <v>387</v>
      </c>
      <c r="D53" s="2" t="s">
        <v>47</v>
      </c>
      <c r="E53" s="2" t="s">
        <v>464</v>
      </c>
      <c r="F53" s="6">
        <v>30878</v>
      </c>
      <c r="G53" s="16">
        <f t="shared" ca="1" si="0"/>
        <v>36.991780821917807</v>
      </c>
      <c r="H53" s="2" t="s">
        <v>574</v>
      </c>
      <c r="I53" t="str" cm="1">
        <f t="array" ref="I53">ADAPTAR(B53)&amp;ADAPTAR(C53)&amp;"_"&amp;ADAPTAR(E53)&amp;F53</f>
        <v>juandavid_galan30878</v>
      </c>
      <c r="J53" s="13">
        <v>11</v>
      </c>
      <c r="K53" t="str" cm="1">
        <f t="array" ref="K53">ADAPTAR(B53)&amp;"."&amp;ADAPTAR(D53)&amp;YEAR(F53)&amp;"@"&amp;VLOOKUP(J53,Dominios!$A$2:$B$30,2,FALSE)</f>
        <v>juan.gomez1984@nemesis.ml</v>
      </c>
      <c r="L53" s="13">
        <v>11</v>
      </c>
      <c r="M53">
        <f>VLOOKUP(L53,Celulares!$A$2:$B$30,2,FALSE)</f>
        <v>3115114360</v>
      </c>
    </row>
    <row r="54" spans="1:13" ht="15.75" customHeight="1" x14ac:dyDescent="0.25">
      <c r="A54" t="s">
        <v>2031</v>
      </c>
      <c r="B54" s="2" t="s">
        <v>401</v>
      </c>
      <c r="C54" s="2" t="s">
        <v>360</v>
      </c>
      <c r="D54" s="2" t="s">
        <v>107</v>
      </c>
      <c r="E54" s="2" t="s">
        <v>465</v>
      </c>
      <c r="F54" s="6">
        <v>31330</v>
      </c>
      <c r="G54" s="16">
        <f t="shared" ca="1" si="0"/>
        <v>35.753424657534246</v>
      </c>
      <c r="H54" s="2" t="s">
        <v>561</v>
      </c>
      <c r="I54" t="str" cm="1">
        <f t="array" ref="I54">ADAPTAR(B54)&amp;ADAPTAR(C54)&amp;"_"&amp;ADAPTAR(E54)&amp;F54</f>
        <v>oscarmauricio_hurtado31330</v>
      </c>
      <c r="J54" s="13">
        <v>12</v>
      </c>
      <c r="K54" t="str" cm="1">
        <f t="array" ref="K54">ADAPTAR(B54)&amp;"."&amp;ADAPTAR(D54)&amp;YEAR(F54)&amp;"@"&amp;VLOOKUP(J54,Dominios!$A$2:$B$30,2,FALSE)</f>
        <v>oscar.perez1985@nunquam.com.co</v>
      </c>
      <c r="L54" s="13">
        <v>12</v>
      </c>
      <c r="M54">
        <f>VLOOKUP(L54,Celulares!$A$2:$B$30,2,FALSE)</f>
        <v>3115093653</v>
      </c>
    </row>
    <row r="55" spans="1:13" ht="15.75" customHeight="1" x14ac:dyDescent="0.25">
      <c r="A55" t="s">
        <v>2032</v>
      </c>
      <c r="B55" s="2" t="s">
        <v>379</v>
      </c>
      <c r="C55" s="2" t="s">
        <v>402</v>
      </c>
      <c r="D55" s="2" t="s">
        <v>403</v>
      </c>
      <c r="E55" s="2" t="s">
        <v>404</v>
      </c>
      <c r="F55" s="6">
        <v>22517</v>
      </c>
      <c r="G55" s="16">
        <f t="shared" ca="1" si="0"/>
        <v>59.898630136986299</v>
      </c>
      <c r="H55" s="2" t="s">
        <v>575</v>
      </c>
      <c r="I55" t="str" cm="1">
        <f t="array" ref="I55">ADAPTAR(B55)&amp;ADAPTAR(C55)&amp;"_"&amp;ADAPTAR(E55)&amp;F55</f>
        <v>jairoalberto_zambrano22517</v>
      </c>
      <c r="J55" s="13">
        <v>13</v>
      </c>
      <c r="K55" t="str" cm="1">
        <f t="array" ref="K55">ADAPTAR(B55)&amp;"."&amp;ADAPTAR(D55)&amp;YEAR(F55)&amp;"@"&amp;VLOOKUP(J55,Dominios!$A$2:$B$30,2,FALSE)</f>
        <v>jairo.zorro1961@sempiternam.co</v>
      </c>
      <c r="L55" s="13">
        <v>13</v>
      </c>
      <c r="M55">
        <f>VLOOKUP(L55,Celulares!$A$2:$B$30,2,FALSE)</f>
        <v>3115093598</v>
      </c>
    </row>
    <row r="56" spans="1:13" ht="15.75" customHeight="1" x14ac:dyDescent="0.25">
      <c r="A56" t="s">
        <v>2033</v>
      </c>
      <c r="B56" s="2" t="s">
        <v>382</v>
      </c>
      <c r="C56" s="2" t="s">
        <v>486</v>
      </c>
      <c r="D56" s="2" t="s">
        <v>405</v>
      </c>
      <c r="E56" s="2" t="s">
        <v>466</v>
      </c>
      <c r="F56" s="6">
        <v>36666</v>
      </c>
      <c r="G56" s="16">
        <f t="shared" ca="1" si="0"/>
        <v>21.134246575342466</v>
      </c>
      <c r="H56" s="2" t="s">
        <v>576</v>
      </c>
      <c r="I56" t="str" cm="1">
        <f t="array" ref="I56">ADAPTAR(B56)&amp;ADAPTAR(C56)&amp;"_"&amp;ADAPTAR(E56)&amp;F56</f>
        <v>andresricardo_acuna36666</v>
      </c>
      <c r="J56" s="13">
        <v>14</v>
      </c>
      <c r="K56" t="str" cm="1">
        <f t="array" ref="K56">ADAPTAR(B56)&amp;"."&amp;ADAPTAR(D56)&amp;YEAR(F56)&amp;"@"&amp;VLOOKUP(J56,Dominios!$A$2:$B$30,2,FALSE)</f>
        <v>andres.obregon2000@sk9.co</v>
      </c>
      <c r="L56" s="13">
        <v>14</v>
      </c>
      <c r="M56">
        <f>VLOOKUP(L56,Celulares!$A$2:$B$30,2,FALSE)</f>
        <v>3115093583</v>
      </c>
    </row>
    <row r="57" spans="1:13" ht="15.75" customHeight="1" x14ac:dyDescent="0.25">
      <c r="A57" t="s">
        <v>2034</v>
      </c>
      <c r="B57" s="2" t="s">
        <v>333</v>
      </c>
      <c r="C57" s="2" t="s">
        <v>483</v>
      </c>
      <c r="D57" s="2" t="s">
        <v>406</v>
      </c>
      <c r="E57" s="2" t="s">
        <v>117</v>
      </c>
      <c r="F57" s="6">
        <v>28504</v>
      </c>
      <c r="G57" s="16">
        <f t="shared" ca="1" si="0"/>
        <v>43.495890410958907</v>
      </c>
      <c r="H57" s="2" t="s">
        <v>562</v>
      </c>
      <c r="I57" t="str" cm="1">
        <f t="array" ref="I57">ADAPTAR(B57)&amp;ADAPTAR(C57)&amp;"_"&amp;ADAPTAR(E57)&amp;F57</f>
        <v>alejandrojose_diaz28504</v>
      </c>
      <c r="J57" s="13">
        <v>15</v>
      </c>
      <c r="K57" t="str" cm="1">
        <f t="array" ref="K57">ADAPTAR(B57)&amp;"."&amp;ADAPTAR(D57)&amp;YEAR(F57)&amp;"@"&amp;VLOOKUP(J57,Dominios!$A$2:$B$30,2,FALSE)</f>
        <v>alejandro.quijano1978@socialmediacolombia.com.co</v>
      </c>
      <c r="L57" s="13">
        <v>15</v>
      </c>
      <c r="M57">
        <f>VLOOKUP(L57,Celulares!$A$2:$B$30,2,FALSE)</f>
        <v>3115092386</v>
      </c>
    </row>
    <row r="58" spans="1:13" ht="15.75" customHeight="1" x14ac:dyDescent="0.25">
      <c r="A58" t="s">
        <v>2035</v>
      </c>
      <c r="B58" s="2" t="s">
        <v>341</v>
      </c>
      <c r="C58" s="2" t="s">
        <v>369</v>
      </c>
      <c r="D58" s="2" t="s">
        <v>407</v>
      </c>
      <c r="E58" s="2" t="s">
        <v>273</v>
      </c>
      <c r="F58" s="6">
        <v>36452</v>
      </c>
      <c r="G58" s="16">
        <f t="shared" ca="1" si="0"/>
        <v>21.720547945205478</v>
      </c>
      <c r="H58" s="2" t="s">
        <v>922</v>
      </c>
      <c r="I58" t="str" cm="1">
        <f t="array" ref="I58">ADAPTAR(B58)&amp;ADAPTAR(C58)&amp;"_"&amp;ADAPTAR(E58)&amp;F58</f>
        <v>juanpablo_hernandez36452</v>
      </c>
      <c r="J58" s="13">
        <v>16</v>
      </c>
      <c r="K58" t="str" cm="1">
        <f t="array" ref="K58">ADAPTAR(B58)&amp;"."&amp;ADAPTAR(D58)&amp;YEAR(F58)&amp;"@"&amp;VLOOKUP(J58,Dominios!$A$2:$B$30,2,FALSE)</f>
        <v>juan.cubides1999@tecnicoensistemas.com.co</v>
      </c>
      <c r="L58" s="13">
        <v>16</v>
      </c>
      <c r="M58">
        <f>VLOOKUP(L58,Celulares!$A$2:$B$30,2,FALSE)</f>
        <v>3115092375</v>
      </c>
    </row>
    <row r="59" spans="1:13" ht="15.75" customHeight="1" x14ac:dyDescent="0.25">
      <c r="A59" t="s">
        <v>2036</v>
      </c>
      <c r="B59" s="2" t="s">
        <v>342</v>
      </c>
      <c r="C59" s="2" t="s">
        <v>402</v>
      </c>
      <c r="D59" s="2" t="s">
        <v>408</v>
      </c>
      <c r="E59" s="2" t="s">
        <v>447</v>
      </c>
      <c r="F59" s="6">
        <v>29609</v>
      </c>
      <c r="G59" s="16">
        <f t="shared" ca="1" si="0"/>
        <v>40.468493150684928</v>
      </c>
      <c r="H59" s="2" t="s">
        <v>549</v>
      </c>
      <c r="I59" t="str" cm="1">
        <f t="array" ref="I59">ADAPTAR(B59)&amp;ADAPTAR(C59)&amp;"_"&amp;ADAPTAR(E59)&amp;F59</f>
        <v>carlosalberto_rincon29609</v>
      </c>
      <c r="J59" s="13">
        <v>17</v>
      </c>
      <c r="K59" t="str" cm="1">
        <f t="array" ref="K59">ADAPTAR(B59)&amp;"."&amp;ADAPTAR(D59)&amp;YEAR(F59)&amp;"@"&amp;VLOOKUP(J59,Dominios!$A$2:$B$30,2,FALSE)</f>
        <v>carlos.abondano1981@totum.com.co</v>
      </c>
      <c r="L59" s="13">
        <v>17</v>
      </c>
      <c r="M59">
        <f>VLOOKUP(L59,Celulares!$A$2:$B$30,2,FALSE)</f>
        <v>3115092369</v>
      </c>
    </row>
    <row r="60" spans="1:13" ht="15.75" customHeight="1" x14ac:dyDescent="0.25">
      <c r="A60" t="s">
        <v>2037</v>
      </c>
      <c r="B60" s="2" t="s">
        <v>409</v>
      </c>
      <c r="C60" s="2" t="s">
        <v>379</v>
      </c>
      <c r="D60" s="2" t="s">
        <v>410</v>
      </c>
      <c r="E60" s="2" t="s">
        <v>411</v>
      </c>
      <c r="F60" s="6">
        <v>27602</v>
      </c>
      <c r="G60" s="16">
        <f t="shared" ca="1" si="0"/>
        <v>45.967123287671235</v>
      </c>
      <c r="H60" s="2" t="s">
        <v>577</v>
      </c>
      <c r="I60" t="str" cm="1">
        <f t="array" ref="I60">ADAPTAR(B60)&amp;ADAPTAR(C60)&amp;"_"&amp;ADAPTAR(E60)&amp;F60</f>
        <v>jhonjairo_abella27602</v>
      </c>
      <c r="J60" s="13">
        <v>18</v>
      </c>
      <c r="K60" t="str" cm="1">
        <f t="array" ref="K60">ADAPTAR(B60)&amp;"."&amp;ADAPTAR(D60)&amp;YEAR(F60)&amp;"@"&amp;VLOOKUP(J60,Dominios!$A$2:$B$30,2,FALSE)</f>
        <v>jhon.guerrero1975@voipcolombia.co</v>
      </c>
      <c r="L60" s="13">
        <v>18</v>
      </c>
      <c r="M60">
        <f>VLOOKUP(L60,Celulares!$A$2:$B$30,2,FALSE)</f>
        <v>3115092360</v>
      </c>
    </row>
    <row r="61" spans="1:13" ht="15.75" customHeight="1" x14ac:dyDescent="0.25">
      <c r="A61" t="s">
        <v>2038</v>
      </c>
      <c r="B61" s="2" t="s">
        <v>330</v>
      </c>
      <c r="C61" s="2" t="s">
        <v>487</v>
      </c>
      <c r="D61" s="2" t="s">
        <v>94</v>
      </c>
      <c r="E61" s="2" t="s">
        <v>467</v>
      </c>
      <c r="F61" s="6">
        <v>33577</v>
      </c>
      <c r="G61" s="16">
        <f t="shared" ca="1" si="0"/>
        <v>29.597260273972601</v>
      </c>
      <c r="H61" s="2" t="s">
        <v>578</v>
      </c>
      <c r="I61" t="str" cm="1">
        <f t="array" ref="I61">ADAPTAR(B61)&amp;ADAPTAR(C61)&amp;"_"&amp;ADAPTAR(E61)&amp;F61</f>
        <v>andresdanilo_bustamante33577</v>
      </c>
      <c r="J61" s="13">
        <v>19</v>
      </c>
      <c r="K61" t="str" cm="1">
        <f t="array" ref="K61">ADAPTAR(B61)&amp;"."&amp;ADAPTAR(D61)&amp;YEAR(F61)&amp;"@"&amp;VLOOKUP(J61,Dominios!$A$2:$B$30,2,FALSE)</f>
        <v>andres.gonzalez1991@vpncolombia.com.co</v>
      </c>
      <c r="L61" s="13">
        <v>19</v>
      </c>
      <c r="M61">
        <f>VLOOKUP(L61,Celulares!$A$2:$B$30,2,FALSE)</f>
        <v>3115092352</v>
      </c>
    </row>
    <row r="62" spans="1:13" ht="15.75" customHeight="1" x14ac:dyDescent="0.25">
      <c r="A62" t="s">
        <v>2039</v>
      </c>
      <c r="B62" s="2" t="s">
        <v>387</v>
      </c>
      <c r="C62" s="2" t="s">
        <v>488</v>
      </c>
      <c r="D62" s="2" t="s">
        <v>412</v>
      </c>
      <c r="E62" s="2" t="s">
        <v>138</v>
      </c>
      <c r="F62" s="6">
        <v>32291</v>
      </c>
      <c r="G62" s="16">
        <f t="shared" ca="1" si="0"/>
        <v>33.12054794520548</v>
      </c>
      <c r="H62" s="2" t="s">
        <v>579</v>
      </c>
      <c r="I62" t="str" cm="1">
        <f t="array" ref="I62">ADAPTAR(B62)&amp;ADAPTAR(C62)&amp;"_"&amp;ADAPTAR(E62)&amp;F62</f>
        <v>davidjulian_quintero32291</v>
      </c>
      <c r="J62" s="13">
        <v>0</v>
      </c>
      <c r="K62" t="str" cm="1">
        <f t="array" ref="K62">ADAPTAR(B62)&amp;"."&amp;ADAPTAR(D62)&amp;YEAR(F62)&amp;"@"&amp;VLOOKUP(J62,Dominios!$A$2:$B$30,2,FALSE)</f>
        <v>david.fajardo1988@auribus.com.co</v>
      </c>
      <c r="L62" s="13">
        <v>0</v>
      </c>
      <c r="M62">
        <f>VLOOKUP(L62,Celulares!$A$2:$B$30,2,FALSE)</f>
        <v>3115114930</v>
      </c>
    </row>
    <row r="63" spans="1:13" ht="15.75" customHeight="1" x14ac:dyDescent="0.25">
      <c r="A63" t="s">
        <v>2040</v>
      </c>
      <c r="B63" s="2" t="s">
        <v>382</v>
      </c>
      <c r="C63" s="2" t="s">
        <v>413</v>
      </c>
      <c r="D63" s="2" t="s">
        <v>414</v>
      </c>
      <c r="E63" s="2" t="s">
        <v>415</v>
      </c>
      <c r="F63" s="6">
        <v>24110</v>
      </c>
      <c r="G63" s="16">
        <f t="shared" ca="1" si="0"/>
        <v>55.534246575342465</v>
      </c>
      <c r="H63" s="2" t="s">
        <v>540</v>
      </c>
      <c r="I63" t="str" cm="1">
        <f t="array" ref="I63">ADAPTAR(B63)&amp;ADAPTAR(C63)&amp;"_"&amp;ADAPTAR(E63)&amp;F63</f>
        <v>andreseduardo_pabon24110</v>
      </c>
      <c r="J63" s="13">
        <v>1</v>
      </c>
      <c r="K63" t="str" cm="1">
        <f t="array" ref="K63">ADAPTAR(B63)&amp;"."&amp;ADAPTAR(D63)&amp;YEAR(F63)&amp;"@"&amp;VLOOKUP(J63,Dominios!$A$2:$B$30,2,FALSE)</f>
        <v>andres.leon1966@colamus.co</v>
      </c>
      <c r="L63" s="13">
        <v>1</v>
      </c>
      <c r="M63">
        <f>VLOOKUP(L63,Celulares!$A$2:$B$30,2,FALSE)</f>
        <v>3115114916</v>
      </c>
    </row>
    <row r="64" spans="1:13" ht="15.75" customHeight="1" x14ac:dyDescent="0.25">
      <c r="A64" t="s">
        <v>2041</v>
      </c>
      <c r="B64" s="2" t="s">
        <v>416</v>
      </c>
      <c r="C64" s="2" t="s">
        <v>333</v>
      </c>
      <c r="D64" s="2" t="s">
        <v>404</v>
      </c>
      <c r="E64" s="2" t="s">
        <v>468</v>
      </c>
      <c r="F64" s="6">
        <v>24453</v>
      </c>
      <c r="G64" s="16">
        <f t="shared" ca="1" si="0"/>
        <v>54.594520547945208</v>
      </c>
      <c r="H64" s="2" t="s">
        <v>555</v>
      </c>
      <c r="I64" t="str" cm="1">
        <f t="array" ref="I64">ADAPTAR(B64)&amp;ADAPTAR(C64)&amp;"_"&amp;ADAPTAR(E64)&amp;F64</f>
        <v>byronalejandro_reina24453</v>
      </c>
      <c r="J64" s="13">
        <v>2</v>
      </c>
      <c r="K64" t="str" cm="1">
        <f t="array" ref="K64">ADAPTAR(B64)&amp;"."&amp;ADAPTAR(D64)&amp;YEAR(F64)&amp;"@"&amp;VLOOKUP(J64,Dominios!$A$2:$B$30,2,FALSE)</f>
        <v>byron.zambrano1966@colombiamail.co</v>
      </c>
      <c r="L64" s="13">
        <v>2</v>
      </c>
      <c r="M64">
        <f>VLOOKUP(L64,Celulares!$A$2:$B$30,2,FALSE)</f>
        <v>3115114911</v>
      </c>
    </row>
    <row r="65" spans="1:13" ht="15.75" customHeight="1" x14ac:dyDescent="0.25">
      <c r="A65" t="s">
        <v>2042</v>
      </c>
      <c r="B65" s="2" t="s">
        <v>341</v>
      </c>
      <c r="C65" s="2" t="s">
        <v>446</v>
      </c>
      <c r="D65" s="2" t="s">
        <v>417</v>
      </c>
      <c r="E65" s="2" t="s">
        <v>89</v>
      </c>
      <c r="F65" s="6">
        <v>27602</v>
      </c>
      <c r="G65" s="16">
        <f t="shared" ca="1" si="0"/>
        <v>45.967123287671235</v>
      </c>
      <c r="H65" s="2" t="s">
        <v>580</v>
      </c>
      <c r="I65" t="str" cm="1">
        <f t="array" ref="I65">ADAPTAR(B65)&amp;ADAPTAR(C65)&amp;"_"&amp;ADAPTAR(E65)&amp;F65</f>
        <v>juanfelipe_gomez27602</v>
      </c>
      <c r="J65" s="13">
        <v>3</v>
      </c>
      <c r="K65" t="str" cm="1">
        <f t="array" ref="K65">ADAPTAR(B65)&amp;"."&amp;ADAPTAR(D65)&amp;YEAR(F65)&amp;"@"&amp;VLOOKUP(J65,Dominios!$A$2:$B$30,2,FALSE)</f>
        <v>juan.uruena1975@diabunter.co</v>
      </c>
      <c r="L65" s="13">
        <v>3</v>
      </c>
      <c r="M65">
        <f>VLOOKUP(L65,Celulares!$A$2:$B$30,2,FALSE)</f>
        <v>3115114910</v>
      </c>
    </row>
    <row r="66" spans="1:13" ht="15.75" customHeight="1" x14ac:dyDescent="0.25">
      <c r="A66" t="s">
        <v>2043</v>
      </c>
      <c r="B66" s="2" t="s">
        <v>418</v>
      </c>
      <c r="C66" s="2" t="s">
        <v>387</v>
      </c>
      <c r="D66" s="2" t="s">
        <v>419</v>
      </c>
      <c r="E66" s="2" t="s">
        <v>469</v>
      </c>
      <c r="F66" s="6">
        <v>34829</v>
      </c>
      <c r="G66" s="16">
        <f t="shared" ref="G66:G129" ca="1" si="1">(TODAY()-F66)/365</f>
        <v>26.167123287671235</v>
      </c>
      <c r="H66" s="2" t="s">
        <v>581</v>
      </c>
      <c r="I66" t="str" cm="1">
        <f t="array" ref="I66">ADAPTAR(B66)&amp;ADAPTAR(C66)&amp;"_"&amp;ADAPTAR(E66)&amp;F66</f>
        <v>germandavid_heredia34829</v>
      </c>
      <c r="J66" s="13">
        <v>4</v>
      </c>
      <c r="K66" t="str" cm="1">
        <f t="array" ref="K66">ADAPTAR(B66)&amp;"."&amp;ADAPTAR(D66)&amp;YEAR(F66)&amp;"@"&amp;VLOOKUP(J66,Dominios!$A$2:$B$30,2,FALSE)</f>
        <v>german.cuaran1995@ebrietas.co</v>
      </c>
      <c r="L66" s="13">
        <v>4</v>
      </c>
      <c r="M66">
        <f>VLOOKUP(L66,Celulares!$A$2:$B$30,2,FALSE)</f>
        <v>3115114909</v>
      </c>
    </row>
    <row r="67" spans="1:13" ht="15.75" customHeight="1" x14ac:dyDescent="0.25">
      <c r="A67" t="s">
        <v>2044</v>
      </c>
      <c r="B67" s="2" t="s">
        <v>413</v>
      </c>
      <c r="C67" s="2" t="s">
        <v>483</v>
      </c>
      <c r="D67" s="2" t="s">
        <v>420</v>
      </c>
      <c r="E67" s="2" t="s">
        <v>279</v>
      </c>
      <c r="F67" s="6">
        <v>26715</v>
      </c>
      <c r="G67" s="16">
        <f t="shared" ca="1" si="1"/>
        <v>48.397260273972606</v>
      </c>
      <c r="H67" s="2" t="s">
        <v>582</v>
      </c>
      <c r="I67" t="str" cm="1">
        <f t="array" ref="I67">ADAPTAR(B67)&amp;ADAPTAR(C67)&amp;"_"&amp;ADAPTAR(E67)&amp;F67</f>
        <v>eduardojose_nino26715</v>
      </c>
      <c r="J67" s="13">
        <v>5</v>
      </c>
      <c r="K67" t="str" cm="1">
        <f t="array" ref="K67">ADAPTAR(B67)&amp;"."&amp;ADAPTAR(D67)&amp;YEAR(F67)&amp;"@"&amp;VLOOKUP(J67,Dominios!$A$2:$B$30,2,FALSE)</f>
        <v>eduardo.vallejo1973@elsinsonte.co</v>
      </c>
      <c r="L67" s="13">
        <v>5</v>
      </c>
      <c r="M67">
        <f>VLOOKUP(L67,Celulares!$A$2:$B$30,2,FALSE)</f>
        <v>3115060130</v>
      </c>
    </row>
    <row r="68" spans="1:13" ht="15.75" customHeight="1" x14ac:dyDescent="0.25">
      <c r="A68" t="s">
        <v>2045</v>
      </c>
      <c r="B68" s="2" t="s">
        <v>421</v>
      </c>
      <c r="C68" s="2" t="s">
        <v>479</v>
      </c>
      <c r="D68" s="2" t="s">
        <v>422</v>
      </c>
      <c r="E68" s="2" t="s">
        <v>94</v>
      </c>
      <c r="F68" s="6">
        <v>21777</v>
      </c>
      <c r="G68" s="16">
        <f t="shared" ca="1" si="1"/>
        <v>61.926027397260277</v>
      </c>
      <c r="H68" s="2" t="s">
        <v>583</v>
      </c>
      <c r="I68" t="str" cm="1">
        <f t="array" ref="I68">ADAPTAR(B68)&amp;ADAPTAR(C68)&amp;"_"&amp;ADAPTAR(E68)&amp;F68</f>
        <v>nicolasguillermo_gonzalez21777</v>
      </c>
      <c r="J68" s="13">
        <v>6</v>
      </c>
      <c r="K68" t="str" cm="1">
        <f t="array" ref="K68">ADAPTAR(B68)&amp;"."&amp;ADAPTAR(D68)&amp;YEAR(F68)&amp;"@"&amp;VLOOKUP(J68,Dominios!$A$2:$B$30,2,FALSE)</f>
        <v>nicolas.santacruz1959@enigmaserver.co</v>
      </c>
      <c r="L68" s="13">
        <v>6</v>
      </c>
      <c r="M68">
        <f>VLOOKUP(L68,Celulares!$A$2:$B$30,2,FALSE)</f>
        <v>3115060125</v>
      </c>
    </row>
    <row r="69" spans="1:13" ht="15.75" customHeight="1" x14ac:dyDescent="0.25">
      <c r="A69" t="s">
        <v>2046</v>
      </c>
      <c r="B69" s="2" t="s">
        <v>397</v>
      </c>
      <c r="C69" s="2" t="s">
        <v>489</v>
      </c>
      <c r="D69" s="2" t="s">
        <v>103</v>
      </c>
      <c r="E69" s="2" t="s">
        <v>470</v>
      </c>
      <c r="F69" s="6">
        <v>26789</v>
      </c>
      <c r="G69" s="16">
        <f t="shared" ca="1" si="1"/>
        <v>48.194520547945203</v>
      </c>
      <c r="H69" s="2" t="s">
        <v>564</v>
      </c>
      <c r="I69" t="str" cm="1">
        <f t="array" ref="I69">ADAPTAR(B69)&amp;ADAPTAR(C69)&amp;"_"&amp;ADAPTAR(E69)&amp;F69</f>
        <v>josedario_ocampo26789</v>
      </c>
      <c r="J69" s="13">
        <v>7</v>
      </c>
      <c r="K69" t="str" cm="1">
        <f t="array" ref="K69">ADAPTAR(B69)&amp;"."&amp;ADAPTAR(D69)&amp;YEAR(F69)&amp;"@"&amp;VLOOKUP(J69,Dominios!$A$2:$B$30,2,FALSE)</f>
        <v>jose.oviedo1973@hocknas.co</v>
      </c>
      <c r="L69" s="13">
        <v>7</v>
      </c>
      <c r="M69">
        <f>VLOOKUP(L69,Celulares!$A$2:$B$30,2,FALSE)</f>
        <v>3115060110</v>
      </c>
    </row>
    <row r="70" spans="1:13" ht="15.75" customHeight="1" x14ac:dyDescent="0.25">
      <c r="A70" t="s">
        <v>2047</v>
      </c>
      <c r="B70" s="2" t="s">
        <v>342</v>
      </c>
      <c r="C70" s="2" t="s">
        <v>490</v>
      </c>
      <c r="D70" s="2" t="s">
        <v>423</v>
      </c>
      <c r="E70" s="2" t="s">
        <v>471</v>
      </c>
      <c r="F70" s="6">
        <v>28930</v>
      </c>
      <c r="G70" s="16">
        <f t="shared" ca="1" si="1"/>
        <v>42.328767123287669</v>
      </c>
      <c r="H70" s="2" t="s">
        <v>584</v>
      </c>
      <c r="I70" t="str" cm="1">
        <f t="array" ref="I70">ADAPTAR(B70)&amp;ADAPTAR(C70)&amp;"_"&amp;ADAPTAR(E70)&amp;F70</f>
        <v>carlosfabian_fernandez28930</v>
      </c>
      <c r="J70" s="13">
        <v>8</v>
      </c>
      <c r="K70" t="str" cm="1">
        <f t="array" ref="K70">ADAPTAR(B70)&amp;"."&amp;ADAPTAR(D70)&amp;YEAR(F70)&amp;"@"&amp;VLOOKUP(J70,Dominios!$A$2:$B$30,2,FALSE)</f>
        <v>carlos.jimenez1979@hostedoceri.co</v>
      </c>
      <c r="L70" s="13">
        <v>8</v>
      </c>
      <c r="M70">
        <f>VLOOKUP(L70,Celulares!$A$2:$B$30,2,FALSE)</f>
        <v>3115060091</v>
      </c>
    </row>
    <row r="71" spans="1:13" ht="15.75" customHeight="1" x14ac:dyDescent="0.25">
      <c r="A71" t="s">
        <v>2048</v>
      </c>
      <c r="B71" s="2" t="s">
        <v>364</v>
      </c>
      <c r="C71" s="2" t="s">
        <v>365</v>
      </c>
      <c r="D71" s="2" t="s">
        <v>169</v>
      </c>
      <c r="E71" s="2" t="s">
        <v>472</v>
      </c>
      <c r="F71" s="6">
        <v>35084</v>
      </c>
      <c r="G71" s="16">
        <f t="shared" ca="1" si="1"/>
        <v>25.468493150684932</v>
      </c>
      <c r="H71" s="2" t="s">
        <v>585</v>
      </c>
      <c r="I71" t="str" cm="1">
        <f t="array" ref="I71">ADAPTAR(B71)&amp;ADAPTAR(C71)&amp;"_"&amp;ADAPTAR(E71)&amp;F71</f>
        <v>angelesteban_espejo35084</v>
      </c>
      <c r="J71" s="13">
        <v>9</v>
      </c>
      <c r="K71" t="str" cm="1">
        <f t="array" ref="K71">ADAPTAR(B71)&amp;"."&amp;ADAPTAR(D71)&amp;YEAR(F71)&amp;"@"&amp;VLOOKUP(J71,Dominios!$A$2:$B$30,2,FALSE)</f>
        <v>angel.rodriguez1996@libertas.com.co</v>
      </c>
      <c r="L71" s="13">
        <v>9</v>
      </c>
      <c r="M71">
        <f>VLOOKUP(L71,Celulares!$A$2:$B$30,2,FALSE)</f>
        <v>3115060080</v>
      </c>
    </row>
    <row r="72" spans="1:13" ht="15.75" customHeight="1" x14ac:dyDescent="0.25">
      <c r="A72" t="s">
        <v>2049</v>
      </c>
      <c r="B72" s="2" t="s">
        <v>371</v>
      </c>
      <c r="C72" s="2" t="s">
        <v>391</v>
      </c>
      <c r="D72" s="2" t="s">
        <v>440</v>
      </c>
      <c r="E72" s="2" t="s">
        <v>441</v>
      </c>
      <c r="F72" s="6">
        <v>32149</v>
      </c>
      <c r="G72" s="16">
        <f t="shared" ca="1" si="1"/>
        <v>33.509589041095893</v>
      </c>
      <c r="H72" s="2" t="s">
        <v>586</v>
      </c>
      <c r="I72" t="str" cm="1">
        <f t="array" ref="I72">ADAPTAR(B72)&amp;ADAPTAR(C72)&amp;"_"&amp;ADAPTAR(E72)&amp;F72</f>
        <v>juliocesar_pinilla32149</v>
      </c>
      <c r="J72" s="13">
        <v>10</v>
      </c>
      <c r="K72" t="str" cm="1">
        <f t="array" ref="K72">ADAPTAR(B72)&amp;"."&amp;ADAPTAR(D72)&amp;YEAR(F72)&amp;"@"&amp;VLOOKUP(J72,Dominios!$A$2:$B$30,2,FALSE)</f>
        <v>julio.osma1988@nascitur.com.co</v>
      </c>
      <c r="L72" s="13">
        <v>10</v>
      </c>
      <c r="M72">
        <f>VLOOKUP(L72,Celulares!$A$2:$B$30,2,FALSE)</f>
        <v>3115114385</v>
      </c>
    </row>
    <row r="73" spans="1:13" ht="15.75" customHeight="1" x14ac:dyDescent="0.25">
      <c r="A73" t="s">
        <v>2050</v>
      </c>
      <c r="B73" s="2" t="s">
        <v>424</v>
      </c>
      <c r="C73" s="2" t="s">
        <v>491</v>
      </c>
      <c r="D73" s="2" t="s">
        <v>277</v>
      </c>
      <c r="E73" s="2" t="s">
        <v>473</v>
      </c>
      <c r="F73" s="6">
        <v>33835</v>
      </c>
      <c r="G73" s="16">
        <f t="shared" ca="1" si="1"/>
        <v>28.890410958904109</v>
      </c>
      <c r="H73" s="2" t="s">
        <v>563</v>
      </c>
      <c r="I73" t="str" cm="1">
        <f t="array" ref="I73">ADAPTAR(B73)&amp;ADAPTAR(C73)&amp;"_"&amp;ADAPTAR(E73)&amp;F73</f>
        <v>jesusstiven_urrea33835</v>
      </c>
      <c r="J73" s="13">
        <v>11</v>
      </c>
      <c r="K73" t="str" cm="1">
        <f t="array" ref="K73">ADAPTAR(B73)&amp;"."&amp;ADAPTAR(D73)&amp;YEAR(F73)&amp;"@"&amp;VLOOKUP(J73,Dominios!$A$2:$B$30,2,FALSE)</f>
        <v>jesus.molina1992@nemesis.ml</v>
      </c>
      <c r="L73" s="13">
        <v>11</v>
      </c>
      <c r="M73">
        <f>VLOOKUP(L73,Celulares!$A$2:$B$30,2,FALSE)</f>
        <v>3115114360</v>
      </c>
    </row>
    <row r="74" spans="1:13" ht="15.75" customHeight="1" x14ac:dyDescent="0.25">
      <c r="A74" t="s">
        <v>2051</v>
      </c>
      <c r="B74" s="2" t="s">
        <v>349</v>
      </c>
      <c r="C74" s="2" t="s">
        <v>382</v>
      </c>
      <c r="D74" s="2" t="s">
        <v>57</v>
      </c>
      <c r="E74" s="2" t="s">
        <v>474</v>
      </c>
      <c r="F74" s="6">
        <v>26322</v>
      </c>
      <c r="G74" s="16">
        <f t="shared" ca="1" si="1"/>
        <v>49.473972602739728</v>
      </c>
      <c r="H74" s="2" t="s">
        <v>587</v>
      </c>
      <c r="I74" t="str" cm="1">
        <f t="array" ref="I74">ADAPTAR(B74)&amp;ADAPTAR(C74)&amp;"_"&amp;ADAPTAR(E74)&amp;F74</f>
        <v>camiloandres_villa26322</v>
      </c>
      <c r="J74" s="13">
        <v>12</v>
      </c>
      <c r="K74" t="str" cm="1">
        <f t="array" ref="K74">ADAPTAR(B74)&amp;"."&amp;ADAPTAR(D74)&amp;YEAR(F74)&amp;"@"&amp;VLOOKUP(J74,Dominios!$A$2:$B$30,2,FALSE)</f>
        <v>camilo.castro1972@nunquam.com.co</v>
      </c>
      <c r="L74" s="13">
        <v>12</v>
      </c>
      <c r="M74">
        <f>VLOOKUP(L74,Celulares!$A$2:$B$30,2,FALSE)</f>
        <v>3115093653</v>
      </c>
    </row>
    <row r="75" spans="1:13" ht="15.75" customHeight="1" x14ac:dyDescent="0.25">
      <c r="A75" t="s">
        <v>2052</v>
      </c>
      <c r="B75" s="2" t="s">
        <v>425</v>
      </c>
      <c r="C75" s="2" t="s">
        <v>426</v>
      </c>
      <c r="D75" s="2" t="s">
        <v>427</v>
      </c>
      <c r="E75" s="2" t="s">
        <v>428</v>
      </c>
      <c r="F75" s="6">
        <v>29364</v>
      </c>
      <c r="G75" s="16">
        <f t="shared" ca="1" si="1"/>
        <v>41.139726027397259</v>
      </c>
      <c r="H75" s="2" t="s">
        <v>588</v>
      </c>
      <c r="I75" t="str" cm="1">
        <f t="array" ref="I75">ADAPTAR(B75)&amp;ADAPTAR(C75)&amp;"_"&amp;ADAPTAR(E75)&amp;F75</f>
        <v>cesaraugusto_molina29364</v>
      </c>
      <c r="J75" s="13">
        <v>13</v>
      </c>
      <c r="K75" t="str" cm="1">
        <f t="array" ref="K75">ADAPTAR(B75)&amp;"."&amp;ADAPTAR(D75)&amp;YEAR(F75)&amp;"@"&amp;VLOOKUP(J75,Dominios!$A$2:$B$30,2,FALSE)</f>
        <v>cesar.londono1980@sempiternam.co</v>
      </c>
      <c r="L75" s="13">
        <v>13</v>
      </c>
      <c r="M75">
        <f>VLOOKUP(L75,Celulares!$A$2:$B$30,2,FALSE)</f>
        <v>3115093598</v>
      </c>
    </row>
    <row r="76" spans="1:13" ht="15.75" customHeight="1" x14ac:dyDescent="0.25">
      <c r="A76" t="s">
        <v>2053</v>
      </c>
      <c r="B76" s="2" t="s">
        <v>429</v>
      </c>
      <c r="C76" s="2" t="s">
        <v>492</v>
      </c>
      <c r="D76" s="2" t="s">
        <v>430</v>
      </c>
      <c r="E76" s="2" t="s">
        <v>286</v>
      </c>
      <c r="F76" s="6">
        <v>32227</v>
      </c>
      <c r="G76" s="16">
        <f t="shared" ca="1" si="1"/>
        <v>33.295890410958904</v>
      </c>
      <c r="H76" s="2" t="s">
        <v>589</v>
      </c>
      <c r="I76" t="str" cm="1">
        <f t="array" ref="I76">ADAPTAR(B76)&amp;ADAPTAR(C76)&amp;"_"&amp;ADAPTAR(E76)&amp;F76</f>
        <v>gabrieljesus_correa32227</v>
      </c>
      <c r="J76" s="13">
        <v>14</v>
      </c>
      <c r="K76" t="str" cm="1">
        <f t="array" ref="K76">ADAPTAR(B76)&amp;"."&amp;ADAPTAR(D76)&amp;YEAR(F76)&amp;"@"&amp;VLOOKUP(J76,Dominios!$A$2:$B$30,2,FALSE)</f>
        <v>gabriel.fernandez1988@sk9.co</v>
      </c>
      <c r="L76" s="13">
        <v>14</v>
      </c>
      <c r="M76">
        <f>VLOOKUP(L76,Celulares!$A$2:$B$30,2,FALSE)</f>
        <v>3115093583</v>
      </c>
    </row>
    <row r="77" spans="1:13" ht="15.75" customHeight="1" x14ac:dyDescent="0.25">
      <c r="A77" t="s">
        <v>2054</v>
      </c>
      <c r="B77" s="2" t="s">
        <v>431</v>
      </c>
      <c r="C77" s="2" t="s">
        <v>432</v>
      </c>
      <c r="D77" s="2" t="s">
        <v>433</v>
      </c>
      <c r="E77" s="2" t="s">
        <v>110</v>
      </c>
      <c r="F77" s="6">
        <v>23791</v>
      </c>
      <c r="G77" s="16">
        <f t="shared" ca="1" si="1"/>
        <v>56.408219178082192</v>
      </c>
      <c r="H77" s="2" t="s">
        <v>590</v>
      </c>
      <c r="I77" t="str" cm="1">
        <f t="array" ref="I77">ADAPTAR(B77)&amp;ADAPTAR(C77)&amp;"_"&amp;ADAPTAR(E77)&amp;F77</f>
        <v>luisantonio_contreras23791</v>
      </c>
      <c r="J77" s="13">
        <v>15</v>
      </c>
      <c r="K77" t="str" cm="1">
        <f t="array" ref="K77">ADAPTAR(B77)&amp;"."&amp;ADAPTAR(D77)&amp;YEAR(F77)&amp;"@"&amp;VLOOKUP(J77,Dominios!$A$2:$B$30,2,FALSE)</f>
        <v>luis.arevalo1965@socialmediacolombia.com.co</v>
      </c>
      <c r="L77" s="13">
        <v>15</v>
      </c>
      <c r="M77">
        <f>VLOOKUP(L77,Celulares!$A$2:$B$30,2,FALSE)</f>
        <v>3115092386</v>
      </c>
    </row>
    <row r="78" spans="1:13" ht="15.75" customHeight="1" x14ac:dyDescent="0.25">
      <c r="A78" t="s">
        <v>2055</v>
      </c>
      <c r="B78" s="2" t="s">
        <v>397</v>
      </c>
      <c r="C78" s="2" t="s">
        <v>434</v>
      </c>
      <c r="D78" s="2" t="s">
        <v>435</v>
      </c>
      <c r="E78" s="2" t="s">
        <v>47</v>
      </c>
      <c r="F78" s="6">
        <v>26802</v>
      </c>
      <c r="G78" s="16">
        <f t="shared" ca="1" si="1"/>
        <v>48.158904109589038</v>
      </c>
      <c r="H78" s="2" t="s">
        <v>591</v>
      </c>
      <c r="I78" t="str" cm="1">
        <f t="array" ref="I78">ADAPTAR(B78)&amp;ADAPTAR(C78)&amp;"_"&amp;ADAPTAR(E78)&amp;F78</f>
        <v>joseorlando_gomez26802</v>
      </c>
      <c r="J78" s="13">
        <v>16</v>
      </c>
      <c r="K78" t="str" cm="1">
        <f t="array" ref="K78">ADAPTAR(B78)&amp;"."&amp;ADAPTAR(D78)&amp;YEAR(F78)&amp;"@"&amp;VLOOKUP(J78,Dominios!$A$2:$B$30,2,FALSE)</f>
        <v>jose.quecano1973@tecnicoensistemas.com.co</v>
      </c>
      <c r="L78" s="13">
        <v>16</v>
      </c>
      <c r="M78">
        <f>VLOOKUP(L78,Celulares!$A$2:$B$30,2,FALSE)</f>
        <v>3115092375</v>
      </c>
    </row>
    <row r="79" spans="1:13" ht="15.75" customHeight="1" x14ac:dyDescent="0.25">
      <c r="A79" t="s">
        <v>2056</v>
      </c>
      <c r="B79" s="2" t="s">
        <v>399</v>
      </c>
      <c r="C79" s="2" t="s">
        <v>483</v>
      </c>
      <c r="D79" s="2" t="s">
        <v>436</v>
      </c>
      <c r="E79" s="2" t="s">
        <v>54</v>
      </c>
      <c r="F79" s="6">
        <v>26880</v>
      </c>
      <c r="G79" s="16">
        <f t="shared" ca="1" si="1"/>
        <v>47.945205479452056</v>
      </c>
      <c r="H79" s="2" t="s">
        <v>568</v>
      </c>
      <c r="I79" t="str" cm="1">
        <f t="array" ref="I79">ADAPTAR(B79)&amp;ADAPTAR(C79)&amp;"_"&amp;ADAPTAR(E79)&amp;F79</f>
        <v>pedrojose_martinez26880</v>
      </c>
      <c r="J79" s="13">
        <v>17</v>
      </c>
      <c r="K79" t="str" cm="1">
        <f t="array" ref="K79">ADAPTAR(B79)&amp;"."&amp;ADAPTAR(D79)&amp;YEAR(F79)&amp;"@"&amp;VLOOKUP(J79,Dominios!$A$2:$B$30,2,FALSE)</f>
        <v>pedro.tarazona1973@totum.com.co</v>
      </c>
      <c r="L79" s="13">
        <v>17</v>
      </c>
      <c r="M79">
        <f>VLOOKUP(L79,Celulares!$A$2:$B$30,2,FALSE)</f>
        <v>3115092369</v>
      </c>
    </row>
    <row r="80" spans="1:13" ht="15.75" customHeight="1" x14ac:dyDescent="0.25">
      <c r="A80" t="s">
        <v>2057</v>
      </c>
      <c r="B80" s="2" t="s">
        <v>341</v>
      </c>
      <c r="C80" s="2" t="s">
        <v>339</v>
      </c>
      <c r="D80" s="2" t="s">
        <v>437</v>
      </c>
      <c r="E80" s="2" t="s">
        <v>255</v>
      </c>
      <c r="F80" s="6">
        <v>36628</v>
      </c>
      <c r="G80" s="16">
        <f t="shared" ca="1" si="1"/>
        <v>21.238356164383561</v>
      </c>
      <c r="H80" s="2" t="s">
        <v>560</v>
      </c>
      <c r="I80" t="str" cm="1">
        <f t="array" ref="I80">ADAPTAR(B80)&amp;ADAPTAR(C80)&amp;"_"&amp;ADAPTAR(E80)&amp;F80</f>
        <v>juanfernando_mosquera36628</v>
      </c>
      <c r="J80" s="13">
        <v>18</v>
      </c>
      <c r="K80" t="str" cm="1">
        <f t="array" ref="K80">ADAPTAR(B80)&amp;"."&amp;ADAPTAR(D80)&amp;YEAR(F80)&amp;"@"&amp;VLOOKUP(J80,Dominios!$A$2:$B$30,2,FALSE)</f>
        <v>juan.gamboa2000@voipcolombia.co</v>
      </c>
      <c r="L80" s="13">
        <v>18</v>
      </c>
      <c r="M80">
        <f>VLOOKUP(L80,Celulares!$A$2:$B$30,2,FALSE)</f>
        <v>3115092360</v>
      </c>
    </row>
    <row r="81" spans="1:13" ht="15.75" customHeight="1" x14ac:dyDescent="0.25">
      <c r="A81" t="s">
        <v>2058</v>
      </c>
      <c r="B81" s="2" t="s">
        <v>353</v>
      </c>
      <c r="C81" s="2" t="s">
        <v>448</v>
      </c>
      <c r="D81" s="2" t="s">
        <v>438</v>
      </c>
      <c r="E81" s="2" t="s">
        <v>475</v>
      </c>
      <c r="F81" s="6">
        <v>26322</v>
      </c>
      <c r="G81" s="16">
        <f t="shared" ca="1" si="1"/>
        <v>49.473972602739728</v>
      </c>
      <c r="H81" s="2" t="s">
        <v>592</v>
      </c>
      <c r="I81" t="str" cm="1">
        <f t="array" ref="I81">ADAPTAR(B81)&amp;ADAPTAR(C81)&amp;"_"&amp;ADAPTAR(E81)&amp;F81</f>
        <v>santiagoivan_caicedo26322</v>
      </c>
      <c r="J81" s="13">
        <v>19</v>
      </c>
      <c r="K81" t="str" cm="1">
        <f t="array" ref="K81">ADAPTAR(B81)&amp;"."&amp;ADAPTAR(D81)&amp;YEAR(F81)&amp;"@"&amp;VLOOKUP(J81,Dominios!$A$2:$B$30,2,FALSE)</f>
        <v>santiago.aguirre1972@vpncolombia.com.co</v>
      </c>
      <c r="L81" s="13">
        <v>19</v>
      </c>
      <c r="M81">
        <f>VLOOKUP(L81,Celulares!$A$2:$B$30,2,FALSE)</f>
        <v>3115092352</v>
      </c>
    </row>
    <row r="82" spans="1:13" ht="15.75" customHeight="1" x14ac:dyDescent="0.25">
      <c r="A82" t="s">
        <v>2059</v>
      </c>
      <c r="B82" s="2" t="s">
        <v>439</v>
      </c>
      <c r="C82" s="2" t="s">
        <v>330</v>
      </c>
      <c r="D82" s="2" t="s">
        <v>68</v>
      </c>
      <c r="E82" s="2" t="s">
        <v>476</v>
      </c>
      <c r="F82" s="6">
        <v>25556</v>
      </c>
      <c r="G82" s="16">
        <f t="shared" ca="1" si="1"/>
        <v>51.57260273972603</v>
      </c>
      <c r="H82" s="2" t="s">
        <v>593</v>
      </c>
      <c r="I82" t="str" cm="1">
        <f t="array" ref="I82">ADAPTAR(B82)&amp;ADAPTAR(C82)&amp;"_"&amp;ADAPTAR(E82)&amp;F82</f>
        <v>leonardoandres_prieto25556</v>
      </c>
      <c r="J82" s="13">
        <v>0</v>
      </c>
      <c r="K82" t="str" cm="1">
        <f t="array" ref="K82">ADAPTAR(B82)&amp;"."&amp;ADAPTAR(D82)&amp;YEAR(F82)&amp;"@"&amp;VLOOKUP(J82,Dominios!$A$2:$B$30,2,FALSE)</f>
        <v>leonardo.sierra1969@auribus.com.co</v>
      </c>
      <c r="L82" s="13">
        <v>0</v>
      </c>
      <c r="M82">
        <f>VLOOKUP(L82,Celulares!$A$2:$B$30,2,FALSE)</f>
        <v>3115114930</v>
      </c>
    </row>
    <row r="83" spans="1:13" ht="15.75" customHeight="1" x14ac:dyDescent="0.25">
      <c r="A83" t="s">
        <v>2060</v>
      </c>
      <c r="B83" s="2" t="s">
        <v>425</v>
      </c>
      <c r="C83" s="2" t="s">
        <v>426</v>
      </c>
      <c r="D83" s="2" t="s">
        <v>427</v>
      </c>
      <c r="E83" s="2" t="s">
        <v>428</v>
      </c>
      <c r="F83" s="6">
        <v>36198</v>
      </c>
      <c r="G83" s="16">
        <f t="shared" ca="1" si="1"/>
        <v>22.416438356164385</v>
      </c>
      <c r="H83" s="2" t="s">
        <v>566</v>
      </c>
      <c r="I83" t="str" cm="1">
        <f t="array" ref="I83">ADAPTAR(B83)&amp;ADAPTAR(C83)&amp;"_"&amp;ADAPTAR(E83)&amp;F83</f>
        <v>cesaraugusto_molina36198</v>
      </c>
      <c r="J83" s="13">
        <v>1</v>
      </c>
      <c r="K83" t="str" cm="1">
        <f t="array" ref="K83">ADAPTAR(B83)&amp;"."&amp;ADAPTAR(D83)&amp;YEAR(F83)&amp;"@"&amp;VLOOKUP(J83,Dominios!$A$2:$B$30,2,FALSE)</f>
        <v>cesar.londono1999@colamus.co</v>
      </c>
      <c r="L83" s="13">
        <v>1</v>
      </c>
      <c r="M83">
        <f>VLOOKUP(L83,Celulares!$A$2:$B$30,2,FALSE)</f>
        <v>3115114916</v>
      </c>
    </row>
    <row r="84" spans="1:13" ht="15.75" customHeight="1" x14ac:dyDescent="0.25">
      <c r="A84" t="s">
        <v>2061</v>
      </c>
      <c r="B84" s="2" t="s">
        <v>429</v>
      </c>
      <c r="C84" s="2" t="s">
        <v>493</v>
      </c>
      <c r="D84" s="2" t="s">
        <v>430</v>
      </c>
      <c r="E84" s="2" t="s">
        <v>477</v>
      </c>
      <c r="F84" s="6">
        <v>36170</v>
      </c>
      <c r="G84" s="16">
        <f t="shared" ca="1" si="1"/>
        <v>22.493150684931507</v>
      </c>
      <c r="H84" s="2" t="s">
        <v>569</v>
      </c>
      <c r="I84" t="str" cm="1">
        <f t="array" ref="I84">ADAPTAR(B84)&amp;ADAPTAR(C84)&amp;"_"&amp;ADAPTAR(E84)&amp;F84</f>
        <v>gabrielroberto_bedoya36170</v>
      </c>
      <c r="J84" s="13">
        <v>2</v>
      </c>
      <c r="K84" t="str" cm="1">
        <f t="array" ref="K84">ADAPTAR(B84)&amp;"."&amp;ADAPTAR(D84)&amp;YEAR(F84)&amp;"@"&amp;VLOOKUP(J84,Dominios!$A$2:$B$30,2,FALSE)</f>
        <v>gabriel.fernandez1999@colombiamail.co</v>
      </c>
      <c r="L84" s="13">
        <v>2</v>
      </c>
      <c r="M84">
        <f>VLOOKUP(L84,Celulares!$A$2:$B$30,2,FALSE)</f>
        <v>3115114911</v>
      </c>
    </row>
    <row r="85" spans="1:13" ht="15.75" customHeight="1" x14ac:dyDescent="0.25">
      <c r="A85" t="s">
        <v>2062</v>
      </c>
      <c r="B85" s="2" t="s">
        <v>431</v>
      </c>
      <c r="C85" s="2" t="s">
        <v>432</v>
      </c>
      <c r="D85" s="2" t="s">
        <v>433</v>
      </c>
      <c r="E85" s="2" t="s">
        <v>107</v>
      </c>
      <c r="F85" s="6">
        <v>24611</v>
      </c>
      <c r="G85" s="16">
        <f t="shared" ca="1" si="1"/>
        <v>54.161643835616438</v>
      </c>
      <c r="H85" s="2" t="s">
        <v>594</v>
      </c>
      <c r="I85" t="str" cm="1">
        <f t="array" ref="I85">ADAPTAR(B85)&amp;ADAPTAR(C85)&amp;"_"&amp;ADAPTAR(E85)&amp;F85</f>
        <v>luisantonio_perez24611</v>
      </c>
      <c r="J85" s="13">
        <v>3</v>
      </c>
      <c r="K85" t="str" cm="1">
        <f t="array" ref="K85">ADAPTAR(B85)&amp;"."&amp;ADAPTAR(D85)&amp;YEAR(F85)&amp;"@"&amp;VLOOKUP(J85,Dominios!$A$2:$B$30,2,FALSE)</f>
        <v>luis.arevalo1967@diabunter.co</v>
      </c>
      <c r="L85" s="13">
        <v>3</v>
      </c>
      <c r="M85">
        <f>VLOOKUP(L85,Celulares!$A$2:$B$30,2,FALSE)</f>
        <v>3115114910</v>
      </c>
    </row>
    <row r="86" spans="1:13" ht="15.75" customHeight="1" x14ac:dyDescent="0.25">
      <c r="A86" t="s">
        <v>2063</v>
      </c>
      <c r="B86" s="2" t="s">
        <v>397</v>
      </c>
      <c r="C86" s="2" t="s">
        <v>434</v>
      </c>
      <c r="D86" s="2" t="s">
        <v>435</v>
      </c>
      <c r="E86" s="2" t="s">
        <v>47</v>
      </c>
      <c r="F86" s="6">
        <v>29806</v>
      </c>
      <c r="G86" s="16">
        <f t="shared" ca="1" si="1"/>
        <v>39.92876712328767</v>
      </c>
      <c r="H86" s="2" t="s">
        <v>565</v>
      </c>
      <c r="I86" t="str" cm="1">
        <f t="array" ref="I86">ADAPTAR(B86)&amp;ADAPTAR(C86)&amp;"_"&amp;ADAPTAR(E86)&amp;F86</f>
        <v>joseorlando_gomez29806</v>
      </c>
      <c r="J86" s="13">
        <v>4</v>
      </c>
      <c r="K86" t="str" cm="1">
        <f t="array" ref="K86">ADAPTAR(B86)&amp;"."&amp;ADAPTAR(D86)&amp;YEAR(F86)&amp;"@"&amp;VLOOKUP(J86,Dominios!$A$2:$B$30,2,FALSE)</f>
        <v>jose.quecano1981@ebrietas.co</v>
      </c>
      <c r="L86" s="13">
        <v>4</v>
      </c>
      <c r="M86">
        <f>VLOOKUP(L86,Celulares!$A$2:$B$30,2,FALSE)</f>
        <v>3115114909</v>
      </c>
    </row>
    <row r="87" spans="1:13" ht="15.75" customHeight="1" x14ac:dyDescent="0.25">
      <c r="A87" t="s">
        <v>2064</v>
      </c>
      <c r="B87" s="2" t="s">
        <v>399</v>
      </c>
      <c r="C87" s="2" t="s">
        <v>494</v>
      </c>
      <c r="D87" s="2" t="s">
        <v>436</v>
      </c>
      <c r="E87" s="2" t="s">
        <v>363</v>
      </c>
      <c r="F87" s="6">
        <v>30741</v>
      </c>
      <c r="G87" s="16">
        <f t="shared" ca="1" si="1"/>
        <v>37.367123287671234</v>
      </c>
      <c r="H87" s="2" t="s">
        <v>595</v>
      </c>
      <c r="I87" t="str" cm="1">
        <f t="array" ref="I87">ADAPTAR(B87)&amp;ADAPTAR(C87)&amp;"_"&amp;ADAPTAR(E87)&amp;F87</f>
        <v>pedroemilio_patino30741</v>
      </c>
      <c r="J87" s="13">
        <v>5</v>
      </c>
      <c r="K87" t="str" cm="1">
        <f t="array" ref="K87">ADAPTAR(B87)&amp;"."&amp;ADAPTAR(D87)&amp;YEAR(F87)&amp;"@"&amp;VLOOKUP(J87,Dominios!$A$2:$B$30,2,FALSE)</f>
        <v>pedro.tarazona1984@elsinsonte.co</v>
      </c>
      <c r="L87" s="13">
        <v>5</v>
      </c>
      <c r="M87">
        <f>VLOOKUP(L87,Celulares!$A$2:$B$30,2,FALSE)</f>
        <v>3115060130</v>
      </c>
    </row>
    <row r="88" spans="1:13" ht="15.75" customHeight="1" x14ac:dyDescent="0.25">
      <c r="A88" t="s">
        <v>2065</v>
      </c>
      <c r="B88" s="2" t="s">
        <v>341</v>
      </c>
      <c r="C88" s="2" t="s">
        <v>339</v>
      </c>
      <c r="D88" s="2" t="s">
        <v>437</v>
      </c>
      <c r="E88" s="2" t="s">
        <v>478</v>
      </c>
      <c r="F88" s="6">
        <v>26298</v>
      </c>
      <c r="G88" s="16">
        <f t="shared" ca="1" si="1"/>
        <v>49.539726027397258</v>
      </c>
      <c r="H88" s="2" t="s">
        <v>596</v>
      </c>
      <c r="I88" t="str" cm="1">
        <f t="array" ref="I88">ADAPTAR(B88)&amp;ADAPTAR(C88)&amp;"_"&amp;ADAPTAR(E88)&amp;F88</f>
        <v>juanfernando_yepes26298</v>
      </c>
      <c r="J88" s="13">
        <v>6</v>
      </c>
      <c r="K88" t="str" cm="1">
        <f t="array" ref="K88">ADAPTAR(B88)&amp;"."&amp;ADAPTAR(D88)&amp;YEAR(F88)&amp;"@"&amp;VLOOKUP(J88,Dominios!$A$2:$B$30,2,FALSE)</f>
        <v>juan.gamboa1971@enigmaserver.co</v>
      </c>
      <c r="L88" s="13">
        <v>6</v>
      </c>
      <c r="M88">
        <f>VLOOKUP(L88,Celulares!$A$2:$B$30,2,FALSE)</f>
        <v>3115060125</v>
      </c>
    </row>
    <row r="89" spans="1:13" ht="15.75" customHeight="1" x14ac:dyDescent="0.25">
      <c r="A89" t="s">
        <v>2066</v>
      </c>
      <c r="B89" s="2" t="s">
        <v>342</v>
      </c>
      <c r="C89" s="2" t="s">
        <v>330</v>
      </c>
      <c r="D89" s="2" t="s">
        <v>127</v>
      </c>
      <c r="E89" s="2" t="s">
        <v>526</v>
      </c>
      <c r="F89" s="6">
        <v>36441</v>
      </c>
      <c r="G89" s="16">
        <f t="shared" ca="1" si="1"/>
        <v>21.75068493150685</v>
      </c>
      <c r="H89" s="2" t="s">
        <v>597</v>
      </c>
      <c r="I89" t="str" cm="1">
        <f t="array" ref="I89">ADAPTAR(B89)&amp;ADAPTAR(C89)&amp;"_"&amp;ADAPTAR(E89)&amp;F89</f>
        <v>carlosandres_pena36441</v>
      </c>
      <c r="J89" s="13">
        <v>7</v>
      </c>
      <c r="K89" t="str" cm="1">
        <f t="array" ref="K89">ADAPTAR(B89)&amp;"."&amp;ADAPTAR(D89)&amp;YEAR(F89)&amp;"@"&amp;VLOOKUP(J89,Dominios!$A$2:$B$30,2,FALSE)</f>
        <v>carlos.torres1999@hocknas.co</v>
      </c>
      <c r="L89" s="13">
        <v>7</v>
      </c>
      <c r="M89">
        <f>VLOOKUP(L89,Celulares!$A$2:$B$30,2,FALSE)</f>
        <v>3115060110</v>
      </c>
    </row>
    <row r="90" spans="1:13" ht="15.75" customHeight="1" x14ac:dyDescent="0.25">
      <c r="A90" t="s">
        <v>2067</v>
      </c>
      <c r="B90" s="2" t="s">
        <v>341</v>
      </c>
      <c r="C90" s="2" t="s">
        <v>450</v>
      </c>
      <c r="D90" s="2" t="s">
        <v>497</v>
      </c>
      <c r="E90" s="2" t="s">
        <v>527</v>
      </c>
      <c r="F90" s="6">
        <v>35926</v>
      </c>
      <c r="G90" s="16">
        <f t="shared" ca="1" si="1"/>
        <v>23.161643835616438</v>
      </c>
      <c r="H90" s="2" t="s">
        <v>533</v>
      </c>
      <c r="I90" t="str" cm="1">
        <f t="array" ref="I90">ADAPTAR(B90)&amp;ADAPTAR(C90)&amp;"_"&amp;ADAPTAR(E90)&amp;F90</f>
        <v>juanenrique_loaiza35926</v>
      </c>
      <c r="J90" s="13">
        <v>8</v>
      </c>
      <c r="K90" t="str" cm="1">
        <f t="array" ref="K90">ADAPTAR(B90)&amp;"."&amp;ADAPTAR(D90)&amp;YEAR(F90)&amp;"@"&amp;VLOOKUP(J90,Dominios!$A$2:$B$30,2,FALSE)</f>
        <v>juan.campo1998@hostedoceri.co</v>
      </c>
      <c r="L90" s="13">
        <v>8</v>
      </c>
      <c r="M90">
        <f>VLOOKUP(L90,Celulares!$A$2:$B$30,2,FALSE)</f>
        <v>3115060091</v>
      </c>
    </row>
    <row r="91" spans="1:13" ht="15.75" customHeight="1" x14ac:dyDescent="0.25">
      <c r="A91" t="s">
        <v>2068</v>
      </c>
      <c r="B91" s="2" t="s">
        <v>486</v>
      </c>
      <c r="C91" s="2" t="s">
        <v>498</v>
      </c>
      <c r="D91" s="2" t="s">
        <v>110</v>
      </c>
      <c r="E91" s="2" t="s">
        <v>499</v>
      </c>
      <c r="F91" s="6">
        <v>28641</v>
      </c>
      <c r="G91" s="16">
        <f t="shared" ca="1" si="1"/>
        <v>43.12054794520548</v>
      </c>
      <c r="H91" s="2" t="s">
        <v>598</v>
      </c>
      <c r="I91" t="str" cm="1">
        <f t="array" ref="I91">ADAPTAR(B91)&amp;ADAPTAR(C91)&amp;"_"&amp;ADAPTAR(E91)&amp;F91</f>
        <v>ricardoalfonso_gaona28641</v>
      </c>
      <c r="J91" s="13">
        <v>9</v>
      </c>
      <c r="K91" t="str" cm="1">
        <f t="array" ref="K91">ADAPTAR(B91)&amp;"."&amp;ADAPTAR(D91)&amp;YEAR(F91)&amp;"@"&amp;VLOOKUP(J91,Dominios!$A$2:$B$30,2,FALSE)</f>
        <v>ricardo.contreras1978@libertas.com.co</v>
      </c>
      <c r="L91" s="13">
        <v>9</v>
      </c>
      <c r="M91">
        <f>VLOOKUP(L91,Celulares!$A$2:$B$30,2,FALSE)</f>
        <v>3115060080</v>
      </c>
    </row>
    <row r="92" spans="1:13" ht="15.75" customHeight="1" x14ac:dyDescent="0.25">
      <c r="A92" t="s">
        <v>2069</v>
      </c>
      <c r="B92" s="2" t="s">
        <v>341</v>
      </c>
      <c r="C92" s="2" t="s">
        <v>369</v>
      </c>
      <c r="D92" s="2" t="s">
        <v>253</v>
      </c>
      <c r="E92" s="2" t="s">
        <v>500</v>
      </c>
      <c r="F92" s="6">
        <v>26052</v>
      </c>
      <c r="G92" s="16">
        <f t="shared" ca="1" si="1"/>
        <v>50.213698630136989</v>
      </c>
      <c r="H92" s="2" t="s">
        <v>580</v>
      </c>
      <c r="I92" t="str" cm="1">
        <f t="array" ref="I92">ADAPTAR(B92)&amp;ADAPTAR(C92)&amp;"_"&amp;ADAPTAR(E92)&amp;F92</f>
        <v>juanpablo_gutierrez26052</v>
      </c>
      <c r="J92" s="13">
        <v>10</v>
      </c>
      <c r="K92" t="str" cm="1">
        <f t="array" ref="K92">ADAPTAR(B92)&amp;"."&amp;ADAPTAR(D92)&amp;YEAR(F92)&amp;"@"&amp;VLOOKUP(J92,Dominios!$A$2:$B$30,2,FALSE)</f>
        <v>juan.cordoba1971@nascitur.com.co</v>
      </c>
      <c r="L92" s="13">
        <v>10</v>
      </c>
      <c r="M92">
        <f>VLOOKUP(L92,Celulares!$A$2:$B$30,2,FALSE)</f>
        <v>3115114385</v>
      </c>
    </row>
    <row r="93" spans="1:13" ht="15.75" customHeight="1" x14ac:dyDescent="0.25">
      <c r="A93" t="s">
        <v>2070</v>
      </c>
      <c r="B93" s="2" t="s">
        <v>394</v>
      </c>
      <c r="C93" s="2" t="s">
        <v>333</v>
      </c>
      <c r="D93" s="2" t="s">
        <v>501</v>
      </c>
      <c r="E93" s="2" t="s">
        <v>468</v>
      </c>
      <c r="F93" s="6">
        <v>36475</v>
      </c>
      <c r="G93" s="16">
        <f t="shared" ca="1" si="1"/>
        <v>21.657534246575342</v>
      </c>
      <c r="H93" s="2" t="s">
        <v>532</v>
      </c>
      <c r="I93" t="str" cm="1">
        <f t="array" ref="I93">ADAPTAR(B93)&amp;ADAPTAR(C93)&amp;"_"&amp;ADAPTAR(E93)&amp;F93</f>
        <v>diegoalejandro_reina36475</v>
      </c>
      <c r="J93" s="13">
        <v>11</v>
      </c>
      <c r="K93" t="str" cm="1">
        <f t="array" ref="K93">ADAPTAR(B93)&amp;"."&amp;ADAPTAR(D93)&amp;YEAR(F93)&amp;"@"&amp;VLOOKUP(J93,Dominios!$A$2:$B$30,2,FALSE)</f>
        <v>diego.varon1999@nemesis.ml</v>
      </c>
      <c r="L93" s="13">
        <v>11</v>
      </c>
      <c r="M93">
        <f>VLOOKUP(L93,Celulares!$A$2:$B$30,2,FALSE)</f>
        <v>3115114360</v>
      </c>
    </row>
    <row r="94" spans="1:13" ht="15.75" customHeight="1" x14ac:dyDescent="0.25">
      <c r="A94" t="s">
        <v>2071</v>
      </c>
      <c r="B94" s="2" t="s">
        <v>176</v>
      </c>
      <c r="C94" s="2" t="s">
        <v>73</v>
      </c>
      <c r="D94" s="2" t="s">
        <v>502</v>
      </c>
      <c r="E94" s="2" t="s">
        <v>463</v>
      </c>
      <c r="F94" s="6">
        <v>32511</v>
      </c>
      <c r="G94" s="16">
        <f t="shared" ca="1" si="1"/>
        <v>32.517808219178079</v>
      </c>
      <c r="H94" s="2" t="s">
        <v>599</v>
      </c>
      <c r="I94" t="str" cm="1">
        <f t="array" ref="I94">ADAPTAR(B94)&amp;ADAPTAR(C94)&amp;"_"&amp;ADAPTAR(E94)&amp;F94</f>
        <v>monicadelgado_reinoso32511</v>
      </c>
      <c r="J94" s="13">
        <v>12</v>
      </c>
      <c r="K94" t="str" cm="1">
        <f t="array" ref="K94">ADAPTAR(B94)&amp;"."&amp;ADAPTAR(D94)&amp;YEAR(F94)&amp;"@"&amp;VLOOKUP(J94,Dominios!$A$2:$B$30,2,FALSE)</f>
        <v>monica.quevedo1989@nunquam.com.co</v>
      </c>
      <c r="L94" s="13">
        <v>12</v>
      </c>
      <c r="M94">
        <f>VLOOKUP(L94,Celulares!$A$2:$B$30,2,FALSE)</f>
        <v>3115093653</v>
      </c>
    </row>
    <row r="95" spans="1:13" ht="15.75" customHeight="1" x14ac:dyDescent="0.25">
      <c r="A95" t="s">
        <v>2072</v>
      </c>
      <c r="B95" s="2" t="s">
        <v>353</v>
      </c>
      <c r="C95" s="2" t="s">
        <v>387</v>
      </c>
      <c r="D95" s="2" t="s">
        <v>528</v>
      </c>
      <c r="E95" s="2" t="s">
        <v>516</v>
      </c>
      <c r="F95" s="6">
        <v>27003</v>
      </c>
      <c r="G95" s="16">
        <f t="shared" ca="1" si="1"/>
        <v>47.608219178082194</v>
      </c>
      <c r="H95" s="2" t="s">
        <v>564</v>
      </c>
      <c r="I95" t="str" cm="1">
        <f t="array" ref="I95">ADAPTAR(B95)&amp;ADAPTAR(C95)&amp;"_"&amp;ADAPTAR(E95)&amp;F95</f>
        <v>santiagodavid_cardona27003</v>
      </c>
      <c r="J95" s="13">
        <v>13</v>
      </c>
      <c r="K95" t="str" cm="1">
        <f t="array" ref="K95">ADAPTAR(B95)&amp;"."&amp;ADAPTAR(D95)&amp;YEAR(F95)&amp;"@"&amp;VLOOKUP(J95,Dominios!$A$2:$B$30,2,FALSE)</f>
        <v>santiago.bastidas1973@sempiternam.co</v>
      </c>
      <c r="L95" s="13">
        <v>13</v>
      </c>
      <c r="M95">
        <f>VLOOKUP(L95,Celulares!$A$2:$B$30,2,FALSE)</f>
        <v>3115093598</v>
      </c>
    </row>
    <row r="96" spans="1:13" ht="15.75" customHeight="1" x14ac:dyDescent="0.25">
      <c r="A96" t="s">
        <v>2073</v>
      </c>
      <c r="B96" s="2" t="s">
        <v>442</v>
      </c>
      <c r="C96" s="2" t="s">
        <v>488</v>
      </c>
      <c r="D96" s="2" t="s">
        <v>164</v>
      </c>
      <c r="E96" s="2" t="s">
        <v>164</v>
      </c>
      <c r="F96" s="6">
        <v>37358</v>
      </c>
      <c r="G96" s="16">
        <f t="shared" ca="1" si="1"/>
        <v>19.238356164383561</v>
      </c>
      <c r="H96" s="2" t="s">
        <v>574</v>
      </c>
      <c r="I96" t="str" cm="1">
        <f t="array" ref="I96">ADAPTAR(B96)&amp;ADAPTAR(C96)&amp;"_"&amp;ADAPTAR(E96)&amp;F96</f>
        <v>carlosjulian_ramos37358</v>
      </c>
      <c r="J96" s="13">
        <v>14</v>
      </c>
      <c r="K96" t="str" cm="1">
        <f t="array" ref="K96">ADAPTAR(B96)&amp;"."&amp;ADAPTAR(D96)&amp;YEAR(F96)&amp;"@"&amp;VLOOKUP(J96,Dominios!$A$2:$B$30,2,FALSE)</f>
        <v>carlos.ramos2002@sk9.co</v>
      </c>
      <c r="L96" s="13">
        <v>14</v>
      </c>
      <c r="M96">
        <f>VLOOKUP(L96,Celulares!$A$2:$B$30,2,FALSE)</f>
        <v>3115093583</v>
      </c>
    </row>
    <row r="97" spans="1:13" ht="15.75" customHeight="1" x14ac:dyDescent="0.25">
      <c r="A97" t="s">
        <v>2074</v>
      </c>
      <c r="B97" s="2" t="s">
        <v>503</v>
      </c>
      <c r="C97" s="2" t="s">
        <v>60</v>
      </c>
      <c r="D97" s="2" t="s">
        <v>504</v>
      </c>
      <c r="E97" s="2" t="s">
        <v>264</v>
      </c>
      <c r="F97" s="6">
        <v>36349</v>
      </c>
      <c r="G97" s="16">
        <f t="shared" ca="1" si="1"/>
        <v>22.002739726027396</v>
      </c>
      <c r="H97" s="2" t="s">
        <v>594</v>
      </c>
      <c r="I97" t="str" cm="1">
        <f t="array" ref="I97">ADAPTAR(B97)&amp;ADAPTAR(C97)&amp;"_"&amp;ADAPTAR(E97)&amp;F97</f>
        <v>ernestoorozco_jimenez36349</v>
      </c>
      <c r="J97" s="13">
        <v>15</v>
      </c>
      <c r="K97" t="str" cm="1">
        <f t="array" ref="K97">ADAPTAR(B97)&amp;"."&amp;ADAPTAR(D97)&amp;YEAR(F97)&amp;"@"&amp;VLOOKUP(J97,Dominios!$A$2:$B$30,2,FALSE)</f>
        <v>ernesto.duran1999@socialmediacolombia.com.co</v>
      </c>
      <c r="L97" s="13">
        <v>15</v>
      </c>
      <c r="M97">
        <f>VLOOKUP(L97,Celulares!$A$2:$B$30,2,FALSE)</f>
        <v>3115092386</v>
      </c>
    </row>
    <row r="98" spans="1:13" ht="15.75" customHeight="1" x14ac:dyDescent="0.25">
      <c r="A98" t="s">
        <v>2075</v>
      </c>
      <c r="B98" s="2" t="s">
        <v>409</v>
      </c>
      <c r="C98" s="2" t="s">
        <v>505</v>
      </c>
      <c r="D98" s="2" t="s">
        <v>273</v>
      </c>
      <c r="E98" s="2" t="s">
        <v>237</v>
      </c>
      <c r="F98" s="6">
        <v>25312</v>
      </c>
      <c r="G98" s="16">
        <f t="shared" ca="1" si="1"/>
        <v>52.241095890410961</v>
      </c>
      <c r="H98" s="2" t="s">
        <v>573</v>
      </c>
      <c r="I98" t="str" cm="1">
        <f t="array" ref="I98">ADAPTAR(B98)&amp;ADAPTAR(C98)&amp;"_"&amp;ADAPTAR(E98)&amp;F98</f>
        <v>jhonedwin_arias25312</v>
      </c>
      <c r="J98" s="13">
        <v>16</v>
      </c>
      <c r="K98" t="str" cm="1">
        <f t="array" ref="K98">ADAPTAR(B98)&amp;"."&amp;ADAPTAR(D98)&amp;YEAR(F98)&amp;"@"&amp;VLOOKUP(J98,Dominios!$A$2:$B$30,2,FALSE)</f>
        <v>jhon.hernandez1969@tecnicoensistemas.com.co</v>
      </c>
      <c r="L98" s="13">
        <v>16</v>
      </c>
      <c r="M98">
        <f>VLOOKUP(L98,Celulares!$A$2:$B$30,2,FALSE)</f>
        <v>3115092375</v>
      </c>
    </row>
    <row r="99" spans="1:13" ht="15.75" customHeight="1" x14ac:dyDescent="0.25">
      <c r="A99" t="s">
        <v>2076</v>
      </c>
      <c r="B99" s="2" t="s">
        <v>439</v>
      </c>
      <c r="C99" s="2" t="s">
        <v>483</v>
      </c>
      <c r="D99" s="2" t="s">
        <v>456</v>
      </c>
      <c r="E99" s="2" t="s">
        <v>293</v>
      </c>
      <c r="F99" s="6">
        <v>22665</v>
      </c>
      <c r="G99" s="16">
        <f t="shared" ca="1" si="1"/>
        <v>59.493150684931507</v>
      </c>
      <c r="H99" s="2" t="s">
        <v>583</v>
      </c>
      <c r="I99" t="str" cm="1">
        <f t="array" ref="I99">ADAPTAR(B99)&amp;ADAPTAR(C99)&amp;"_"&amp;ADAPTAR(E99)&amp;F99</f>
        <v>leonardojose_sanchez22665</v>
      </c>
      <c r="J99" s="13">
        <v>17</v>
      </c>
      <c r="K99" t="str" cm="1">
        <f t="array" ref="K99">ADAPTAR(B99)&amp;"."&amp;ADAPTAR(D99)&amp;YEAR(F99)&amp;"@"&amp;VLOOKUP(J99,Dominios!$A$2:$B$30,2,FALSE)</f>
        <v>leonardo.alvarez1962@totum.com.co</v>
      </c>
      <c r="L99" s="13">
        <v>17</v>
      </c>
      <c r="M99">
        <f>VLOOKUP(L99,Celulares!$A$2:$B$30,2,FALSE)</f>
        <v>3115092369</v>
      </c>
    </row>
    <row r="100" spans="1:13" ht="15.75" customHeight="1" x14ac:dyDescent="0.25">
      <c r="A100" t="s">
        <v>2077</v>
      </c>
      <c r="B100" s="2" t="s">
        <v>507</v>
      </c>
      <c r="C100" s="2" t="s">
        <v>508</v>
      </c>
      <c r="D100" s="2" t="s">
        <v>509</v>
      </c>
      <c r="E100" s="2" t="s">
        <v>506</v>
      </c>
      <c r="F100" s="6">
        <v>29620</v>
      </c>
      <c r="G100" s="16">
        <f t="shared" ca="1" si="1"/>
        <v>40.438356164383563</v>
      </c>
      <c r="H100" s="2" t="s">
        <v>575</v>
      </c>
      <c r="I100" t="str" cm="1">
        <f t="array" ref="I100">ADAPTAR(B100)&amp;ADAPTAR(C100)&amp;"_"&amp;ADAPTAR(E100)&amp;F100</f>
        <v>victoralexander_vergara29620</v>
      </c>
      <c r="J100" s="13">
        <v>18</v>
      </c>
      <c r="K100" t="str" cm="1">
        <f t="array" ref="K100">ADAPTAR(B100)&amp;"."&amp;ADAPTAR(D100)&amp;YEAR(F100)&amp;"@"&amp;VLOOKUP(J100,Dominios!$A$2:$B$30,2,FALSE)</f>
        <v>victor.leal1981@voipcolombia.co</v>
      </c>
      <c r="L100" s="13">
        <v>18</v>
      </c>
      <c r="M100">
        <f>VLOOKUP(L100,Celulares!$A$2:$B$30,2,FALSE)</f>
        <v>3115092360</v>
      </c>
    </row>
    <row r="101" spans="1:13" ht="15.75" customHeight="1" x14ac:dyDescent="0.25">
      <c r="A101" t="s">
        <v>2078</v>
      </c>
      <c r="B101" s="2" t="s">
        <v>511</v>
      </c>
      <c r="C101" s="2" t="s">
        <v>360</v>
      </c>
      <c r="D101" s="2" t="s">
        <v>94</v>
      </c>
      <c r="E101" s="2" t="s">
        <v>510</v>
      </c>
      <c r="F101" s="6">
        <v>30230</v>
      </c>
      <c r="G101" s="16">
        <f t="shared" ca="1" si="1"/>
        <v>38.767123287671232</v>
      </c>
      <c r="H101" s="2" t="s">
        <v>600</v>
      </c>
      <c r="I101" t="str" cm="1">
        <f t="array" ref="I101">ADAPTAR(B101)&amp;ADAPTAR(C101)&amp;"_"&amp;ADAPTAR(E101)&amp;F101</f>
        <v>javiermauricio_sabogal30230</v>
      </c>
      <c r="J101" s="13">
        <v>19</v>
      </c>
      <c r="K101" t="str" cm="1">
        <f t="array" ref="K101">ADAPTAR(B101)&amp;"."&amp;ADAPTAR(D101)&amp;YEAR(F101)&amp;"@"&amp;VLOOKUP(J101,Dominios!$A$2:$B$30,2,FALSE)</f>
        <v>javier.gonzalez1982@vpncolombia.com.co</v>
      </c>
      <c r="L101" s="13">
        <v>19</v>
      </c>
      <c r="M101">
        <f>VLOOKUP(L101,Celulares!$A$2:$B$30,2,FALSE)</f>
        <v>3115092352</v>
      </c>
    </row>
    <row r="102" spans="1:13" ht="15.75" customHeight="1" x14ac:dyDescent="0.25">
      <c r="A102" t="s">
        <v>2079</v>
      </c>
      <c r="B102" s="2" t="s">
        <v>513</v>
      </c>
      <c r="C102" s="2" t="s">
        <v>439</v>
      </c>
      <c r="D102" s="2" t="s">
        <v>470</v>
      </c>
      <c r="E102" s="2" t="s">
        <v>476</v>
      </c>
      <c r="F102" s="6">
        <v>29279</v>
      </c>
      <c r="G102" s="16">
        <f t="shared" ca="1" si="1"/>
        <v>41.372602739726027</v>
      </c>
      <c r="H102" s="2" t="s">
        <v>592</v>
      </c>
      <c r="I102" t="str" cm="1">
        <f t="array" ref="I102">ADAPTAR(B102)&amp;ADAPTAR(C102)&amp;"_"&amp;ADAPTAR(E102)&amp;F102</f>
        <v>fabioleonardo_prieto29279</v>
      </c>
      <c r="J102" s="13">
        <v>0</v>
      </c>
      <c r="K102" t="str" cm="1">
        <f t="array" ref="K102">ADAPTAR(B102)&amp;"."&amp;ADAPTAR(D102)&amp;YEAR(F102)&amp;"@"&amp;VLOOKUP(J102,Dominios!$A$2:$B$30,2,FALSE)</f>
        <v>fabio.ocampo1980@auribus.com.co</v>
      </c>
      <c r="L102" s="13">
        <v>0</v>
      </c>
      <c r="M102">
        <f>VLOOKUP(L102,Celulares!$A$2:$B$30,2,FALSE)</f>
        <v>3115114930</v>
      </c>
    </row>
    <row r="103" spans="1:13" ht="15.75" customHeight="1" x14ac:dyDescent="0.25">
      <c r="A103" t="s">
        <v>2080</v>
      </c>
      <c r="B103" s="2" t="s">
        <v>345</v>
      </c>
      <c r="C103" s="2" t="s">
        <v>450</v>
      </c>
      <c r="D103" s="2" t="s">
        <v>471</v>
      </c>
      <c r="E103" s="2" t="s">
        <v>514</v>
      </c>
      <c r="F103" s="6">
        <v>31973</v>
      </c>
      <c r="G103" s="16">
        <f t="shared" ca="1" si="1"/>
        <v>33.991780821917807</v>
      </c>
      <c r="H103" s="2" t="s">
        <v>584</v>
      </c>
      <c r="I103" t="str" cm="1">
        <f t="array" ref="I103">ADAPTAR(B103)&amp;ADAPTAR(C103)&amp;"_"&amp;ADAPTAR(E103)&amp;F103</f>
        <v>alvaroenrique_mendoza31973</v>
      </c>
      <c r="J103" s="13">
        <v>1</v>
      </c>
      <c r="K103" t="str" cm="1">
        <f t="array" ref="K103">ADAPTAR(B103)&amp;"."&amp;ADAPTAR(D103)&amp;YEAR(F103)&amp;"@"&amp;VLOOKUP(J103,Dominios!$A$2:$B$30,2,FALSE)</f>
        <v>alvaro.fernandez1987@colamus.co</v>
      </c>
      <c r="L103" s="13">
        <v>1</v>
      </c>
      <c r="M103">
        <f>VLOOKUP(L103,Celulares!$A$2:$B$30,2,FALSE)</f>
        <v>3115114916</v>
      </c>
    </row>
    <row r="104" spans="1:13" ht="15.75" customHeight="1" x14ac:dyDescent="0.25">
      <c r="A104" t="s">
        <v>2081</v>
      </c>
      <c r="B104" s="2" t="s">
        <v>394</v>
      </c>
      <c r="C104" s="2" t="s">
        <v>264</v>
      </c>
      <c r="D104" s="2" t="s">
        <v>472</v>
      </c>
      <c r="E104" s="2" t="s">
        <v>512</v>
      </c>
      <c r="F104" s="6">
        <v>31366</v>
      </c>
      <c r="G104" s="16">
        <f t="shared" ca="1" si="1"/>
        <v>35.654794520547945</v>
      </c>
      <c r="H104" s="2" t="s">
        <v>572</v>
      </c>
      <c r="I104" t="str" cm="1">
        <f t="array" ref="I104">ADAPTAR(B104)&amp;ADAPTAR(C104)&amp;"_"&amp;ADAPTAR(E104)&amp;F104</f>
        <v>diegojimenez_quiroz31366</v>
      </c>
      <c r="J104" s="13">
        <v>2</v>
      </c>
      <c r="K104" t="str" cm="1">
        <f t="array" ref="K104">ADAPTAR(B104)&amp;"."&amp;ADAPTAR(D104)&amp;YEAR(F104)&amp;"@"&amp;VLOOKUP(J104,Dominios!$A$2:$B$30,2,FALSE)</f>
        <v>diego.espejo1985@colombiamail.co</v>
      </c>
      <c r="L104" s="13">
        <v>2</v>
      </c>
      <c r="M104">
        <f>VLOOKUP(L104,Celulares!$A$2:$B$30,2,FALSE)</f>
        <v>3115114911</v>
      </c>
    </row>
    <row r="105" spans="1:13" ht="15.75" customHeight="1" x14ac:dyDescent="0.25">
      <c r="A105" t="s">
        <v>2082</v>
      </c>
      <c r="B105" s="2" t="s">
        <v>387</v>
      </c>
      <c r="C105" s="2" t="s">
        <v>475</v>
      </c>
      <c r="D105" s="2" t="s">
        <v>441</v>
      </c>
      <c r="E105" s="2" t="s">
        <v>436</v>
      </c>
      <c r="F105" s="6">
        <v>21796</v>
      </c>
      <c r="G105" s="16">
        <f t="shared" ca="1" si="1"/>
        <v>61.873972602739727</v>
      </c>
      <c r="H105" s="2" t="s">
        <v>601</v>
      </c>
      <c r="I105" t="str" cm="1">
        <f t="array" ref="I105">ADAPTAR(B105)&amp;ADAPTAR(C105)&amp;"_"&amp;ADAPTAR(E105)&amp;F105</f>
        <v>davidcaicedo_tarazona21796</v>
      </c>
      <c r="J105" s="13">
        <v>3</v>
      </c>
      <c r="K105" t="str" cm="1">
        <f t="array" ref="K105">ADAPTAR(B105)&amp;"."&amp;ADAPTAR(D105)&amp;YEAR(F105)&amp;"@"&amp;VLOOKUP(J105,Dominios!$A$2:$B$30,2,FALSE)</f>
        <v>david.pinilla1959@diabunter.co</v>
      </c>
      <c r="L105" s="13">
        <v>3</v>
      </c>
      <c r="M105">
        <f>VLOOKUP(L105,Celulares!$A$2:$B$30,2,FALSE)</f>
        <v>3115114910</v>
      </c>
    </row>
    <row r="106" spans="1:13" ht="15.75" customHeight="1" x14ac:dyDescent="0.25">
      <c r="A106" t="s">
        <v>2083</v>
      </c>
      <c r="B106" s="2" t="s">
        <v>511</v>
      </c>
      <c r="C106" s="2" t="s">
        <v>516</v>
      </c>
      <c r="D106" s="2" t="s">
        <v>517</v>
      </c>
      <c r="E106" s="2" t="s">
        <v>166</v>
      </c>
      <c r="F106" s="6">
        <v>27510</v>
      </c>
      <c r="G106" s="16">
        <f t="shared" ca="1" si="1"/>
        <v>46.219178082191782</v>
      </c>
      <c r="H106" s="2" t="s">
        <v>602</v>
      </c>
      <c r="I106" t="str" cm="1">
        <f t="array" ref="I106">ADAPTAR(B106)&amp;ADAPTAR(C106)&amp;"_"&amp;ADAPTAR(E106)&amp;F106</f>
        <v>javiercardona_sarmiento27510</v>
      </c>
      <c r="J106" s="13">
        <v>4</v>
      </c>
      <c r="K106" t="str" cm="1">
        <f t="array" ref="K106">ADAPTAR(B106)&amp;"."&amp;ADAPTAR(D106)&amp;YEAR(F106)&amp;"@"&amp;VLOOKUP(J106,Dominios!$A$2:$B$30,2,FALSE)</f>
        <v>javier.navas1975@ebrietas.co</v>
      </c>
      <c r="L106" s="13">
        <v>4</v>
      </c>
      <c r="M106">
        <f>VLOOKUP(L106,Celulares!$A$2:$B$30,2,FALSE)</f>
        <v>3115114909</v>
      </c>
    </row>
    <row r="107" spans="1:13" ht="15.75" customHeight="1" x14ac:dyDescent="0.25">
      <c r="A107" t="s">
        <v>2084</v>
      </c>
      <c r="B107" s="2" t="s">
        <v>518</v>
      </c>
      <c r="C107" s="2" t="s">
        <v>519</v>
      </c>
      <c r="D107" s="2" t="s">
        <v>157</v>
      </c>
      <c r="E107" s="2" t="s">
        <v>515</v>
      </c>
      <c r="F107" s="6">
        <v>28064</v>
      </c>
      <c r="G107" s="16">
        <f t="shared" ca="1" si="1"/>
        <v>44.701369863013696</v>
      </c>
      <c r="H107" s="2" t="s">
        <v>587</v>
      </c>
      <c r="I107" t="str" cm="1">
        <f t="array" ref="I107">ADAPTAR(B107)&amp;ADAPTAR(C107)&amp;"_"&amp;ADAPTAR(E107)&amp;F107</f>
        <v>julianpulido_botero28064</v>
      </c>
      <c r="J107" s="13">
        <v>5</v>
      </c>
      <c r="K107" t="str" cm="1">
        <f t="array" ref="K107">ADAPTAR(B107)&amp;"."&amp;ADAPTAR(D107)&amp;YEAR(F107)&amp;"@"&amp;VLOOKUP(J107,Dominios!$A$2:$B$30,2,FALSE)</f>
        <v>julian.ramirez1976@elsinsonte.co</v>
      </c>
      <c r="L107" s="13">
        <v>5</v>
      </c>
      <c r="M107">
        <f>VLOOKUP(L107,Celulares!$A$2:$B$30,2,FALSE)</f>
        <v>3115060130</v>
      </c>
    </row>
    <row r="108" spans="1:13" ht="15.75" customHeight="1" x14ac:dyDescent="0.25">
      <c r="A108" t="s">
        <v>2085</v>
      </c>
      <c r="B108" s="2" t="s">
        <v>503</v>
      </c>
      <c r="C108" s="2" t="s">
        <v>520</v>
      </c>
      <c r="D108" s="2" t="s">
        <v>398</v>
      </c>
      <c r="E108" s="2" t="s">
        <v>94</v>
      </c>
      <c r="F108" s="6">
        <v>34454</v>
      </c>
      <c r="G108" s="16">
        <f t="shared" ca="1" si="1"/>
        <v>27.194520547945206</v>
      </c>
      <c r="H108" s="2" t="s">
        <v>549</v>
      </c>
      <c r="I108" t="str" cm="1">
        <f t="array" ref="I108">ADAPTAR(B108)&amp;ADAPTAR(C108)&amp;"_"&amp;ADAPTAR(E108)&amp;F108</f>
        <v>ernestofabian_gonzalez34454</v>
      </c>
      <c r="J108" s="13">
        <v>6</v>
      </c>
      <c r="K108" t="str" cm="1">
        <f t="array" ref="K108">ADAPTAR(B108)&amp;"."&amp;ADAPTAR(D108)&amp;YEAR(F108)&amp;"@"&amp;VLOOKUP(J108,Dominios!$A$2:$B$30,2,FALSE)</f>
        <v>ernesto.valverde1994@enigmaserver.co</v>
      </c>
      <c r="L108" s="13">
        <v>6</v>
      </c>
      <c r="M108">
        <f>VLOOKUP(L108,Celulares!$A$2:$B$30,2,FALSE)</f>
        <v>3115060125</v>
      </c>
    </row>
    <row r="109" spans="1:13" ht="15.75" customHeight="1" x14ac:dyDescent="0.25">
      <c r="A109" t="s">
        <v>2086</v>
      </c>
      <c r="B109" s="2" t="s">
        <v>401</v>
      </c>
      <c r="C109" s="2" t="s">
        <v>339</v>
      </c>
      <c r="D109" s="2" t="s">
        <v>57</v>
      </c>
      <c r="E109" s="2" t="s">
        <v>57</v>
      </c>
      <c r="F109" s="6">
        <v>35772</v>
      </c>
      <c r="G109" s="16">
        <f t="shared" ca="1" si="1"/>
        <v>23.583561643835615</v>
      </c>
      <c r="H109" s="2" t="s">
        <v>603</v>
      </c>
      <c r="I109" t="str" cm="1">
        <f t="array" ref="I109">ADAPTAR(B109)&amp;ADAPTAR(C109)&amp;"_"&amp;ADAPTAR(E109)&amp;F109</f>
        <v>oscarfernando_castro35772</v>
      </c>
      <c r="J109" s="13">
        <v>7</v>
      </c>
      <c r="K109" t="str" cm="1">
        <f t="array" ref="K109">ADAPTAR(B109)&amp;"."&amp;ADAPTAR(D109)&amp;YEAR(F109)&amp;"@"&amp;VLOOKUP(J109,Dominios!$A$2:$B$30,2,FALSE)</f>
        <v>oscar.castro1997@hocknas.co</v>
      </c>
      <c r="L109" s="13">
        <v>7</v>
      </c>
      <c r="M109">
        <f>VLOOKUP(L109,Celulares!$A$2:$B$30,2,FALSE)</f>
        <v>3115060110</v>
      </c>
    </row>
    <row r="110" spans="1:13" ht="15.75" customHeight="1" x14ac:dyDescent="0.25">
      <c r="A110" t="s">
        <v>2087</v>
      </c>
      <c r="B110" s="2" t="s">
        <v>521</v>
      </c>
      <c r="C110" s="2" t="s">
        <v>522</v>
      </c>
      <c r="D110" s="2" t="s">
        <v>43</v>
      </c>
      <c r="E110" s="2" t="s">
        <v>170</v>
      </c>
      <c r="F110" s="6">
        <v>27968</v>
      </c>
      <c r="G110" s="16">
        <f t="shared" ca="1" si="1"/>
        <v>44.964383561643835</v>
      </c>
      <c r="H110" s="2" t="s">
        <v>585</v>
      </c>
      <c r="I110" t="str" cm="1">
        <f t="array" ref="I110">ADAPTAR(B110)&amp;ADAPTAR(C110)&amp;"_"&amp;ADAPTAR(E110)&amp;F110</f>
        <v>oskrbonilla_cortes27968</v>
      </c>
      <c r="J110" s="13">
        <v>8</v>
      </c>
      <c r="K110" t="str" cm="1">
        <f t="array" ref="K110">ADAPTAR(B110)&amp;"."&amp;ADAPTAR(D110)&amp;YEAR(F110)&amp;"@"&amp;VLOOKUP(J110,Dominios!$A$2:$B$30,2,FALSE)</f>
        <v>oskr.herrera1976@hostedoceri.co</v>
      </c>
      <c r="L110" s="13">
        <v>8</v>
      </c>
      <c r="M110">
        <f>VLOOKUP(L110,Celulares!$A$2:$B$30,2,FALSE)</f>
        <v>3115060091</v>
      </c>
    </row>
    <row r="111" spans="1:13" ht="15.75" customHeight="1" x14ac:dyDescent="0.25">
      <c r="A111" t="s">
        <v>2088</v>
      </c>
      <c r="B111" s="2" t="s">
        <v>523</v>
      </c>
      <c r="C111" s="2" t="s">
        <v>524</v>
      </c>
      <c r="D111" s="2" t="s">
        <v>47</v>
      </c>
      <c r="E111" s="2" t="s">
        <v>88</v>
      </c>
      <c r="F111" s="6">
        <v>28775</v>
      </c>
      <c r="G111" s="16">
        <f t="shared" ca="1" si="1"/>
        <v>42.753424657534246</v>
      </c>
      <c r="H111" s="2" t="s">
        <v>581</v>
      </c>
      <c r="I111" t="str" cm="1">
        <f t="array" ref="I111">ADAPTAR(B111)&amp;ADAPTAR(C111)&amp;"_"&amp;ADAPTAR(E111)&amp;F111</f>
        <v>jacksonfeliciano_pinzon28775</v>
      </c>
      <c r="J111" s="13">
        <v>9</v>
      </c>
      <c r="K111" t="str" cm="1">
        <f t="array" ref="K111">ADAPTAR(B111)&amp;"."&amp;ADAPTAR(D111)&amp;YEAR(F111)&amp;"@"&amp;VLOOKUP(J111,Dominios!$A$2:$B$30,2,FALSE)</f>
        <v>jackson.gomez1978@libertas.com.co</v>
      </c>
      <c r="L111" s="13">
        <v>9</v>
      </c>
      <c r="M111">
        <f>VLOOKUP(L111,Celulares!$A$2:$B$30,2,FALSE)</f>
        <v>3115060080</v>
      </c>
    </row>
    <row r="112" spans="1:13" ht="15.75" customHeight="1" x14ac:dyDescent="0.25">
      <c r="A112" t="s">
        <v>2089</v>
      </c>
      <c r="B112" s="2" t="s">
        <v>448</v>
      </c>
      <c r="C112" s="2" t="s">
        <v>89</v>
      </c>
      <c r="D112" s="2" t="s">
        <v>447</v>
      </c>
      <c r="E112" s="2" t="s">
        <v>276</v>
      </c>
      <c r="F112" s="6">
        <v>36830</v>
      </c>
      <c r="G112" s="16">
        <f t="shared" ca="1" si="1"/>
        <v>20.684931506849313</v>
      </c>
      <c r="H112" s="2" t="s">
        <v>542</v>
      </c>
      <c r="I112" t="str" cm="1">
        <f t="array" ref="I112">ADAPTAR(B112)&amp;ADAPTAR(C112)&amp;"_"&amp;ADAPTAR(E112)&amp;F112</f>
        <v>ivangomez_garzon36830</v>
      </c>
      <c r="J112" s="13">
        <v>10</v>
      </c>
      <c r="K112" t="str" cm="1">
        <f t="array" ref="K112">ADAPTAR(B112)&amp;"."&amp;ADAPTAR(D112)&amp;YEAR(F112)&amp;"@"&amp;VLOOKUP(J112,Dominios!$A$2:$B$30,2,FALSE)</f>
        <v>ivan.rincon2000@nascitur.com.co</v>
      </c>
      <c r="L112" s="13">
        <v>10</v>
      </c>
      <c r="M112">
        <f>VLOOKUP(L112,Celulares!$A$2:$B$30,2,FALSE)</f>
        <v>3115114385</v>
      </c>
    </row>
    <row r="113" spans="1:13" ht="15.75" customHeight="1" x14ac:dyDescent="0.25">
      <c r="A113" t="s">
        <v>2090</v>
      </c>
      <c r="B113" s="2" t="s">
        <v>332</v>
      </c>
      <c r="C113" s="2" t="s">
        <v>330</v>
      </c>
      <c r="D113" s="2" t="s">
        <v>272</v>
      </c>
      <c r="E113" s="2" t="s">
        <v>267</v>
      </c>
      <c r="F113" s="6">
        <v>28930</v>
      </c>
      <c r="G113" s="16">
        <f t="shared" ca="1" si="1"/>
        <v>42.328767123287669</v>
      </c>
      <c r="H113" s="2" t="s">
        <v>595</v>
      </c>
      <c r="I113" t="str" cm="1">
        <f t="array" ref="I113">ADAPTAR(B113)&amp;ADAPTAR(C113)&amp;"_"&amp;ADAPTAR(E113)&amp;F113</f>
        <v>danielandres_garcia28930</v>
      </c>
      <c r="J113" s="13">
        <v>11</v>
      </c>
      <c r="K113" t="str" cm="1">
        <f t="array" ref="K113">ADAPTAR(B113)&amp;"."&amp;ADAPTAR(D113)&amp;YEAR(F113)&amp;"@"&amp;VLOOKUP(J113,Dominios!$A$2:$B$30,2,FALSE)</f>
        <v>daniel.paez1979@nemesis.ml</v>
      </c>
      <c r="L113" s="13">
        <v>11</v>
      </c>
      <c r="M113">
        <f>VLOOKUP(L113,Celulares!$A$2:$B$30,2,FALSE)</f>
        <v>3115114360</v>
      </c>
    </row>
    <row r="114" spans="1:13" ht="15.75" customHeight="1" x14ac:dyDescent="0.25">
      <c r="A114" t="s">
        <v>2091</v>
      </c>
      <c r="B114" s="2" t="s">
        <v>525</v>
      </c>
      <c r="C114" s="2" t="s">
        <v>450</v>
      </c>
      <c r="D114" s="2" t="s">
        <v>443</v>
      </c>
      <c r="E114" s="2" t="s">
        <v>272</v>
      </c>
      <c r="F114" s="6">
        <v>29828</v>
      </c>
      <c r="G114" s="16">
        <f t="shared" ca="1" si="1"/>
        <v>39.868493150684934</v>
      </c>
      <c r="H114" s="2" t="s">
        <v>604</v>
      </c>
      <c r="I114" t="str" cm="1">
        <f t="array" ref="I114">ADAPTAR(B114)&amp;ADAPTAR(C114)&amp;"_"&amp;ADAPTAR(E114)&amp;F114</f>
        <v>fredyenrique_paez29828</v>
      </c>
      <c r="J114" s="13">
        <v>12</v>
      </c>
      <c r="K114" t="str" cm="1">
        <f t="array" ref="K114">ADAPTAR(B114)&amp;"."&amp;ADAPTAR(D114)&amp;YEAR(F114)&amp;"@"&amp;VLOOKUP(J114,Dominios!$A$2:$B$30,2,FALSE)</f>
        <v>fredy.huertas1981@nunquam.com.co</v>
      </c>
      <c r="L114" s="13">
        <v>12</v>
      </c>
      <c r="M114">
        <f>VLOOKUP(L114,Celulares!$A$2:$B$30,2,FALSE)</f>
        <v>3115093653</v>
      </c>
    </row>
    <row r="115" spans="1:13" ht="15.75" customHeight="1" x14ac:dyDescent="0.25">
      <c r="A115" t="s">
        <v>2092</v>
      </c>
      <c r="B115" s="2" t="s">
        <v>640</v>
      </c>
      <c r="C115" s="2" t="s">
        <v>641</v>
      </c>
      <c r="D115" s="2" t="s">
        <v>642</v>
      </c>
      <c r="E115" s="2" t="s">
        <v>55</v>
      </c>
      <c r="F115" s="6">
        <v>29789</v>
      </c>
      <c r="G115" s="16">
        <f t="shared" ca="1" si="1"/>
        <v>39.975342465753428</v>
      </c>
      <c r="H115" s="2" t="s">
        <v>555</v>
      </c>
      <c r="I115" t="str" cm="1">
        <f t="array" ref="I115">ADAPTAR(B115)&amp;ADAPTAR(C115)&amp;"_"&amp;ADAPTAR(E115)&amp;F115</f>
        <v>rubenhenesto_rodriguez29789</v>
      </c>
      <c r="J115" s="13">
        <v>13</v>
      </c>
      <c r="K115" t="str" cm="1">
        <f t="array" ref="K115">ADAPTAR(B115)&amp;"."&amp;ADAPTAR(D115)&amp;YEAR(F115)&amp;"@"&amp;VLOOKUP(J115,Dominios!$A$2:$B$30,2,FALSE)</f>
        <v>ruben.perez1981@sempiternam.co</v>
      </c>
      <c r="L115" s="13">
        <v>13</v>
      </c>
      <c r="M115">
        <f>VLOOKUP(L115,Celulares!$A$2:$B$30,2,FALSE)</f>
        <v>3115093598</v>
      </c>
    </row>
    <row r="116" spans="1:13" ht="15.75" customHeight="1" x14ac:dyDescent="0.25">
      <c r="A116" t="s">
        <v>2093</v>
      </c>
      <c r="B116" s="2" t="s">
        <v>643</v>
      </c>
      <c r="C116" s="2" t="s">
        <v>644</v>
      </c>
      <c r="D116" s="2" t="s">
        <v>645</v>
      </c>
      <c r="E116" s="2" t="s">
        <v>441</v>
      </c>
      <c r="F116" s="6">
        <v>36238</v>
      </c>
      <c r="G116" s="16">
        <f t="shared" ca="1" si="1"/>
        <v>22.306849315068494</v>
      </c>
      <c r="H116" s="2" t="s">
        <v>586</v>
      </c>
      <c r="I116" t="str" cm="1">
        <f t="array" ref="I116">ADAPTAR(B116)&amp;ADAPTAR(C116)&amp;"_"&amp;ADAPTAR(E116)&amp;F116</f>
        <v>jairoantonio_pinilla36238</v>
      </c>
      <c r="J116" s="13">
        <v>14</v>
      </c>
      <c r="K116" t="str" cm="1">
        <f t="array" ref="K116">ADAPTAR(B116)&amp;"."&amp;ADAPTAR(D116)&amp;YEAR(F116)&amp;"@"&amp;VLOOKUP(J116,Dominios!$A$2:$B$30,2,FALSE)</f>
        <v>jairo.rojas1999@sk9.co</v>
      </c>
      <c r="L116" s="13">
        <v>14</v>
      </c>
      <c r="M116">
        <f>VLOOKUP(L116,Celulares!$A$2:$B$30,2,FALSE)</f>
        <v>3115093583</v>
      </c>
    </row>
    <row r="117" spans="1:13" ht="15.75" customHeight="1" x14ac:dyDescent="0.25">
      <c r="A117" t="s">
        <v>2094</v>
      </c>
      <c r="B117" s="2" t="s">
        <v>646</v>
      </c>
      <c r="C117" s="2" t="s">
        <v>349</v>
      </c>
      <c r="D117" s="2" t="s">
        <v>107</v>
      </c>
      <c r="E117" s="2" t="s">
        <v>647</v>
      </c>
      <c r="F117" s="6">
        <v>35448</v>
      </c>
      <c r="G117" s="16">
        <f t="shared" ca="1" si="1"/>
        <v>24.471232876712328</v>
      </c>
      <c r="H117" s="2" t="s">
        <v>605</v>
      </c>
      <c r="I117" t="str" cm="1">
        <f t="array" ref="I117">ADAPTAR(B117)&amp;ADAPTAR(C117)&amp;"_"&amp;ADAPTAR(E117)&amp;F117</f>
        <v>juancamilo_ordonez35448</v>
      </c>
      <c r="J117" s="13">
        <v>15</v>
      </c>
      <c r="K117" t="str" cm="1">
        <f t="array" ref="K117">ADAPTAR(B117)&amp;"."&amp;ADAPTAR(D117)&amp;YEAR(F117)&amp;"@"&amp;VLOOKUP(J117,Dominios!$A$2:$B$30,2,FALSE)</f>
        <v>juan.perez1997@socialmediacolombia.com.co</v>
      </c>
      <c r="L117" s="13">
        <v>15</v>
      </c>
      <c r="M117">
        <f>VLOOKUP(L117,Celulares!$A$2:$B$30,2,FALSE)</f>
        <v>3115092386</v>
      </c>
    </row>
    <row r="118" spans="1:13" ht="15.75" customHeight="1" x14ac:dyDescent="0.25">
      <c r="A118" t="s">
        <v>2095</v>
      </c>
      <c r="B118" s="2" t="s">
        <v>648</v>
      </c>
      <c r="C118" s="2" t="s">
        <v>397</v>
      </c>
      <c r="D118" s="2" t="s">
        <v>43</v>
      </c>
      <c r="E118" s="2" t="s">
        <v>68</v>
      </c>
      <c r="F118" s="6">
        <v>22218</v>
      </c>
      <c r="G118" s="16">
        <f t="shared" ca="1" si="1"/>
        <v>60.717808219178082</v>
      </c>
      <c r="H118" s="2" t="s">
        <v>577</v>
      </c>
      <c r="I118" t="str" cm="1">
        <f t="array" ref="I118">ADAPTAR(B118)&amp;ADAPTAR(C118)&amp;"_"&amp;ADAPTAR(E118)&amp;F118</f>
        <v>emilianojose_sierra22218</v>
      </c>
      <c r="J118" s="13">
        <v>16</v>
      </c>
      <c r="K118" t="str" cm="1">
        <f t="array" ref="K118">ADAPTAR(B118)&amp;"."&amp;ADAPTAR(D118)&amp;YEAR(F118)&amp;"@"&amp;VLOOKUP(J118,Dominios!$A$2:$B$30,2,FALSE)</f>
        <v>emiliano.herrera1960@tecnicoensistemas.com.co</v>
      </c>
      <c r="L118" s="13">
        <v>16</v>
      </c>
      <c r="M118">
        <f>VLOOKUP(L118,Celulares!$A$2:$B$30,2,FALSE)</f>
        <v>3115092375</v>
      </c>
    </row>
    <row r="119" spans="1:13" ht="15.75" customHeight="1" x14ac:dyDescent="0.25">
      <c r="A119" t="s">
        <v>2096</v>
      </c>
      <c r="B119" s="2" t="s">
        <v>439</v>
      </c>
      <c r="C119" s="2" t="s">
        <v>649</v>
      </c>
      <c r="D119" s="2" t="s">
        <v>468</v>
      </c>
      <c r="E119" s="2" t="s">
        <v>650</v>
      </c>
      <c r="F119" s="6">
        <v>25450</v>
      </c>
      <c r="G119" s="16">
        <f t="shared" ca="1" si="1"/>
        <v>51.863013698630134</v>
      </c>
      <c r="H119" s="2" t="s">
        <v>533</v>
      </c>
      <c r="I119" t="str" cm="1">
        <f t="array" ref="I119">ADAPTAR(B119)&amp;ADAPTAR(C119)&amp;"_"&amp;ADAPTAR(E119)&amp;F119</f>
        <v>leonardoarturo_pinzon25450</v>
      </c>
      <c r="J119" s="13">
        <v>17</v>
      </c>
      <c r="K119" t="str" cm="1">
        <f t="array" ref="K119">ADAPTAR(B119)&amp;"."&amp;ADAPTAR(D119)&amp;YEAR(F119)&amp;"@"&amp;VLOOKUP(J119,Dominios!$A$2:$B$30,2,FALSE)</f>
        <v>leonardo.reina1969@totum.com.co</v>
      </c>
      <c r="L119" s="13">
        <v>17</v>
      </c>
      <c r="M119">
        <f>VLOOKUP(L119,Celulares!$A$2:$B$30,2,FALSE)</f>
        <v>3115092369</v>
      </c>
    </row>
    <row r="120" spans="1:13" ht="15.75" customHeight="1" x14ac:dyDescent="0.25">
      <c r="A120" t="s">
        <v>2097</v>
      </c>
      <c r="B120" s="2" t="s">
        <v>651</v>
      </c>
      <c r="C120" s="2" t="s">
        <v>450</v>
      </c>
      <c r="D120" s="2" t="s">
        <v>652</v>
      </c>
      <c r="E120" s="2" t="s">
        <v>653</v>
      </c>
      <c r="F120" s="6">
        <v>36296</v>
      </c>
      <c r="G120" s="16">
        <f t="shared" ca="1" si="1"/>
        <v>22.147945205479452</v>
      </c>
      <c r="H120" s="2" t="s">
        <v>606</v>
      </c>
      <c r="I120" t="str" cm="1">
        <f t="array" ref="I120">ADAPTAR(B120)&amp;ADAPTAR(C120)&amp;"_"&amp;ADAPTAR(E120)&amp;F120</f>
        <v>luisenrique_mendez36296</v>
      </c>
      <c r="J120" s="13">
        <v>18</v>
      </c>
      <c r="K120" t="str" cm="1">
        <f t="array" ref="K120">ADAPTAR(B120)&amp;"."&amp;ADAPTAR(D120)&amp;YEAR(F120)&amp;"@"&amp;VLOOKUP(J120,Dominios!$A$2:$B$30,2,FALSE)</f>
        <v>luis.dussan1999@voipcolombia.co</v>
      </c>
      <c r="L120" s="13">
        <v>18</v>
      </c>
      <c r="M120">
        <f>VLOOKUP(L120,Celulares!$A$2:$B$30,2,FALSE)</f>
        <v>3115092360</v>
      </c>
    </row>
    <row r="121" spans="1:13" ht="15.75" customHeight="1" x14ac:dyDescent="0.25">
      <c r="A121" t="s">
        <v>2098</v>
      </c>
      <c r="B121" s="2" t="s">
        <v>345</v>
      </c>
      <c r="C121" s="2" t="s">
        <v>341</v>
      </c>
      <c r="D121" s="2" t="s">
        <v>670</v>
      </c>
      <c r="E121" s="2" t="s">
        <v>331</v>
      </c>
      <c r="F121" s="6">
        <v>28943</v>
      </c>
      <c r="G121" s="16">
        <f t="shared" ca="1" si="1"/>
        <v>42.293150684931504</v>
      </c>
      <c r="H121" s="2" t="s">
        <v>596</v>
      </c>
      <c r="I121" t="str" cm="1">
        <f t="array" ref="I121">ADAPTAR(B121)&amp;ADAPTAR(C121)&amp;"_"&amp;ADAPTAR(E121)&amp;F121</f>
        <v>alvarojuan_monroy28943</v>
      </c>
      <c r="J121" s="13">
        <v>19</v>
      </c>
      <c r="K121" t="str" cm="1">
        <f t="array" ref="K121">ADAPTAR(B121)&amp;"."&amp;ADAPTAR(D121)&amp;YEAR(F121)&amp;"@"&amp;VLOOKUP(J121,Dominios!$A$2:$B$30,2,FALSE)</f>
        <v>alvaro.acosta1979@vpncolombia.com.co</v>
      </c>
      <c r="L121" s="13">
        <v>19</v>
      </c>
      <c r="M121">
        <f>VLOOKUP(L121,Celulares!$A$2:$B$30,2,FALSE)</f>
        <v>3115092352</v>
      </c>
    </row>
    <row r="122" spans="1:13" ht="15.75" customHeight="1" x14ac:dyDescent="0.25">
      <c r="A122" t="s">
        <v>2099</v>
      </c>
      <c r="B122" s="2" t="s">
        <v>432</v>
      </c>
      <c r="C122" s="2" t="s">
        <v>343</v>
      </c>
      <c r="D122" s="2" t="s">
        <v>671</v>
      </c>
      <c r="E122" s="2" t="s">
        <v>55</v>
      </c>
      <c r="F122" s="6">
        <v>22665</v>
      </c>
      <c r="G122" s="16">
        <f t="shared" ca="1" si="1"/>
        <v>59.493150684931507</v>
      </c>
      <c r="H122" s="2" t="s">
        <v>576</v>
      </c>
      <c r="I122" t="str" cm="1">
        <f t="array" ref="I122">ADAPTAR(B122)&amp;ADAPTAR(C122)&amp;"_"&amp;ADAPTAR(E122)&amp;F122</f>
        <v>antoniooscar_rodriguez22665</v>
      </c>
      <c r="J122" s="13">
        <v>0</v>
      </c>
      <c r="K122" t="str" cm="1">
        <f t="array" ref="K122">ADAPTAR(B122)&amp;"."&amp;ADAPTAR(D122)&amp;YEAR(F122)&amp;"@"&amp;VLOOKUP(J122,Dominios!$A$2:$B$30,2,FALSE)</f>
        <v>antonio.guzman1962@auribus.com.co</v>
      </c>
      <c r="L122" s="13">
        <v>0</v>
      </c>
      <c r="M122">
        <f>VLOOKUP(L122,Celulares!$A$2:$B$30,2,FALSE)</f>
        <v>3115114930</v>
      </c>
    </row>
    <row r="123" spans="1:13" ht="15.75" customHeight="1" x14ac:dyDescent="0.25">
      <c r="A123" t="s">
        <v>2100</v>
      </c>
      <c r="B123" s="2" t="s">
        <v>483</v>
      </c>
      <c r="C123" s="2" t="s">
        <v>421</v>
      </c>
      <c r="D123" s="2" t="s">
        <v>672</v>
      </c>
      <c r="E123" s="2" t="s">
        <v>334</v>
      </c>
      <c r="F123" s="6">
        <v>36633</v>
      </c>
      <c r="G123" s="16">
        <f t="shared" ca="1" si="1"/>
        <v>21.224657534246575</v>
      </c>
      <c r="H123" s="2" t="s">
        <v>579</v>
      </c>
      <c r="I123" t="str" cm="1">
        <f t="array" ref="I123">ADAPTAR(B123)&amp;ADAPTAR(C123)&amp;"_"&amp;ADAPTAR(E123)&amp;F123</f>
        <v>josenicolas_merizalde36633</v>
      </c>
      <c r="J123" s="13">
        <v>1</v>
      </c>
      <c r="K123" t="str" cm="1">
        <f t="array" ref="K123">ADAPTAR(B123)&amp;"."&amp;ADAPTAR(D123)&amp;YEAR(F123)&amp;"@"&amp;VLOOKUP(J123,Dominios!$A$2:$B$30,2,FALSE)</f>
        <v>jose.londono2000@colamus.co</v>
      </c>
      <c r="L123" s="13">
        <v>1</v>
      </c>
      <c r="M123">
        <f>VLOOKUP(L123,Celulares!$A$2:$B$30,2,FALSE)</f>
        <v>3115114916</v>
      </c>
    </row>
    <row r="124" spans="1:13" ht="15.75" customHeight="1" x14ac:dyDescent="0.25">
      <c r="A124" t="s">
        <v>2101</v>
      </c>
      <c r="B124" s="2" t="s">
        <v>481</v>
      </c>
      <c r="C124" s="2" t="s">
        <v>345</v>
      </c>
      <c r="D124" s="2" t="s">
        <v>673</v>
      </c>
      <c r="E124" s="2" t="s">
        <v>127</v>
      </c>
      <c r="F124" s="6">
        <v>29034</v>
      </c>
      <c r="G124" s="16">
        <f t="shared" ca="1" si="1"/>
        <v>42.043835616438358</v>
      </c>
      <c r="H124" s="2" t="s">
        <v>607</v>
      </c>
      <c r="I124" t="str" cm="1">
        <f t="array" ref="I124">ADAPTAR(B124)&amp;ADAPTAR(C124)&amp;"_"&amp;ADAPTAR(E124)&amp;F124</f>
        <v>manuelalvaro_torres29034</v>
      </c>
      <c r="J124" s="13">
        <v>2</v>
      </c>
      <c r="K124" t="str" cm="1">
        <f t="array" ref="K124">ADAPTAR(B124)&amp;"."&amp;ADAPTAR(D124)&amp;YEAR(F124)&amp;"@"&amp;VLOOKUP(J124,Dominios!$A$2:$B$30,2,FALSE)</f>
        <v>manuel.molina1979@colombiamail.co</v>
      </c>
      <c r="L124" s="13">
        <v>2</v>
      </c>
      <c r="M124">
        <f>VLOOKUP(L124,Celulares!$A$2:$B$30,2,FALSE)</f>
        <v>3115114911</v>
      </c>
    </row>
    <row r="125" spans="1:13" ht="15.75" customHeight="1" x14ac:dyDescent="0.25">
      <c r="A125" t="s">
        <v>2102</v>
      </c>
      <c r="B125" s="2" t="s">
        <v>654</v>
      </c>
      <c r="C125" s="2" t="s">
        <v>347</v>
      </c>
      <c r="D125" s="2" t="s">
        <v>674</v>
      </c>
      <c r="E125" s="2" t="s">
        <v>337</v>
      </c>
      <c r="F125" s="6">
        <v>27865</v>
      </c>
      <c r="G125" s="16">
        <f t="shared" ca="1" si="1"/>
        <v>45.246575342465754</v>
      </c>
      <c r="H125" s="2" t="s">
        <v>582</v>
      </c>
      <c r="I125" t="str" cm="1">
        <f t="array" ref="I125">ADAPTAR(B125)&amp;ADAPTAR(C125)&amp;"_"&amp;ADAPTAR(E125)&amp;F125</f>
        <v>franciscoalvaro_sanchez27865</v>
      </c>
      <c r="J125" s="13">
        <v>3</v>
      </c>
      <c r="K125" t="str" cm="1">
        <f t="array" ref="K125">ADAPTAR(B125)&amp;"."&amp;ADAPTAR(D125)&amp;YEAR(F125)&amp;"@"&amp;VLOOKUP(J125,Dominios!$A$2:$B$30,2,FALSE)</f>
        <v>francisco.velasquez1976@diabunter.co</v>
      </c>
      <c r="L125" s="13">
        <v>3</v>
      </c>
      <c r="M125">
        <f>VLOOKUP(L125,Celulares!$A$2:$B$30,2,FALSE)</f>
        <v>3115114910</v>
      </c>
    </row>
    <row r="126" spans="1:13" ht="15.75" customHeight="1" x14ac:dyDescent="0.25">
      <c r="A126" t="s">
        <v>2103</v>
      </c>
      <c r="B126" s="2" t="s">
        <v>387</v>
      </c>
      <c r="C126" s="2" t="s">
        <v>349</v>
      </c>
      <c r="D126" s="2" t="s">
        <v>675</v>
      </c>
      <c r="E126" s="2" t="s">
        <v>340</v>
      </c>
      <c r="F126" s="6">
        <v>27635</v>
      </c>
      <c r="G126" s="16">
        <f t="shared" ca="1" si="1"/>
        <v>45.876712328767127</v>
      </c>
      <c r="H126" s="2" t="s">
        <v>608</v>
      </c>
      <c r="I126" t="str" cm="1">
        <f t="array" ref="I126">ADAPTAR(B126)&amp;ADAPTAR(C126)&amp;"_"&amp;ADAPTAR(E126)&amp;F126</f>
        <v>davidcamilo_porras27635</v>
      </c>
      <c r="J126" s="13">
        <v>4</v>
      </c>
      <c r="K126" t="str" cm="1">
        <f t="array" ref="K126">ADAPTAR(B126)&amp;"."&amp;ADAPTAR(D126)&amp;YEAR(F126)&amp;"@"&amp;VLOOKUP(J126,Dominios!$A$2:$B$30,2,FALSE)</f>
        <v>david.rincon1975@ebrietas.co</v>
      </c>
      <c r="L126" s="13">
        <v>4</v>
      </c>
      <c r="M126">
        <f>VLOOKUP(L126,Celulares!$A$2:$B$30,2,FALSE)</f>
        <v>3115114909</v>
      </c>
    </row>
    <row r="127" spans="1:13" ht="15.75" customHeight="1" x14ac:dyDescent="0.25">
      <c r="A127" t="s">
        <v>2104</v>
      </c>
      <c r="B127" s="2" t="s">
        <v>492</v>
      </c>
      <c r="C127" s="2" t="s">
        <v>341</v>
      </c>
      <c r="D127" s="2" t="s">
        <v>676</v>
      </c>
      <c r="E127" s="2" t="s">
        <v>293</v>
      </c>
      <c r="F127" s="6">
        <v>31390</v>
      </c>
      <c r="G127" s="16">
        <f t="shared" ca="1" si="1"/>
        <v>35.589041095890408</v>
      </c>
      <c r="H127" s="2" t="s">
        <v>591</v>
      </c>
      <c r="I127" t="str" cm="1">
        <f t="array" ref="I127">ADAPTAR(B127)&amp;ADAPTAR(C127)&amp;"_"&amp;ADAPTAR(E127)&amp;F127</f>
        <v>jesusjuan_sanchez31390</v>
      </c>
      <c r="J127" s="13">
        <v>5</v>
      </c>
      <c r="K127" t="str" cm="1">
        <f t="array" ref="K127">ADAPTAR(B127)&amp;"."&amp;ADAPTAR(D127)&amp;YEAR(F127)&amp;"@"&amp;VLOOKUP(J127,Dominios!$A$2:$B$30,2,FALSE)</f>
        <v>jesus.rios1985@elsinsonte.co</v>
      </c>
      <c r="L127" s="13">
        <v>5</v>
      </c>
      <c r="M127">
        <f>VLOOKUP(L127,Celulares!$A$2:$B$30,2,FALSE)</f>
        <v>3115060130</v>
      </c>
    </row>
    <row r="128" spans="1:13" ht="15.75" customHeight="1" x14ac:dyDescent="0.25">
      <c r="A128" t="s">
        <v>2105</v>
      </c>
      <c r="B128" s="2" t="s">
        <v>655</v>
      </c>
      <c r="C128" s="2" t="s">
        <v>351</v>
      </c>
      <c r="D128" s="2" t="s">
        <v>677</v>
      </c>
      <c r="E128" s="2" t="s">
        <v>251</v>
      </c>
      <c r="F128" s="6">
        <v>23364</v>
      </c>
      <c r="G128" s="16">
        <f t="shared" ca="1" si="1"/>
        <v>57.578082191780823</v>
      </c>
      <c r="H128" s="2" t="s">
        <v>593</v>
      </c>
      <c r="I128" t="str" cm="1">
        <f t="array" ref="I128">ADAPTAR(B128)&amp;ADAPTAR(C128)&amp;"_"&amp;ADAPTAR(E128)&amp;F128</f>
        <v>rafaeljaime_aldana23364</v>
      </c>
      <c r="J128" s="13">
        <v>6</v>
      </c>
      <c r="K128" t="str" cm="1">
        <f t="array" ref="K128">ADAPTAR(B128)&amp;"."&amp;ADAPTAR(D128)&amp;YEAR(F128)&amp;"@"&amp;VLOOKUP(J128,Dominios!$A$2:$B$30,2,FALSE)</f>
        <v>rafael.sierra1963@enigmaserver.co</v>
      </c>
      <c r="L128" s="13">
        <v>6</v>
      </c>
      <c r="M128">
        <f>VLOOKUP(L128,Celulares!$A$2:$B$30,2,FALSE)</f>
        <v>3115060125</v>
      </c>
    </row>
    <row r="129" spans="1:13" ht="15.75" customHeight="1" x14ac:dyDescent="0.25">
      <c r="A129" t="s">
        <v>2106</v>
      </c>
      <c r="B129" s="2" t="s">
        <v>360</v>
      </c>
      <c r="C129" s="2" t="s">
        <v>353</v>
      </c>
      <c r="D129" s="2" t="s">
        <v>678</v>
      </c>
      <c r="E129" s="2" t="s">
        <v>153</v>
      </c>
      <c r="F129" s="6">
        <v>34468</v>
      </c>
      <c r="G129" s="16">
        <f t="shared" ca="1" si="1"/>
        <v>27.156164383561645</v>
      </c>
      <c r="H129" s="2" t="s">
        <v>609</v>
      </c>
      <c r="I129" t="str" cm="1">
        <f t="array" ref="I129">ADAPTAR(B129)&amp;ADAPTAR(C129)&amp;"_"&amp;ADAPTAR(E129)&amp;F129</f>
        <v>mauriciosantiago_vargas34468</v>
      </c>
      <c r="J129" s="13">
        <v>7</v>
      </c>
      <c r="K129" t="str" cm="1">
        <f t="array" ref="K129">ADAPTAR(B129)&amp;"."&amp;ADAPTAR(D129)&amp;YEAR(F129)&amp;"@"&amp;VLOOKUP(J129,Dominios!$A$2:$B$30,2,FALSE)</f>
        <v>mauricio.cruz1994@hocknas.co</v>
      </c>
      <c r="L129" s="13">
        <v>7</v>
      </c>
      <c r="M129">
        <f>VLOOKUP(L129,Celulares!$A$2:$B$30,2,FALSE)</f>
        <v>3115060110</v>
      </c>
    </row>
    <row r="130" spans="1:13" ht="15.75" customHeight="1" x14ac:dyDescent="0.25">
      <c r="A130" t="s">
        <v>2107</v>
      </c>
      <c r="B130" s="2" t="s">
        <v>656</v>
      </c>
      <c r="C130" s="2" t="s">
        <v>354</v>
      </c>
      <c r="D130" s="2" t="s">
        <v>679</v>
      </c>
      <c r="E130" s="2" t="s">
        <v>346</v>
      </c>
      <c r="F130" s="6">
        <v>31330</v>
      </c>
      <c r="G130" s="16">
        <f t="shared" ref="G130:G193" ca="1" si="2">(TODAY()-F130)/365</f>
        <v>35.753424657534246</v>
      </c>
      <c r="H130" s="2" t="s">
        <v>563</v>
      </c>
      <c r="I130" t="str" cm="1">
        <f t="array" ref="I130">ADAPTAR(B130)&amp;ADAPTAR(C130)&amp;"_"&amp;ADAPTAR(E130)&amp;F130</f>
        <v>angeldario_romero31330</v>
      </c>
      <c r="J130" s="13">
        <v>8</v>
      </c>
      <c r="K130" t="str" cm="1">
        <f t="array" ref="K130">ADAPTAR(B130)&amp;"."&amp;ADAPTAR(D130)&amp;YEAR(F130)&amp;"@"&amp;VLOOKUP(J130,Dominios!$A$2:$B$30,2,FALSE)</f>
        <v>angel.ospina1985@hostedoceri.co</v>
      </c>
      <c r="L130" s="13">
        <v>8</v>
      </c>
      <c r="M130">
        <f>VLOOKUP(L130,Celulares!$A$2:$B$30,2,FALSE)</f>
        <v>3115060091</v>
      </c>
    </row>
    <row r="131" spans="1:13" ht="15.75" customHeight="1" x14ac:dyDescent="0.25">
      <c r="A131" t="s">
        <v>2108</v>
      </c>
      <c r="B131" s="2" t="s">
        <v>657</v>
      </c>
      <c r="C131" s="2" t="s">
        <v>333</v>
      </c>
      <c r="D131" s="2" t="s">
        <v>680</v>
      </c>
      <c r="E131" s="2" t="s">
        <v>348</v>
      </c>
      <c r="F131" s="6">
        <v>27681</v>
      </c>
      <c r="G131" s="16">
        <f t="shared" ca="1" si="2"/>
        <v>45.750684931506846</v>
      </c>
      <c r="H131" s="2" t="s">
        <v>589</v>
      </c>
      <c r="I131" t="str" cm="1">
        <f t="array" ref="I131">ADAPTAR(B131)&amp;ADAPTAR(C131)&amp;"_"&amp;ADAPTAR(E131)&amp;F131</f>
        <v>pedroalejandro_zapata27681</v>
      </c>
      <c r="J131" s="13">
        <v>9</v>
      </c>
      <c r="K131" t="str" cm="1">
        <f t="array" ref="K131">ADAPTAR(B131)&amp;"."&amp;ADAPTAR(D131)&amp;YEAR(F131)&amp;"@"&amp;VLOOKUP(J131,Dominios!$A$2:$B$30,2,FALSE)</f>
        <v>pedro.garzon1975@libertas.com.co</v>
      </c>
      <c r="L131" s="13">
        <v>9</v>
      </c>
      <c r="M131">
        <f>VLOOKUP(L131,Celulares!$A$2:$B$30,2,FALSE)</f>
        <v>3115060080</v>
      </c>
    </row>
    <row r="132" spans="1:13" ht="15.75" customHeight="1" x14ac:dyDescent="0.25">
      <c r="A132" t="s">
        <v>2109</v>
      </c>
      <c r="B132" s="2" t="s">
        <v>369</v>
      </c>
      <c r="C132" s="2" t="s">
        <v>335</v>
      </c>
      <c r="D132" s="2" t="s">
        <v>100</v>
      </c>
      <c r="E132" s="2" t="s">
        <v>94</v>
      </c>
      <c r="F132" s="6">
        <v>25943</v>
      </c>
      <c r="G132" s="16">
        <f t="shared" ca="1" si="2"/>
        <v>50.512328767123286</v>
      </c>
      <c r="H132" s="2" t="s">
        <v>547</v>
      </c>
      <c r="I132" t="str" cm="1">
        <f t="array" ref="I132">ADAPTAR(B132)&amp;ADAPTAR(C132)&amp;"_"&amp;ADAPTAR(E132)&amp;F132</f>
        <v>pablosebastian_gonzalez25943</v>
      </c>
      <c r="J132" s="13">
        <v>10</v>
      </c>
      <c r="K132" t="str" cm="1">
        <f t="array" ref="K132">ADAPTAR(B132)&amp;"."&amp;ADAPTAR(D132)&amp;YEAR(F132)&amp;"@"&amp;VLOOKUP(J132,Dominios!$A$2:$B$30,2,FALSE)</f>
        <v>pablo.jaramillo1971@nascitur.com.co</v>
      </c>
      <c r="L132" s="13">
        <v>10</v>
      </c>
      <c r="M132">
        <f>VLOOKUP(L132,Celulares!$A$2:$B$30,2,FALSE)</f>
        <v>3115114385</v>
      </c>
    </row>
    <row r="133" spans="1:13" ht="15.75" customHeight="1" x14ac:dyDescent="0.25">
      <c r="A133" t="s">
        <v>2110</v>
      </c>
      <c r="B133" s="2" t="s">
        <v>359</v>
      </c>
      <c r="C133" s="2" t="s">
        <v>339</v>
      </c>
      <c r="D133" s="2" t="s">
        <v>681</v>
      </c>
      <c r="E133" s="2" t="s">
        <v>350</v>
      </c>
      <c r="F133" s="6">
        <v>33858</v>
      </c>
      <c r="G133" s="16">
        <f t="shared" ca="1" si="2"/>
        <v>28.827397260273973</v>
      </c>
      <c r="H133" s="2" t="s">
        <v>578</v>
      </c>
      <c r="I133" t="str" cm="1">
        <f t="array" ref="I133">ADAPTAR(B133)&amp;ADAPTAR(C133)&amp;"_"&amp;ADAPTAR(E133)&amp;F133</f>
        <v>sergiofernando_garces33858</v>
      </c>
      <c r="J133" s="13">
        <v>11</v>
      </c>
      <c r="K133" t="str" cm="1">
        <f t="array" ref="K133">ADAPTAR(B133)&amp;"."&amp;ADAPTAR(D133)&amp;YEAR(F133)&amp;"@"&amp;VLOOKUP(J133,Dominios!$A$2:$B$30,2,FALSE)</f>
        <v>sergio.reyes1992@nemesis.ml</v>
      </c>
      <c r="L133" s="13">
        <v>11</v>
      </c>
      <c r="M133">
        <f>VLOOKUP(L133,Celulares!$A$2:$B$30,2,FALSE)</f>
        <v>3115114360</v>
      </c>
    </row>
    <row r="134" spans="1:13" ht="15.75" customHeight="1" x14ac:dyDescent="0.25">
      <c r="A134" t="s">
        <v>2111</v>
      </c>
      <c r="B134" s="2" t="s">
        <v>658</v>
      </c>
      <c r="C134" s="2" t="s">
        <v>353</v>
      </c>
      <c r="D134" s="2" t="s">
        <v>682</v>
      </c>
      <c r="E134" s="2" t="s">
        <v>153</v>
      </c>
      <c r="F134" s="6">
        <v>26435</v>
      </c>
      <c r="G134" s="16">
        <f t="shared" ca="1" si="2"/>
        <v>49.164383561643838</v>
      </c>
      <c r="H134" s="2" t="s">
        <v>610</v>
      </c>
      <c r="I134" t="str" cm="1">
        <f t="array" ref="I134">ADAPTAR(B134)&amp;ADAPTAR(C134)&amp;"_"&amp;ADAPTAR(E134)&amp;F134</f>
        <v>adriansantiago_vargas26435</v>
      </c>
      <c r="J134" s="13">
        <v>12</v>
      </c>
      <c r="K134" t="str" cm="1">
        <f t="array" ref="K134">ADAPTAR(B134)&amp;"."&amp;ADAPTAR(D134)&amp;YEAR(F134)&amp;"@"&amp;VLOOKUP(J134,Dominios!$A$2:$B$30,2,FALSE)</f>
        <v>adrian.orozco1972@nunquam.com.co</v>
      </c>
      <c r="L134" s="13">
        <v>12</v>
      </c>
      <c r="M134">
        <f>VLOOKUP(L134,Celulares!$A$2:$B$30,2,FALSE)</f>
        <v>3115093653</v>
      </c>
    </row>
    <row r="135" spans="1:13" ht="15.75" customHeight="1" x14ac:dyDescent="0.25">
      <c r="A135" t="s">
        <v>2112</v>
      </c>
      <c r="B135" s="2" t="s">
        <v>394</v>
      </c>
      <c r="C135" s="2" t="s">
        <v>377</v>
      </c>
      <c r="D135" s="2" t="s">
        <v>683</v>
      </c>
      <c r="E135" s="2" t="s">
        <v>298</v>
      </c>
      <c r="F135" s="6">
        <v>31689</v>
      </c>
      <c r="G135" s="16">
        <f t="shared" ca="1" si="2"/>
        <v>34.769863013698632</v>
      </c>
      <c r="H135" s="2" t="s">
        <v>611</v>
      </c>
      <c r="I135" t="str" cm="1">
        <f t="array" ref="I135">ADAPTAR(B135)&amp;ADAPTAR(C135)&amp;"_"&amp;ADAPTAR(E135)&amp;F135</f>
        <v>diegolucio_jaimes31689</v>
      </c>
      <c r="J135" s="13">
        <v>13</v>
      </c>
      <c r="K135" t="str" cm="1">
        <f t="array" ref="K135">ADAPTAR(B135)&amp;"."&amp;ADAPTAR(D135)&amp;YEAR(F135)&amp;"@"&amp;VLOOKUP(J135,Dominios!$A$2:$B$30,2,FALSE)</f>
        <v>diego.agudelo1986@sempiternam.co</v>
      </c>
      <c r="L135" s="13">
        <v>13</v>
      </c>
      <c r="M135">
        <f>VLOOKUP(L135,Celulares!$A$2:$B$30,2,FALSE)</f>
        <v>3115093598</v>
      </c>
    </row>
    <row r="136" spans="1:13" ht="15.75" customHeight="1" x14ac:dyDescent="0.25">
      <c r="A136" t="s">
        <v>2113</v>
      </c>
      <c r="B136" s="2" t="s">
        <v>659</v>
      </c>
      <c r="C136" s="2" t="s">
        <v>669</v>
      </c>
      <c r="D136" s="2" t="s">
        <v>684</v>
      </c>
      <c r="E136" s="2" t="s">
        <v>355</v>
      </c>
      <c r="F136" s="6">
        <v>29530</v>
      </c>
      <c r="G136" s="16">
        <f t="shared" ca="1" si="2"/>
        <v>40.684931506849317</v>
      </c>
      <c r="H136" s="2" t="s">
        <v>597</v>
      </c>
      <c r="I136" t="str" cm="1">
        <f t="array" ref="I136">ADAPTAR(B136)&amp;ADAPTAR(C136)&amp;"_"&amp;ADAPTAR(E136)&amp;F136</f>
        <v>raulalfredo_cardenas29530</v>
      </c>
      <c r="J136" s="13">
        <v>14</v>
      </c>
      <c r="K136" t="str" cm="1">
        <f t="array" ref="K136">ADAPTAR(B136)&amp;"."&amp;ADAPTAR(D136)&amp;YEAR(F136)&amp;"@"&amp;VLOOKUP(J136,Dominios!$A$2:$B$30,2,FALSE)</f>
        <v>raul.mora1980@sk9.co</v>
      </c>
      <c r="L136" s="13">
        <v>14</v>
      </c>
      <c r="M136">
        <f>VLOOKUP(L136,Celulares!$A$2:$B$30,2,FALSE)</f>
        <v>3115093583</v>
      </c>
    </row>
    <row r="137" spans="1:13" ht="15.75" customHeight="1" x14ac:dyDescent="0.25">
      <c r="A137" t="s">
        <v>2114</v>
      </c>
      <c r="B137" s="2" t="s">
        <v>660</v>
      </c>
      <c r="C137" s="2" t="s">
        <v>664</v>
      </c>
      <c r="D137" s="2" t="s">
        <v>685</v>
      </c>
      <c r="E137" s="2" t="s">
        <v>368</v>
      </c>
      <c r="F137" s="6">
        <v>35977</v>
      </c>
      <c r="G137" s="16">
        <f t="shared" ca="1" si="2"/>
        <v>23.021917808219179</v>
      </c>
      <c r="H137" s="2" t="s">
        <v>612</v>
      </c>
      <c r="I137" t="str" cm="1">
        <f t="array" ref="I137">ADAPTAR(B137)&amp;ADAPTAR(C137)&amp;"_"&amp;ADAPTAR(E137)&amp;F137</f>
        <v>vicentesalvador_fonseca35977</v>
      </c>
      <c r="J137" s="13">
        <v>15</v>
      </c>
      <c r="K137" t="str" cm="1">
        <f t="array" ref="K137">ADAPTAR(B137)&amp;"."&amp;ADAPTAR(D137)&amp;YEAR(F137)&amp;"@"&amp;VLOOKUP(J137,Dominios!$A$2:$B$30,2,FALSE)</f>
        <v>vicente.beltran1998@socialmediacolombia.com.co</v>
      </c>
      <c r="L137" s="13">
        <v>15</v>
      </c>
      <c r="M137">
        <f>VLOOKUP(L137,Celulares!$A$2:$B$30,2,FALSE)</f>
        <v>3115092386</v>
      </c>
    </row>
    <row r="138" spans="1:13" ht="15.75" customHeight="1" x14ac:dyDescent="0.25">
      <c r="A138" t="s">
        <v>2115</v>
      </c>
      <c r="B138" s="2" t="s">
        <v>401</v>
      </c>
      <c r="C138" s="2" t="s">
        <v>371</v>
      </c>
      <c r="D138" s="2" t="s">
        <v>686</v>
      </c>
      <c r="E138" s="2" t="s">
        <v>346</v>
      </c>
      <c r="F138" s="6">
        <v>27468</v>
      </c>
      <c r="G138" s="16">
        <f t="shared" ca="1" si="2"/>
        <v>46.334246575342469</v>
      </c>
      <c r="H138" s="2" t="s">
        <v>588</v>
      </c>
      <c r="I138" t="str" cm="1">
        <f t="array" ref="I138">ADAPTAR(B138)&amp;ADAPTAR(C138)&amp;"_"&amp;ADAPTAR(E138)&amp;F138</f>
        <v>oscarjulio_romero27468</v>
      </c>
      <c r="J138" s="13">
        <v>16</v>
      </c>
      <c r="K138" t="str" cm="1">
        <f t="array" ref="K138">ADAPTAR(B138)&amp;"."&amp;ADAPTAR(D138)&amp;YEAR(F138)&amp;"@"&amp;VLOOKUP(J138,Dominios!$A$2:$B$30,2,FALSE)</f>
        <v>oscar.contreras1975@tecnicoensistemas.com.co</v>
      </c>
      <c r="L138" s="13">
        <v>16</v>
      </c>
      <c r="M138">
        <f>VLOOKUP(L138,Celulares!$A$2:$B$30,2,FALSE)</f>
        <v>3115092375</v>
      </c>
    </row>
    <row r="139" spans="1:13" ht="15.75" customHeight="1" x14ac:dyDescent="0.25">
      <c r="A139" t="s">
        <v>2116</v>
      </c>
      <c r="B139" s="2" t="s">
        <v>661</v>
      </c>
      <c r="C139" s="2" t="s">
        <v>488</v>
      </c>
      <c r="D139" s="2" t="s">
        <v>687</v>
      </c>
      <c r="E139" s="2" t="s">
        <v>443</v>
      </c>
      <c r="F139" s="6">
        <v>24611</v>
      </c>
      <c r="G139" s="16">
        <f t="shared" ca="1" si="2"/>
        <v>54.161643835616438</v>
      </c>
      <c r="H139" s="2" t="s">
        <v>571</v>
      </c>
      <c r="I139" t="str" cm="1">
        <f t="array" ref="I139">ADAPTAR(B139)&amp;ADAPTAR(C139)&amp;"_"&amp;ADAPTAR(E139)&amp;F139</f>
        <v>joaquinjulian_huertas24611</v>
      </c>
      <c r="J139" s="13">
        <v>17</v>
      </c>
      <c r="K139" t="str" cm="1">
        <f t="array" ref="K139">ADAPTAR(B139)&amp;"."&amp;ADAPTAR(D139)&amp;YEAR(F139)&amp;"@"&amp;VLOOKUP(J139,Dominios!$A$2:$B$30,2,FALSE)</f>
        <v>joaquin.leon1967@totum.com.co</v>
      </c>
      <c r="L139" s="13">
        <v>17</v>
      </c>
      <c r="M139">
        <f>VLOOKUP(L139,Celulares!$A$2:$B$30,2,FALSE)</f>
        <v>3115092369</v>
      </c>
    </row>
    <row r="140" spans="1:13" ht="15.75" customHeight="1" x14ac:dyDescent="0.25">
      <c r="A140" t="s">
        <v>2117</v>
      </c>
      <c r="B140" s="2" t="s">
        <v>413</v>
      </c>
      <c r="C140" s="2" t="s">
        <v>665</v>
      </c>
      <c r="D140" s="2" t="s">
        <v>688</v>
      </c>
      <c r="E140" s="2" t="s">
        <v>357</v>
      </c>
      <c r="F140" s="6">
        <v>27371</v>
      </c>
      <c r="G140" s="16">
        <f t="shared" ca="1" si="2"/>
        <v>46.6</v>
      </c>
      <c r="H140" s="2" t="s">
        <v>613</v>
      </c>
      <c r="I140" t="str" cm="1">
        <f t="array" ref="I140">ADAPTAR(B140)&amp;ADAPTAR(C140)&amp;"_"&amp;ADAPTAR(E140)&amp;F140</f>
        <v>eduardoagustin_villamil27371</v>
      </c>
      <c r="J140" s="13">
        <v>18</v>
      </c>
      <c r="K140" t="str" cm="1">
        <f t="array" ref="K140">ADAPTAR(B140)&amp;"."&amp;ADAPTAR(D140)&amp;YEAR(F140)&amp;"@"&amp;VLOOKUP(J140,Dominios!$A$2:$B$30,2,FALSE)</f>
        <v>eduardo.escobar1974@voipcolombia.co</v>
      </c>
      <c r="L140" s="13">
        <v>18</v>
      </c>
      <c r="M140">
        <f>VLOOKUP(L140,Celulares!$A$2:$B$30,2,FALSE)</f>
        <v>3115092360</v>
      </c>
    </row>
    <row r="141" spans="1:13" ht="15.75" customHeight="1" x14ac:dyDescent="0.25">
      <c r="A141" t="s">
        <v>2118</v>
      </c>
      <c r="B141" s="2" t="s">
        <v>507</v>
      </c>
      <c r="C141" s="2" t="s">
        <v>92</v>
      </c>
      <c r="D141" s="2" t="s">
        <v>689</v>
      </c>
      <c r="E141" s="2" t="s">
        <v>358</v>
      </c>
      <c r="F141" s="6">
        <v>26298</v>
      </c>
      <c r="G141" s="16">
        <f t="shared" ca="1" si="2"/>
        <v>49.539726027397258</v>
      </c>
      <c r="H141" s="2" t="s">
        <v>538</v>
      </c>
      <c r="I141" t="str" cm="1">
        <f t="array" ref="I141">ADAPTAR(B141)&amp;ADAPTAR(C141)&amp;"_"&amp;ADAPTAR(E141)&amp;F141</f>
        <v>victorfelix_calderon26298</v>
      </c>
      <c r="J141" s="13">
        <v>19</v>
      </c>
      <c r="K141" t="str" cm="1">
        <f t="array" ref="K141">ADAPTAR(B141)&amp;"."&amp;ADAPTAR(D141)&amp;YEAR(F141)&amp;"@"&amp;VLOOKUP(J141,Dominios!$A$2:$B$30,2,FALSE)</f>
        <v>victor.caicedo1971@vpncolombia.com.co</v>
      </c>
      <c r="L141" s="13">
        <v>19</v>
      </c>
      <c r="M141">
        <f>VLOOKUP(L141,Celulares!$A$2:$B$30,2,FALSE)</f>
        <v>3115092352</v>
      </c>
    </row>
    <row r="142" spans="1:13" ht="15.75" customHeight="1" x14ac:dyDescent="0.25">
      <c r="A142" t="s">
        <v>2119</v>
      </c>
      <c r="B142" s="2" t="s">
        <v>662</v>
      </c>
      <c r="C142" s="2" t="s">
        <v>666</v>
      </c>
      <c r="D142" s="2" t="s">
        <v>690</v>
      </c>
      <c r="E142" s="2" t="s">
        <v>183</v>
      </c>
      <c r="F142" s="6">
        <v>27635</v>
      </c>
      <c r="G142" s="16">
        <f t="shared" ca="1" si="2"/>
        <v>45.876712328767127</v>
      </c>
      <c r="H142" s="2" t="s">
        <v>540</v>
      </c>
      <c r="I142" t="str" cm="1">
        <f t="array" ref="I142">ADAPTAR(B142)&amp;ADAPTAR(C142)&amp;"_"&amp;ADAPTAR(E142)&amp;F142</f>
        <v>marioismael_forero27635</v>
      </c>
      <c r="J142" s="13">
        <v>0</v>
      </c>
      <c r="K142" t="str" cm="1">
        <f t="array" ref="K142">ADAPTAR(B142)&amp;"."&amp;ADAPTAR(D142)&amp;YEAR(F142)&amp;"@"&amp;VLOOKUP(J142,Dominios!$A$2:$B$30,2,FALSE)</f>
        <v>mario.castaneda1975@auribus.com.co</v>
      </c>
      <c r="L142" s="13">
        <v>0</v>
      </c>
      <c r="M142">
        <f>VLOOKUP(L142,Celulares!$A$2:$B$30,2,FALSE)</f>
        <v>3115114930</v>
      </c>
    </row>
    <row r="143" spans="1:13" ht="15.75" customHeight="1" x14ac:dyDescent="0.25">
      <c r="A143" t="s">
        <v>2120</v>
      </c>
      <c r="B143" s="2" t="s">
        <v>351</v>
      </c>
      <c r="C143" s="2" t="s">
        <v>667</v>
      </c>
      <c r="D143" s="2" t="s">
        <v>691</v>
      </c>
      <c r="E143" s="2" t="s">
        <v>361</v>
      </c>
      <c r="F143" s="6">
        <v>29749</v>
      </c>
      <c r="G143" s="16">
        <f t="shared" ca="1" si="2"/>
        <v>40.084931506849315</v>
      </c>
      <c r="H143" s="2" t="s">
        <v>530</v>
      </c>
      <c r="I143" t="str" cm="1">
        <f t="array" ref="I143">ADAPTAR(B143)&amp;ADAPTAR(C143)&amp;"_"&amp;ADAPTAR(E143)&amp;F143</f>
        <v>jaimecristian_chaparro29749</v>
      </c>
      <c r="J143" s="13">
        <v>1</v>
      </c>
      <c r="K143" t="str" cm="1">
        <f t="array" ref="K143">ADAPTAR(B143)&amp;"."&amp;ADAPTAR(D143)&amp;YEAR(F143)&amp;"@"&amp;VLOOKUP(J143,Dominios!$A$2:$B$30,2,FALSE)</f>
        <v>jaime.fernandez1981@colamus.co</v>
      </c>
      <c r="L143" s="13">
        <v>1</v>
      </c>
      <c r="M143">
        <f>VLOOKUP(L143,Celulares!$A$2:$B$30,2,FALSE)</f>
        <v>3115114916</v>
      </c>
    </row>
    <row r="144" spans="1:13" ht="15.75" customHeight="1" x14ac:dyDescent="0.25">
      <c r="A144" t="s">
        <v>2121</v>
      </c>
      <c r="B144" s="2" t="s">
        <v>663</v>
      </c>
      <c r="C144" s="2" t="s">
        <v>668</v>
      </c>
      <c r="D144" s="2" t="s">
        <v>692</v>
      </c>
      <c r="E144" s="2" t="s">
        <v>363</v>
      </c>
      <c r="F144" s="6">
        <v>27983</v>
      </c>
      <c r="G144" s="16">
        <f t="shared" ca="1" si="2"/>
        <v>44.923287671232877</v>
      </c>
      <c r="H144" s="2" t="s">
        <v>614</v>
      </c>
      <c r="I144" t="str" cm="1">
        <f t="array" ref="I144">ADAPTAR(B144)&amp;ADAPTAR(C144)&amp;"_"&amp;ADAPTAR(E144)&amp;F144</f>
        <v>ignaciohector_patino27983</v>
      </c>
      <c r="J144" s="13">
        <v>2</v>
      </c>
      <c r="K144" t="str" cm="1">
        <f t="array" ref="K144">ADAPTAR(B144)&amp;"."&amp;ADAPTAR(D144)&amp;YEAR(F144)&amp;"@"&amp;VLOOKUP(J144,Dominios!$A$2:$B$30,2,FALSE)</f>
        <v>ignacio.hurtado1976@colombiamail.co</v>
      </c>
      <c r="L144" s="13">
        <v>2</v>
      </c>
      <c r="M144">
        <f>VLOOKUP(L144,Celulares!$A$2:$B$30,2,FALSE)</f>
        <v>3115114911</v>
      </c>
    </row>
    <row r="145" spans="1:13" ht="15.75" customHeight="1" x14ac:dyDescent="0.25">
      <c r="A145" t="s">
        <v>2122</v>
      </c>
      <c r="B145" s="2" t="s">
        <v>498</v>
      </c>
      <c r="C145" s="2" t="s">
        <v>371</v>
      </c>
      <c r="D145" s="2" t="s">
        <v>693</v>
      </c>
      <c r="E145" s="2" t="s">
        <v>366</v>
      </c>
      <c r="F145" s="6">
        <v>27098</v>
      </c>
      <c r="G145" s="16">
        <f t="shared" ca="1" si="2"/>
        <v>47.347945205479455</v>
      </c>
      <c r="H145" s="2" t="s">
        <v>615</v>
      </c>
      <c r="I145" t="str" cm="1">
        <f t="array" ref="I145">ADAPTAR(B145)&amp;ADAPTAR(C145)&amp;"_"&amp;ADAPTAR(E145)&amp;F145</f>
        <v>alfonsojulio_montana27098</v>
      </c>
      <c r="J145" s="13">
        <v>3</v>
      </c>
      <c r="K145" t="str" cm="1">
        <f t="array" ref="K145">ADAPTAR(B145)&amp;"."&amp;ADAPTAR(D145)&amp;YEAR(F145)&amp;"@"&amp;VLOOKUP(J145,Dominios!$A$2:$B$30,2,FALSE)</f>
        <v>alfonso.delgado1974@diabunter.co</v>
      </c>
      <c r="L145" s="13">
        <v>3</v>
      </c>
      <c r="M145">
        <f>VLOOKUP(L145,Celulares!$A$2:$B$30,2,FALSE)</f>
        <v>3115114910</v>
      </c>
    </row>
    <row r="146" spans="1:13" ht="15.75" customHeight="1" x14ac:dyDescent="0.25">
      <c r="A146" t="s">
        <v>2123</v>
      </c>
      <c r="B146" s="2" t="s">
        <v>486</v>
      </c>
      <c r="C146" s="2" t="s">
        <v>424</v>
      </c>
      <c r="D146" s="2" t="s">
        <v>694</v>
      </c>
      <c r="E146" s="2" t="s">
        <v>117</v>
      </c>
      <c r="F146" s="6">
        <v>30665</v>
      </c>
      <c r="G146" s="16">
        <f t="shared" ca="1" si="2"/>
        <v>37.575342465753423</v>
      </c>
      <c r="H146" s="2" t="s">
        <v>1351</v>
      </c>
      <c r="I146" t="str" cm="1">
        <f t="array" ref="I146">ADAPTAR(B146)&amp;ADAPTAR(C146)&amp;"_"&amp;ADAPTAR(E146)&amp;F146</f>
        <v>ricardojesus_diaz30665</v>
      </c>
      <c r="J146" s="13">
        <v>4</v>
      </c>
      <c r="K146" t="str" cm="1">
        <f t="array" ref="K146">ADAPTAR(B146)&amp;"."&amp;ADAPTAR(D146)&amp;YEAR(F146)&amp;"@"&amp;VLOOKUP(J146,Dominios!$A$2:$B$30,2,FALSE)</f>
        <v>ricardo.silva1983@ebrietas.co</v>
      </c>
      <c r="L146" s="13">
        <v>4</v>
      </c>
      <c r="M146">
        <f>VLOOKUP(L146,Celulares!$A$2:$B$30,2,FALSE)</f>
        <v>3115114909</v>
      </c>
    </row>
    <row r="147" spans="1:13" ht="15.75" customHeight="1" x14ac:dyDescent="0.25">
      <c r="A147" t="s">
        <v>2124</v>
      </c>
      <c r="B147" s="2" t="s">
        <v>431</v>
      </c>
      <c r="C147" s="2" t="s">
        <v>498</v>
      </c>
      <c r="D147" s="2" t="s">
        <v>695</v>
      </c>
      <c r="E147" s="2" t="s">
        <v>369</v>
      </c>
      <c r="F147" s="6">
        <v>35968</v>
      </c>
      <c r="G147" s="16">
        <f t="shared" ca="1" si="2"/>
        <v>23.046575342465754</v>
      </c>
      <c r="H147" s="2" t="s">
        <v>534</v>
      </c>
      <c r="I147" t="str" cm="1">
        <f t="array" ref="I147">ADAPTAR(B147)&amp;ADAPTAR(C147)&amp;"_"&amp;ADAPTAR(E147)&amp;F147</f>
        <v>luisalfonso_pablo35968</v>
      </c>
      <c r="J147" s="13">
        <v>5</v>
      </c>
      <c r="K147" t="str" cm="1">
        <f t="array" ref="K147">ADAPTAR(B147)&amp;"."&amp;ADAPTAR(D147)&amp;YEAR(F147)&amp;"@"&amp;VLOOKUP(J147,Dominios!$A$2:$B$30,2,FALSE)</f>
        <v>luis.lozano1998@elsinsonte.co</v>
      </c>
      <c r="L147" s="13">
        <v>5</v>
      </c>
      <c r="M147">
        <f>VLOOKUP(L147,Celulares!$A$2:$B$30,2,FALSE)</f>
        <v>3115060130</v>
      </c>
    </row>
    <row r="148" spans="1:13" ht="15.75" customHeight="1" x14ac:dyDescent="0.25">
      <c r="A148" t="s">
        <v>2125</v>
      </c>
      <c r="B148" s="2" t="s">
        <v>330</v>
      </c>
      <c r="C148" s="2" t="s">
        <v>349</v>
      </c>
      <c r="D148" s="2" t="s">
        <v>696</v>
      </c>
      <c r="E148" s="2" t="s">
        <v>370</v>
      </c>
      <c r="F148" s="6">
        <v>36742</v>
      </c>
      <c r="G148" s="16">
        <f t="shared" ca="1" si="2"/>
        <v>20.926027397260274</v>
      </c>
      <c r="H148" s="2" t="s">
        <v>592</v>
      </c>
      <c r="I148" t="str" cm="1">
        <f t="array" ref="I148">ADAPTAR(B148)&amp;ADAPTAR(C148)&amp;"_"&amp;ADAPTAR(E148)&amp;F148</f>
        <v>andrescamilo_torres36742</v>
      </c>
      <c r="J148" s="13">
        <v>6</v>
      </c>
      <c r="K148" t="str" cm="1">
        <f t="array" ref="K148">ADAPTAR(B148)&amp;"."&amp;ADAPTAR(D148)&amp;YEAR(F148)&amp;"@"&amp;VLOOKUP(J148,Dominios!$A$2:$B$30,2,FALSE)</f>
        <v>andres.henao2000@enigmaserver.co</v>
      </c>
      <c r="L148" s="13">
        <v>6</v>
      </c>
      <c r="M148">
        <f>VLOOKUP(L148,Celulares!$A$2:$B$30,2,FALSE)</f>
        <v>3115060125</v>
      </c>
    </row>
    <row r="149" spans="1:13" ht="15.75" customHeight="1" x14ac:dyDescent="0.25">
      <c r="A149" t="s">
        <v>2126</v>
      </c>
      <c r="B149" s="2" t="s">
        <v>387</v>
      </c>
      <c r="C149" s="2" t="s">
        <v>353</v>
      </c>
      <c r="D149" s="2" t="s">
        <v>697</v>
      </c>
      <c r="E149" s="2" t="s">
        <v>464</v>
      </c>
      <c r="F149" s="6">
        <v>33876</v>
      </c>
      <c r="G149" s="16">
        <f t="shared" ca="1" si="2"/>
        <v>28.778082191780822</v>
      </c>
      <c r="H149" s="2" t="s">
        <v>536</v>
      </c>
      <c r="I149" t="str" cm="1">
        <f t="array" ref="I149">ADAPTAR(B149)&amp;ADAPTAR(C149)&amp;"_"&amp;ADAPTAR(E149)&amp;F149</f>
        <v>davidsantiago_galan33876</v>
      </c>
      <c r="J149" s="13">
        <v>7</v>
      </c>
      <c r="K149" t="str" cm="1">
        <f t="array" ref="K149">ADAPTAR(B149)&amp;"."&amp;ADAPTAR(D149)&amp;YEAR(F149)&amp;"@"&amp;VLOOKUP(J149,Dominios!$A$2:$B$30,2,FALSE)</f>
        <v>david.bedoya1992@hocknas.co</v>
      </c>
      <c r="L149" s="13">
        <v>7</v>
      </c>
      <c r="M149">
        <f>VLOOKUP(L149,Celulares!$A$2:$B$30,2,FALSE)</f>
        <v>3115060110</v>
      </c>
    </row>
    <row r="150" spans="1:13" ht="15.75" customHeight="1" x14ac:dyDescent="0.25">
      <c r="A150" t="s">
        <v>2127</v>
      </c>
      <c r="B150" s="2" t="s">
        <v>873</v>
      </c>
      <c r="C150" s="2" t="s">
        <v>439</v>
      </c>
      <c r="D150" s="2" t="s">
        <v>698</v>
      </c>
      <c r="E150" s="2" t="s">
        <v>465</v>
      </c>
      <c r="F150" s="6">
        <v>21828</v>
      </c>
      <c r="G150" s="16">
        <f t="shared" ca="1" si="2"/>
        <v>61.786301369863011</v>
      </c>
      <c r="H150" s="2" t="s">
        <v>552</v>
      </c>
      <c r="I150" t="str" cm="1">
        <f t="array" ref="I150">ADAPTAR(B150)&amp;ADAPTAR(C150)&amp;"_"&amp;ADAPTAR(E150)&amp;F150</f>
        <v>jorgeleonardo_hurtado21828</v>
      </c>
      <c r="J150" s="13">
        <v>8</v>
      </c>
      <c r="K150" t="str" cm="1">
        <f t="array" ref="K150">ADAPTAR(B150)&amp;"."&amp;ADAPTAR(D150)&amp;YEAR(F150)&amp;"@"&amp;VLOOKUP(J150,Dominios!$A$2:$B$30,2,FALSE)</f>
        <v>jorge.calderon1959@hostedoceri.co</v>
      </c>
      <c r="L150" s="13">
        <v>8</v>
      </c>
      <c r="M150">
        <f>VLOOKUP(L150,Celulares!$A$2:$B$30,2,FALSE)</f>
        <v>3115060091</v>
      </c>
    </row>
    <row r="151" spans="1:13" ht="15.75" customHeight="1" x14ac:dyDescent="0.25">
      <c r="A151" t="s">
        <v>2128</v>
      </c>
      <c r="B151" s="2" t="s">
        <v>371</v>
      </c>
      <c r="C151" s="2" t="s">
        <v>425</v>
      </c>
      <c r="D151" s="2" t="s">
        <v>699</v>
      </c>
      <c r="E151" s="2" t="s">
        <v>404</v>
      </c>
      <c r="F151" s="6">
        <v>29933</v>
      </c>
      <c r="G151" s="16">
        <f t="shared" ca="1" si="2"/>
        <v>39.580821917808223</v>
      </c>
      <c r="H151" s="2" t="s">
        <v>597</v>
      </c>
      <c r="I151" t="str" cm="1">
        <f t="array" ref="I151">ADAPTAR(B151)&amp;ADAPTAR(C151)&amp;"_"&amp;ADAPTAR(E151)&amp;F151</f>
        <v>juliocesar_zambrano29933</v>
      </c>
      <c r="J151" s="13">
        <v>9</v>
      </c>
      <c r="K151" t="str" cm="1">
        <f t="array" ref="K151">ADAPTAR(B151)&amp;"."&amp;ADAPTAR(D151)&amp;YEAR(F151)&amp;"@"&amp;VLOOKUP(J151,Dominios!$A$2:$B$30,2,FALSE)</f>
        <v>julio.murillo1981@libertas.com.co</v>
      </c>
      <c r="L151" s="13">
        <v>9</v>
      </c>
      <c r="M151">
        <f>VLOOKUP(L151,Celulares!$A$2:$B$30,2,FALSE)</f>
        <v>3115060080</v>
      </c>
    </row>
    <row r="152" spans="1:13" ht="15.75" customHeight="1" x14ac:dyDescent="0.25">
      <c r="A152" t="s">
        <v>2129</v>
      </c>
      <c r="B152" s="2" t="s">
        <v>341</v>
      </c>
      <c r="C152" s="2" t="s">
        <v>429</v>
      </c>
      <c r="D152" s="2" t="s">
        <v>700</v>
      </c>
      <c r="E152" s="2" t="s">
        <v>466</v>
      </c>
      <c r="F152" s="6">
        <v>23907</v>
      </c>
      <c r="G152" s="16">
        <f t="shared" ca="1" si="2"/>
        <v>56.090410958904108</v>
      </c>
      <c r="H152" s="2" t="s">
        <v>563</v>
      </c>
      <c r="I152" t="str" cm="1">
        <f t="array" ref="I152">ADAPTAR(B152)&amp;ADAPTAR(C152)&amp;"_"&amp;ADAPTAR(E152)&amp;F152</f>
        <v>juangabriel_acuna23907</v>
      </c>
      <c r="J152" s="13">
        <v>10</v>
      </c>
      <c r="K152" t="str" cm="1">
        <f t="array" ref="K152">ADAPTAR(B152)&amp;"."&amp;ADAPTAR(D152)&amp;YEAR(F152)&amp;"@"&amp;VLOOKUP(J152,Dominios!$A$2:$B$30,2,FALSE)</f>
        <v>juan.castano1965@nascitur.com.co</v>
      </c>
      <c r="L152" s="13">
        <v>10</v>
      </c>
      <c r="M152">
        <f>VLOOKUP(L152,Celulares!$A$2:$B$30,2,FALSE)</f>
        <v>3115114385</v>
      </c>
    </row>
    <row r="153" spans="1:13" ht="15.75" customHeight="1" x14ac:dyDescent="0.25">
      <c r="A153" t="s">
        <v>2130</v>
      </c>
      <c r="B153" s="2" t="s">
        <v>431</v>
      </c>
      <c r="C153" s="2" t="s">
        <v>880</v>
      </c>
      <c r="D153" s="2" t="s">
        <v>701</v>
      </c>
      <c r="E153" s="2" t="s">
        <v>117</v>
      </c>
      <c r="F153" s="6">
        <v>24714</v>
      </c>
      <c r="G153" s="16">
        <f t="shared" ca="1" si="2"/>
        <v>53.87945205479452</v>
      </c>
      <c r="H153" s="2" t="s">
        <v>595</v>
      </c>
      <c r="I153" t="str" cm="1">
        <f t="array" ref="I153">ADAPTAR(B153)&amp;ADAPTAR(C153)&amp;"_"&amp;ADAPTAR(E153)&amp;F153</f>
        <v>luismiguel_diaz24714</v>
      </c>
      <c r="J153" s="13">
        <v>11</v>
      </c>
      <c r="K153" t="str" cm="1">
        <f t="array" ref="K153">ADAPTAR(B153)&amp;"."&amp;ADAPTAR(D153)&amp;YEAR(F153)&amp;"@"&amp;VLOOKUP(J153,Dominios!$A$2:$B$30,2,FALSE)</f>
        <v>luis.vega1967@nemesis.ml</v>
      </c>
      <c r="L153" s="13">
        <v>11</v>
      </c>
      <c r="M153">
        <f>VLOOKUP(L153,Celulares!$A$2:$B$30,2,FALSE)</f>
        <v>3115114360</v>
      </c>
    </row>
    <row r="154" spans="1:13" ht="15.75" customHeight="1" x14ac:dyDescent="0.25">
      <c r="A154" t="s">
        <v>2131</v>
      </c>
      <c r="B154" s="2" t="s">
        <v>490</v>
      </c>
      <c r="C154" s="2" t="s">
        <v>397</v>
      </c>
      <c r="D154" s="2" t="s">
        <v>702</v>
      </c>
      <c r="E154" s="2" t="s">
        <v>273</v>
      </c>
      <c r="F154" s="6">
        <v>28399</v>
      </c>
      <c r="G154" s="16">
        <f t="shared" ca="1" si="2"/>
        <v>43.783561643835618</v>
      </c>
      <c r="H154" s="2" t="s">
        <v>1345</v>
      </c>
      <c r="I154" t="str" cm="1">
        <f t="array" ref="I154">ADAPTAR(B154)&amp;ADAPTAR(C154)&amp;"_"&amp;ADAPTAR(E154)&amp;F154</f>
        <v>fabianjose_hernandez28399</v>
      </c>
      <c r="J154" s="13">
        <v>12</v>
      </c>
      <c r="K154" t="str" cm="1">
        <f t="array" ref="K154">ADAPTAR(B154)&amp;"."&amp;ADAPTAR(D154)&amp;YEAR(F154)&amp;"@"&amp;VLOOKUP(J154,Dominios!$A$2:$B$30,2,FALSE)</f>
        <v>fabian.mendez1977@nunquam.com.co</v>
      </c>
      <c r="L154" s="13">
        <v>12</v>
      </c>
      <c r="M154">
        <f>VLOOKUP(L154,Celulares!$A$2:$B$30,2,FALSE)</f>
        <v>3115093653</v>
      </c>
    </row>
    <row r="155" spans="1:13" ht="15.75" customHeight="1" x14ac:dyDescent="0.25">
      <c r="A155" t="s">
        <v>2132</v>
      </c>
      <c r="B155" s="2" t="s">
        <v>483</v>
      </c>
      <c r="C155" s="2" t="s">
        <v>399</v>
      </c>
      <c r="D155" s="2" t="s">
        <v>703</v>
      </c>
      <c r="E155" s="2" t="s">
        <v>447</v>
      </c>
      <c r="F155" s="6">
        <v>21722</v>
      </c>
      <c r="G155" s="16">
        <f t="shared" ca="1" si="2"/>
        <v>62.076712328767123</v>
      </c>
      <c r="H155" s="2" t="s">
        <v>576</v>
      </c>
      <c r="I155" t="str" cm="1">
        <f t="array" ref="I155">ADAPTAR(B155)&amp;ADAPTAR(C155)&amp;"_"&amp;ADAPTAR(E155)&amp;F155</f>
        <v>josepedro_rincon21722</v>
      </c>
      <c r="J155" s="13">
        <v>13</v>
      </c>
      <c r="K155" t="str" cm="1">
        <f t="array" ref="K155">ADAPTAR(B155)&amp;"."&amp;ADAPTAR(D155)&amp;YEAR(F155)&amp;"@"&amp;VLOOKUP(J155,Dominios!$A$2:$B$30,2,FALSE)</f>
        <v>jose.avila1959@sempiternam.co</v>
      </c>
      <c r="L155" s="13">
        <v>13</v>
      </c>
      <c r="M155">
        <f>VLOOKUP(L155,Celulares!$A$2:$B$30,2,FALSE)</f>
        <v>3115093598</v>
      </c>
    </row>
    <row r="156" spans="1:13" ht="15.75" customHeight="1" x14ac:dyDescent="0.25">
      <c r="A156" t="s">
        <v>2133</v>
      </c>
      <c r="B156" s="2" t="s">
        <v>341</v>
      </c>
      <c r="C156" s="2" t="s">
        <v>387</v>
      </c>
      <c r="D156" s="2" t="s">
        <v>704</v>
      </c>
      <c r="E156" s="2" t="s">
        <v>411</v>
      </c>
      <c r="F156" s="6">
        <v>23967</v>
      </c>
      <c r="G156" s="16">
        <f t="shared" ca="1" si="2"/>
        <v>55.926027397260277</v>
      </c>
      <c r="H156" s="2" t="s">
        <v>574</v>
      </c>
      <c r="I156" t="str" cm="1">
        <f t="array" ref="I156">ADAPTAR(B156)&amp;ADAPTAR(C156)&amp;"_"&amp;ADAPTAR(E156)&amp;F156</f>
        <v>juandavid_abella23967</v>
      </c>
      <c r="J156" s="13">
        <v>14</v>
      </c>
      <c r="K156" t="str" cm="1">
        <f t="array" ref="K156">ADAPTAR(B156)&amp;"."&amp;ADAPTAR(D156)&amp;YEAR(F156)&amp;"@"&amp;VLOOKUP(J156,Dominios!$A$2:$B$30,2,FALSE)</f>
        <v>juan.patino1965@sk9.co</v>
      </c>
      <c r="L156" s="13">
        <v>14</v>
      </c>
      <c r="M156">
        <f>VLOOKUP(L156,Celulares!$A$2:$B$30,2,FALSE)</f>
        <v>3115093583</v>
      </c>
    </row>
    <row r="157" spans="1:13" ht="15.75" customHeight="1" x14ac:dyDescent="0.25">
      <c r="A157" t="s">
        <v>2134</v>
      </c>
      <c r="B157" s="2" t="s">
        <v>853</v>
      </c>
      <c r="C157" s="2" t="s">
        <v>881</v>
      </c>
      <c r="D157" s="2" t="s">
        <v>705</v>
      </c>
      <c r="E157" s="2" t="s">
        <v>467</v>
      </c>
      <c r="F157" s="6">
        <v>23092</v>
      </c>
      <c r="G157" s="16">
        <f t="shared" ca="1" si="2"/>
        <v>58.323287671232876</v>
      </c>
      <c r="H157" s="2" t="s">
        <v>1352</v>
      </c>
      <c r="I157" t="str" cm="1">
        <f t="array" ref="I157">ADAPTAR(B157)&amp;ADAPTAR(C157)&amp;"_"&amp;ADAPTAR(E157)&amp;F157</f>
        <v>johnfreddy_bustamante23092</v>
      </c>
      <c r="J157" s="13">
        <v>15</v>
      </c>
      <c r="K157" t="str" cm="1">
        <f t="array" ref="K157">ADAPTAR(B157)&amp;"."&amp;ADAPTAR(D157)&amp;YEAR(F157)&amp;"@"&amp;VLOOKUP(J157,Dominios!$A$2:$B$30,2,FALSE)</f>
        <v>john.cordoba1963@socialmediacolombia.com.co</v>
      </c>
      <c r="L157" s="13">
        <v>15</v>
      </c>
      <c r="M157">
        <f>VLOOKUP(L157,Celulares!$A$2:$B$30,2,FALSE)</f>
        <v>3115092386</v>
      </c>
    </row>
    <row r="158" spans="1:13" ht="15.75" customHeight="1" x14ac:dyDescent="0.25">
      <c r="A158" t="s">
        <v>2135</v>
      </c>
      <c r="B158" s="2" t="s">
        <v>401</v>
      </c>
      <c r="C158" s="2" t="s">
        <v>490</v>
      </c>
      <c r="D158" s="2" t="s">
        <v>706</v>
      </c>
      <c r="E158" s="2" t="s">
        <v>138</v>
      </c>
      <c r="F158" s="6">
        <v>31219</v>
      </c>
      <c r="G158" s="16">
        <f t="shared" ca="1" si="2"/>
        <v>36.057534246575344</v>
      </c>
      <c r="H158" s="2" t="s">
        <v>560</v>
      </c>
      <c r="I158" t="str" cm="1">
        <f t="array" ref="I158">ADAPTAR(B158)&amp;ADAPTAR(C158)&amp;"_"&amp;ADAPTAR(E158)&amp;F158</f>
        <v>oscarfabian_quintero31219</v>
      </c>
      <c r="J158" s="13">
        <v>16</v>
      </c>
      <c r="K158" t="str" cm="1">
        <f t="array" ref="K158">ADAPTAR(B158)&amp;"."&amp;ADAPTAR(D158)&amp;YEAR(F158)&amp;"@"&amp;VLOOKUP(J158,Dominios!$A$2:$B$30,2,FALSE)</f>
        <v>oscar.velez1985@tecnicoensistemas.com.co</v>
      </c>
      <c r="L158" s="13">
        <v>16</v>
      </c>
      <c r="M158">
        <f>VLOOKUP(L158,Celulares!$A$2:$B$30,2,FALSE)</f>
        <v>3115092375</v>
      </c>
    </row>
    <row r="159" spans="1:13" ht="15.75" customHeight="1" x14ac:dyDescent="0.25">
      <c r="A159" t="s">
        <v>2136</v>
      </c>
      <c r="B159" s="2" t="s">
        <v>483</v>
      </c>
      <c r="C159" s="2" t="s">
        <v>431</v>
      </c>
      <c r="D159" s="2" t="s">
        <v>707</v>
      </c>
      <c r="E159" s="2" t="s">
        <v>415</v>
      </c>
      <c r="F159" s="6">
        <v>26297</v>
      </c>
      <c r="G159" s="16">
        <f t="shared" ca="1" si="2"/>
        <v>49.542465753424658</v>
      </c>
      <c r="H159" s="2" t="s">
        <v>1353</v>
      </c>
      <c r="I159" t="str" cm="1">
        <f t="array" ref="I159">ADAPTAR(B159)&amp;ADAPTAR(C159)&amp;"_"&amp;ADAPTAR(E159)&amp;F159</f>
        <v>joseluis_pabon26297</v>
      </c>
      <c r="J159" s="13">
        <v>17</v>
      </c>
      <c r="K159" t="str" cm="1">
        <f t="array" ref="K159">ADAPTAR(B159)&amp;"."&amp;ADAPTAR(D159)&amp;YEAR(F159)&amp;"@"&amp;VLOOKUP(J159,Dominios!$A$2:$B$30,2,FALSE)</f>
        <v>jose.pineda1971@totum.com.co</v>
      </c>
      <c r="L159" s="13">
        <v>17</v>
      </c>
      <c r="M159">
        <f>VLOOKUP(L159,Celulares!$A$2:$B$30,2,FALSE)</f>
        <v>3115092369</v>
      </c>
    </row>
    <row r="160" spans="1:13" ht="15.75" customHeight="1" x14ac:dyDescent="0.25">
      <c r="A160" t="s">
        <v>2137</v>
      </c>
      <c r="B160" s="2" t="s">
        <v>656</v>
      </c>
      <c r="C160" s="2" t="s">
        <v>854</v>
      </c>
      <c r="D160" s="2" t="s">
        <v>708</v>
      </c>
      <c r="E160" s="2" t="s">
        <v>468</v>
      </c>
      <c r="F160" s="6">
        <v>25825</v>
      </c>
      <c r="G160" s="16">
        <f t="shared" ca="1" si="2"/>
        <v>50.835616438356162</v>
      </c>
      <c r="H160" s="2" t="s">
        <v>546</v>
      </c>
      <c r="I160" t="str" cm="1">
        <f t="array" ref="I160">ADAPTAR(B160)&amp;ADAPTAR(C160)&amp;"_"&amp;ADAPTAR(E160)&amp;F160</f>
        <v>angeljhoan_reina25825</v>
      </c>
      <c r="J160" s="13">
        <v>18</v>
      </c>
      <c r="K160" t="str" cm="1">
        <f t="array" ref="K160">ADAPTAR(B160)&amp;"."&amp;ADAPTAR(D160)&amp;YEAR(F160)&amp;"@"&amp;VLOOKUP(J160,Dominios!$A$2:$B$30,2,FALSE)</f>
        <v>angel.arango1970@voipcolombia.co</v>
      </c>
      <c r="L160" s="13">
        <v>18</v>
      </c>
      <c r="M160">
        <f>VLOOKUP(L160,Celulares!$A$2:$B$30,2,FALSE)</f>
        <v>3115092360</v>
      </c>
    </row>
    <row r="161" spans="1:13" ht="15.75" customHeight="1" x14ac:dyDescent="0.25">
      <c r="A161" t="s">
        <v>2138</v>
      </c>
      <c r="B161" s="2" t="s">
        <v>359</v>
      </c>
      <c r="C161" s="2" t="s">
        <v>855</v>
      </c>
      <c r="D161" s="2" t="s">
        <v>709</v>
      </c>
      <c r="E161" s="2" t="s">
        <v>89</v>
      </c>
      <c r="F161" s="6">
        <v>26304</v>
      </c>
      <c r="G161" s="16">
        <f t="shared" ca="1" si="2"/>
        <v>49.523287671232879</v>
      </c>
      <c r="H161" s="2" t="s">
        <v>1354</v>
      </c>
      <c r="I161" t="str" cm="1">
        <f t="array" ref="I161">ADAPTAR(B161)&amp;ADAPTAR(C161)&amp;"_"&amp;ADAPTAR(E161)&amp;F161</f>
        <v>sergiorodrigo_gomez26304</v>
      </c>
      <c r="J161" s="13">
        <v>19</v>
      </c>
      <c r="K161" t="str" cm="1">
        <f t="array" ref="K161">ADAPTAR(B161)&amp;"."&amp;ADAPTAR(D161)&amp;YEAR(F161)&amp;"@"&amp;VLOOKUP(J161,Dominios!$A$2:$B$30,2,FALSE)</f>
        <v>sergio.bernal1972@vpncolombia.com.co</v>
      </c>
      <c r="L161" s="13">
        <v>19</v>
      </c>
      <c r="M161">
        <f>VLOOKUP(L161,Celulares!$A$2:$B$30,2,FALSE)</f>
        <v>3115092352</v>
      </c>
    </row>
    <row r="162" spans="1:13" ht="15.75" customHeight="1" x14ac:dyDescent="0.25">
      <c r="A162" t="s">
        <v>2139</v>
      </c>
      <c r="B162" s="2" t="s">
        <v>345</v>
      </c>
      <c r="C162" s="2" t="s">
        <v>339</v>
      </c>
      <c r="D162" s="2" t="s">
        <v>710</v>
      </c>
      <c r="E162" s="2" t="s">
        <v>469</v>
      </c>
      <c r="F162" s="6">
        <v>29101</v>
      </c>
      <c r="G162" s="16">
        <f t="shared" ca="1" si="2"/>
        <v>41.860273972602741</v>
      </c>
      <c r="H162" s="2" t="s">
        <v>1355</v>
      </c>
      <c r="I162" t="str" cm="1">
        <f t="array" ref="I162">ADAPTAR(B162)&amp;ADAPTAR(C162)&amp;"_"&amp;ADAPTAR(E162)&amp;F162</f>
        <v>alvarofernando_heredia29101</v>
      </c>
      <c r="J162" s="13">
        <v>0</v>
      </c>
      <c r="K162" t="str" cm="1">
        <f t="array" ref="K162">ADAPTAR(B162)&amp;"."&amp;ADAPTAR(D162)&amp;YEAR(F162)&amp;"@"&amp;VLOOKUP(J162,Dominios!$A$2:$B$30,2,FALSE)</f>
        <v>alvaro.franco1979@auribus.com.co</v>
      </c>
      <c r="L162" s="13">
        <v>0</v>
      </c>
      <c r="M162">
        <f>VLOOKUP(L162,Celulares!$A$2:$B$30,2,FALSE)</f>
        <v>3115114930</v>
      </c>
    </row>
    <row r="163" spans="1:13" ht="15.75" customHeight="1" x14ac:dyDescent="0.25">
      <c r="A163" t="s">
        <v>2140</v>
      </c>
      <c r="B163" s="2" t="s">
        <v>359</v>
      </c>
      <c r="C163" s="2" t="s">
        <v>332</v>
      </c>
      <c r="D163" s="2" t="s">
        <v>711</v>
      </c>
      <c r="E163" s="2" t="s">
        <v>279</v>
      </c>
      <c r="F163" s="6">
        <v>25252</v>
      </c>
      <c r="G163" s="16">
        <f t="shared" ca="1" si="2"/>
        <v>52.405479452054792</v>
      </c>
      <c r="H163" s="2" t="s">
        <v>565</v>
      </c>
      <c r="I163" t="str" cm="1">
        <f t="array" ref="I163">ADAPTAR(B163)&amp;ADAPTAR(C163)&amp;"_"&amp;ADAPTAR(E163)&amp;F163</f>
        <v>sergiodaniel_nino25252</v>
      </c>
      <c r="J163" s="13">
        <v>1</v>
      </c>
      <c r="K163" t="str" cm="1">
        <f t="array" ref="K163">ADAPTAR(B163)&amp;"."&amp;ADAPTAR(D163)&amp;YEAR(F163)&amp;"@"&amp;VLOOKUP(J163,Dominios!$A$2:$B$30,2,FALSE)</f>
        <v>sergio.carvajal1969@colamus.co</v>
      </c>
      <c r="L163" s="13">
        <v>1</v>
      </c>
      <c r="M163">
        <f>VLOOKUP(L163,Celulares!$A$2:$B$30,2,FALSE)</f>
        <v>3115114916</v>
      </c>
    </row>
    <row r="164" spans="1:13" ht="15.75" customHeight="1" x14ac:dyDescent="0.25">
      <c r="A164" t="s">
        <v>2141</v>
      </c>
      <c r="B164" s="2" t="s">
        <v>369</v>
      </c>
      <c r="C164" s="2" t="s">
        <v>489</v>
      </c>
      <c r="D164" s="2" t="s">
        <v>259</v>
      </c>
      <c r="E164" s="2" t="s">
        <v>94</v>
      </c>
      <c r="F164" s="6">
        <v>37114</v>
      </c>
      <c r="G164" s="16">
        <f t="shared" ca="1" si="2"/>
        <v>19.906849315068492</v>
      </c>
      <c r="H164" s="2" t="s">
        <v>592</v>
      </c>
      <c r="I164" t="str" cm="1">
        <f t="array" ref="I164">ADAPTAR(B164)&amp;ADAPTAR(C164)&amp;"_"&amp;ADAPTAR(E164)&amp;F164</f>
        <v>pablodario_gonzalez37114</v>
      </c>
      <c r="J164" s="13">
        <v>2</v>
      </c>
      <c r="K164" t="str" cm="1">
        <f t="array" ref="K164">ADAPTAR(B164)&amp;"."&amp;ADAPTAR(D164)&amp;YEAR(F164)&amp;"@"&amp;VLOOKUP(J164,Dominios!$A$2:$B$30,2,FALSE)</f>
        <v>pablo.gil2001@colombiamail.co</v>
      </c>
      <c r="L164" s="13">
        <v>2</v>
      </c>
      <c r="M164">
        <f>VLOOKUP(L164,Celulares!$A$2:$B$30,2,FALSE)</f>
        <v>3115114911</v>
      </c>
    </row>
    <row r="165" spans="1:13" ht="15.75" customHeight="1" x14ac:dyDescent="0.25">
      <c r="A165" t="s">
        <v>2142</v>
      </c>
      <c r="B165" s="2" t="s">
        <v>341</v>
      </c>
      <c r="C165" s="2" t="s">
        <v>382</v>
      </c>
      <c r="D165" s="2" t="s">
        <v>712</v>
      </c>
      <c r="E165" s="2" t="s">
        <v>470</v>
      </c>
      <c r="F165" s="6">
        <v>23020</v>
      </c>
      <c r="G165" s="16">
        <f t="shared" ca="1" si="2"/>
        <v>58.520547945205479</v>
      </c>
      <c r="H165" s="2" t="s">
        <v>1356</v>
      </c>
      <c r="I165" t="str" cm="1">
        <f t="array" ref="I165">ADAPTAR(B165)&amp;ADAPTAR(C165)&amp;"_"&amp;ADAPTAR(E165)&amp;F165</f>
        <v>juanandres_ocampo23020</v>
      </c>
      <c r="J165" s="13">
        <v>3</v>
      </c>
      <c r="K165" t="str" cm="1">
        <f t="array" ref="K165">ADAPTAR(B165)&amp;"."&amp;ADAPTAR(D165)&amp;YEAR(F165)&amp;"@"&amp;VLOOKUP(J165,Dominios!$A$2:$B$30,2,FALSE)</f>
        <v>juan.padilla1963@diabunter.co</v>
      </c>
      <c r="L165" s="13">
        <v>3</v>
      </c>
      <c r="M165">
        <f>VLOOKUP(L165,Celulares!$A$2:$B$30,2,FALSE)</f>
        <v>3115114910</v>
      </c>
    </row>
    <row r="166" spans="1:13" ht="15.75" customHeight="1" x14ac:dyDescent="0.25">
      <c r="A166" t="s">
        <v>2143</v>
      </c>
      <c r="B166" s="2" t="s">
        <v>351</v>
      </c>
      <c r="C166" s="2" t="s">
        <v>856</v>
      </c>
      <c r="D166" s="2" t="s">
        <v>653</v>
      </c>
      <c r="E166" s="2" t="s">
        <v>471</v>
      </c>
      <c r="F166" s="6">
        <v>37457</v>
      </c>
      <c r="G166" s="16">
        <f t="shared" ca="1" si="2"/>
        <v>18.967123287671232</v>
      </c>
      <c r="H166" s="2" t="s">
        <v>1357</v>
      </c>
      <c r="I166" t="str" cm="1">
        <f t="array" ref="I166">ADAPTAR(B166)&amp;ADAPTAR(C166)&amp;"_"&amp;ADAPTAR(E166)&amp;F166</f>
        <v>jaimenicolas_fernandez37457</v>
      </c>
      <c r="J166" s="13">
        <v>4</v>
      </c>
      <c r="K166" t="str" cm="1">
        <f t="array" ref="K166">ADAPTAR(B166)&amp;"."&amp;ADAPTAR(D166)&amp;YEAR(F166)&amp;"@"&amp;VLOOKUP(J166,Dominios!$A$2:$B$30,2,FALSE)</f>
        <v>jaime.mendez2002@ebrietas.co</v>
      </c>
      <c r="L166" s="13">
        <v>4</v>
      </c>
      <c r="M166">
        <f>VLOOKUP(L166,Celulares!$A$2:$B$30,2,FALSE)</f>
        <v>3115114909</v>
      </c>
    </row>
    <row r="167" spans="1:13" ht="15.75" customHeight="1" x14ac:dyDescent="0.25">
      <c r="A167" t="s">
        <v>2144</v>
      </c>
      <c r="B167" s="2" t="s">
        <v>341</v>
      </c>
      <c r="C167" s="2" t="s">
        <v>413</v>
      </c>
      <c r="D167" s="2" t="s">
        <v>331</v>
      </c>
      <c r="E167" s="2" t="s">
        <v>472</v>
      </c>
      <c r="F167" s="6">
        <v>33446</v>
      </c>
      <c r="G167" s="16">
        <f t="shared" ca="1" si="2"/>
        <v>29.956164383561642</v>
      </c>
      <c r="H167" s="2" t="s">
        <v>566</v>
      </c>
      <c r="I167" t="str" cm="1">
        <f t="array" ref="I167">ADAPTAR(B167)&amp;ADAPTAR(C167)&amp;"_"&amp;ADAPTAR(E167)&amp;F167</f>
        <v>juaneduardo_espejo33446</v>
      </c>
      <c r="J167" s="13">
        <v>5</v>
      </c>
      <c r="K167" t="str" cm="1">
        <f t="array" ref="K167">ADAPTAR(B167)&amp;"."&amp;ADAPTAR(D167)&amp;YEAR(F167)&amp;"@"&amp;VLOOKUP(J167,Dominios!$A$2:$B$30,2,FALSE)</f>
        <v>juan.monroy1991@elsinsonte.co</v>
      </c>
      <c r="L167" s="13">
        <v>5</v>
      </c>
      <c r="M167">
        <f>VLOOKUP(L167,Celulares!$A$2:$B$30,2,FALSE)</f>
        <v>3115060130</v>
      </c>
    </row>
    <row r="168" spans="1:13" ht="15.75" customHeight="1" x14ac:dyDescent="0.25">
      <c r="A168" t="s">
        <v>2145</v>
      </c>
      <c r="B168" s="2" t="s">
        <v>391</v>
      </c>
      <c r="C168" s="2" t="s">
        <v>882</v>
      </c>
      <c r="D168" s="2" t="s">
        <v>55</v>
      </c>
      <c r="E168" s="2" t="s">
        <v>441</v>
      </c>
      <c r="F168" s="6">
        <v>35424</v>
      </c>
      <c r="G168" s="16">
        <f t="shared" ca="1" si="2"/>
        <v>24.536986301369861</v>
      </c>
      <c r="H168" s="2" t="s">
        <v>576</v>
      </c>
      <c r="I168" t="str" cm="1">
        <f t="array" ref="I168">ADAPTAR(B168)&amp;ADAPTAR(C168)&amp;"_"&amp;ADAPTAR(E168)&amp;F168</f>
        <v>cesaremailio_pinilla35424</v>
      </c>
      <c r="J168" s="13">
        <v>6</v>
      </c>
      <c r="K168" t="str" cm="1">
        <f t="array" ref="K168">ADAPTAR(B168)&amp;"."&amp;ADAPTAR(D168)&amp;YEAR(F168)&amp;"@"&amp;VLOOKUP(J168,Dominios!$A$2:$B$30,2,FALSE)</f>
        <v>cesar.rodriguez1996@enigmaserver.co</v>
      </c>
      <c r="L168" s="13">
        <v>6</v>
      </c>
      <c r="M168">
        <f>VLOOKUP(L168,Celulares!$A$2:$B$30,2,FALSE)</f>
        <v>3115060125</v>
      </c>
    </row>
    <row r="169" spans="1:13" ht="15.75" customHeight="1" x14ac:dyDescent="0.25">
      <c r="A169" t="s">
        <v>2146</v>
      </c>
      <c r="B169" s="2" t="s">
        <v>883</v>
      </c>
      <c r="C169" s="2" t="s">
        <v>356</v>
      </c>
      <c r="D169" s="2" t="s">
        <v>334</v>
      </c>
      <c r="E169" s="2" t="s">
        <v>473</v>
      </c>
      <c r="F169" s="6">
        <v>22725</v>
      </c>
      <c r="G169" s="16">
        <f t="shared" ca="1" si="2"/>
        <v>59.328767123287669</v>
      </c>
      <c r="H169" s="2" t="s">
        <v>549</v>
      </c>
      <c r="I169" t="str" cm="1">
        <f t="array" ref="I169">ADAPTAR(B169)&amp;ADAPTAR(C169)&amp;"_"&amp;ADAPTAR(E169)&amp;F169</f>
        <v>lucasgustavo_urrea22725</v>
      </c>
      <c r="J169" s="13">
        <v>7</v>
      </c>
      <c r="K169" t="str" cm="1">
        <f t="array" ref="K169">ADAPTAR(B169)&amp;"."&amp;ADAPTAR(D169)&amp;YEAR(F169)&amp;"@"&amp;VLOOKUP(J169,Dominios!$A$2:$B$30,2,FALSE)</f>
        <v>lucas.merizalde1962@hocknas.co</v>
      </c>
      <c r="L169" s="13">
        <v>7</v>
      </c>
      <c r="M169">
        <f>VLOOKUP(L169,Celulares!$A$2:$B$30,2,FALSE)</f>
        <v>3115060110</v>
      </c>
    </row>
    <row r="170" spans="1:13" ht="15.75" customHeight="1" x14ac:dyDescent="0.25">
      <c r="A170" t="s">
        <v>2147</v>
      </c>
      <c r="B170" s="2" t="s">
        <v>886</v>
      </c>
      <c r="C170" s="2" t="s">
        <v>335</v>
      </c>
      <c r="D170" s="2" t="s">
        <v>127</v>
      </c>
      <c r="E170" s="2" t="s">
        <v>474</v>
      </c>
      <c r="F170" s="6">
        <v>33445</v>
      </c>
      <c r="G170" s="16">
        <f t="shared" ca="1" si="2"/>
        <v>29.958904109589042</v>
      </c>
      <c r="H170" s="2" t="s">
        <v>1233</v>
      </c>
      <c r="I170" t="str" cm="1">
        <f t="array" ref="I170">ADAPTAR(B170)&amp;ADAPTAR(C170)&amp;"_"&amp;ADAPTAR(E170)&amp;F170</f>
        <v>hugosebastian_villa33445</v>
      </c>
      <c r="J170" s="13">
        <v>8</v>
      </c>
      <c r="K170" t="str" cm="1">
        <f t="array" ref="K170">ADAPTAR(B170)&amp;"."&amp;ADAPTAR(D170)&amp;YEAR(F170)&amp;"@"&amp;VLOOKUP(J170,Dominios!$A$2:$B$30,2,FALSE)</f>
        <v>hugo.torres1991@hostedoceri.co</v>
      </c>
      <c r="L170" s="13">
        <v>8</v>
      </c>
      <c r="M170">
        <f>VLOOKUP(L170,Celulares!$A$2:$B$30,2,FALSE)</f>
        <v>3115060091</v>
      </c>
    </row>
    <row r="171" spans="1:13" ht="15.75" customHeight="1" x14ac:dyDescent="0.25">
      <c r="A171" t="s">
        <v>2148</v>
      </c>
      <c r="B171" s="2" t="s">
        <v>884</v>
      </c>
      <c r="C171" s="2" t="s">
        <v>885</v>
      </c>
      <c r="D171" s="2" t="s">
        <v>337</v>
      </c>
      <c r="E171" s="2" t="s">
        <v>428</v>
      </c>
      <c r="F171" s="6">
        <v>21684</v>
      </c>
      <c r="G171" s="16">
        <f t="shared" ca="1" si="2"/>
        <v>62.180821917808217</v>
      </c>
      <c r="H171" s="2" t="s">
        <v>588</v>
      </c>
      <c r="I171" t="str" cm="1">
        <f t="array" ref="I171">ADAPTAR(B171)&amp;ADAPTAR(C171)&amp;"_"&amp;ADAPTAR(E171)&amp;F171</f>
        <v>joseramon_molina21684</v>
      </c>
      <c r="J171" s="13">
        <v>9</v>
      </c>
      <c r="K171" t="str" cm="1">
        <f t="array" ref="K171">ADAPTAR(B171)&amp;"."&amp;ADAPTAR(D171)&amp;YEAR(F171)&amp;"@"&amp;VLOOKUP(J171,Dominios!$A$2:$B$30,2,FALSE)</f>
        <v>jose.sanchez1959@libertas.com.co</v>
      </c>
      <c r="L171" s="13">
        <v>9</v>
      </c>
      <c r="M171">
        <f>VLOOKUP(L171,Celulares!$A$2:$B$30,2,FALSE)</f>
        <v>3115060080</v>
      </c>
    </row>
    <row r="172" spans="1:13" ht="15.75" customHeight="1" x14ac:dyDescent="0.25">
      <c r="A172" t="s">
        <v>2149</v>
      </c>
      <c r="B172" s="2" t="s">
        <v>646</v>
      </c>
      <c r="C172" s="2" t="s">
        <v>654</v>
      </c>
      <c r="D172" s="2" t="s">
        <v>340</v>
      </c>
      <c r="E172" s="2" t="s">
        <v>286</v>
      </c>
      <c r="F172" s="6">
        <v>31949</v>
      </c>
      <c r="G172" s="16">
        <f t="shared" ca="1" si="2"/>
        <v>34.057534246575344</v>
      </c>
      <c r="H172" s="2" t="s">
        <v>921</v>
      </c>
      <c r="I172" t="str" cm="1">
        <f t="array" ref="I172">ADAPTAR(B172)&amp;ADAPTAR(C172)&amp;"_"&amp;ADAPTAR(E172)&amp;F172</f>
        <v>juanfrancisco_correa31949</v>
      </c>
      <c r="J172" s="13">
        <v>10</v>
      </c>
      <c r="K172" t="str" cm="1">
        <f t="array" ref="K172">ADAPTAR(B172)&amp;"."&amp;ADAPTAR(D172)&amp;YEAR(F172)&amp;"@"&amp;VLOOKUP(J172,Dominios!$A$2:$B$30,2,FALSE)</f>
        <v>juan.porras1987@nascitur.com.co</v>
      </c>
      <c r="L172" s="13">
        <v>10</v>
      </c>
      <c r="M172">
        <f>VLOOKUP(L172,Celulares!$A$2:$B$30,2,FALSE)</f>
        <v>3115114385</v>
      </c>
    </row>
    <row r="173" spans="1:13" ht="15.75" customHeight="1" x14ac:dyDescent="0.25">
      <c r="A173" t="s">
        <v>2150</v>
      </c>
      <c r="B173" s="2" t="s">
        <v>887</v>
      </c>
      <c r="C173" s="2" t="s">
        <v>481</v>
      </c>
      <c r="D173" s="2" t="s">
        <v>293</v>
      </c>
      <c r="E173" s="2" t="s">
        <v>110</v>
      </c>
      <c r="F173" s="6">
        <v>28354</v>
      </c>
      <c r="G173" s="16">
        <f t="shared" ca="1" si="2"/>
        <v>43.906849315068492</v>
      </c>
      <c r="H173" s="2" t="s">
        <v>1358</v>
      </c>
      <c r="I173" t="str" cm="1">
        <f t="array" ref="I173">ADAPTAR(B173)&amp;ADAPTAR(C173)&amp;"_"&amp;ADAPTAR(E173)&amp;F173</f>
        <v>josephmanuel_contreras28354</v>
      </c>
      <c r="J173" s="13">
        <v>11</v>
      </c>
      <c r="K173" t="str" cm="1">
        <f t="array" ref="K173">ADAPTAR(B173)&amp;"."&amp;ADAPTAR(D173)&amp;YEAR(F173)&amp;"@"&amp;VLOOKUP(J173,Dominios!$A$2:$B$30,2,FALSE)</f>
        <v>joseph.sanchez1977@nemesis.ml</v>
      </c>
      <c r="L173" s="13">
        <v>11</v>
      </c>
      <c r="M173">
        <f>VLOOKUP(L173,Celulares!$A$2:$B$30,2,FALSE)</f>
        <v>3115114360</v>
      </c>
    </row>
    <row r="174" spans="1:13" ht="15.75" customHeight="1" x14ac:dyDescent="0.25">
      <c r="A174" t="s">
        <v>2151</v>
      </c>
      <c r="B174" s="2" t="s">
        <v>341</v>
      </c>
      <c r="C174" s="2" t="s">
        <v>888</v>
      </c>
      <c r="D174" s="2" t="s">
        <v>837</v>
      </c>
      <c r="E174" s="2" t="s">
        <v>47</v>
      </c>
      <c r="F174" s="6">
        <v>34443</v>
      </c>
      <c r="G174" s="16">
        <f t="shared" ca="1" si="2"/>
        <v>27.224657534246575</v>
      </c>
      <c r="H174" s="2" t="s">
        <v>615</v>
      </c>
      <c r="I174" t="str" cm="1">
        <f t="array" ref="I174">ADAPTAR(B174)&amp;ADAPTAR(C174)&amp;"_"&amp;ADAPTAR(E174)&amp;F174</f>
        <v>juangregorio_gomez34443</v>
      </c>
      <c r="J174" s="13">
        <v>12</v>
      </c>
      <c r="K174" t="str" cm="1">
        <f t="array" ref="K174">ADAPTAR(B174)&amp;"."&amp;ADAPTAR(D174)&amp;YEAR(F174)&amp;"@"&amp;VLOOKUP(J174,Dominios!$A$2:$B$30,2,FALSE)</f>
        <v>juan.sanchez1994@nunquam.com.co</v>
      </c>
      <c r="L174" s="13">
        <v>12</v>
      </c>
      <c r="M174">
        <f>VLOOKUP(L174,Celulares!$A$2:$B$30,2,FALSE)</f>
        <v>3115093653</v>
      </c>
    </row>
    <row r="175" spans="1:13" ht="15.75" customHeight="1" x14ac:dyDescent="0.25">
      <c r="A175" t="s">
        <v>2152</v>
      </c>
      <c r="B175" s="2" t="s">
        <v>857</v>
      </c>
      <c r="C175" s="2" t="s">
        <v>382</v>
      </c>
      <c r="D175" s="2" t="s">
        <v>792</v>
      </c>
      <c r="E175" s="2" t="s">
        <v>54</v>
      </c>
      <c r="F175" s="6">
        <v>24034</v>
      </c>
      <c r="G175" s="16">
        <f t="shared" ca="1" si="2"/>
        <v>55.742465753424661</v>
      </c>
      <c r="H175" s="2" t="s">
        <v>578</v>
      </c>
      <c r="I175" t="str" cm="1">
        <f t="array" ref="I175">ADAPTAR(B175)&amp;ADAPTAR(C175)&amp;"_"&amp;ADAPTAR(E175)&amp;F175</f>
        <v>williamandres_martinez24034</v>
      </c>
      <c r="J175" s="13">
        <v>13</v>
      </c>
      <c r="K175" t="str" cm="1">
        <f t="array" ref="K175">ADAPTAR(B175)&amp;"."&amp;ADAPTAR(D175)&amp;YEAR(F175)&amp;"@"&amp;VLOOKUP(J175,Dominios!$A$2:$B$30,2,FALSE)</f>
        <v>william.blanco1965@sempiternam.co</v>
      </c>
      <c r="L175" s="13">
        <v>13</v>
      </c>
      <c r="M175">
        <f>VLOOKUP(L175,Celulares!$A$2:$B$30,2,FALSE)</f>
        <v>3115093598</v>
      </c>
    </row>
    <row r="176" spans="1:13" ht="15.75" customHeight="1" x14ac:dyDescent="0.25">
      <c r="A176" t="s">
        <v>2153</v>
      </c>
      <c r="B176" s="2" t="s">
        <v>858</v>
      </c>
      <c r="C176" s="2" t="s">
        <v>889</v>
      </c>
      <c r="D176" s="2" t="s">
        <v>822</v>
      </c>
      <c r="E176" s="2" t="s">
        <v>522</v>
      </c>
      <c r="F176" s="6">
        <v>22472</v>
      </c>
      <c r="G176" s="16">
        <f t="shared" ca="1" si="2"/>
        <v>60.021917808219179</v>
      </c>
      <c r="H176" s="2" t="s">
        <v>614</v>
      </c>
      <c r="I176" t="str" cm="1">
        <f t="array" ref="I176">ADAPTAR(B176)&amp;ADAPTAR(C176)&amp;"_"&amp;ADAPTAR(E176)&amp;F176</f>
        <v>sigifredoalonso_bonilla22472</v>
      </c>
      <c r="J176" s="13">
        <v>14</v>
      </c>
      <c r="K176" t="str" cm="1">
        <f t="array" ref="K176">ADAPTAR(B176)&amp;"."&amp;ADAPTAR(D176)&amp;YEAR(F176)&amp;"@"&amp;VLOOKUP(J176,Dominios!$A$2:$B$30,2,FALSE)</f>
        <v>sigifredo.monsalve1961@sk9.co</v>
      </c>
      <c r="L176" s="13">
        <v>14</v>
      </c>
      <c r="M176">
        <f>VLOOKUP(L176,Celulares!$A$2:$B$30,2,FALSE)</f>
        <v>3115093583</v>
      </c>
    </row>
    <row r="177" spans="1:13" ht="15.75" customHeight="1" x14ac:dyDescent="0.25">
      <c r="A177" t="s">
        <v>2154</v>
      </c>
      <c r="B177" s="2" t="s">
        <v>859</v>
      </c>
      <c r="C177" s="2" t="s">
        <v>446</v>
      </c>
      <c r="D177" s="2" t="s">
        <v>762</v>
      </c>
      <c r="E177" s="2" t="s">
        <v>688</v>
      </c>
      <c r="F177" s="6">
        <v>33147</v>
      </c>
      <c r="G177" s="16">
        <f t="shared" ca="1" si="2"/>
        <v>30.775342465753425</v>
      </c>
      <c r="H177" s="2" t="s">
        <v>585</v>
      </c>
      <c r="I177" t="str" cm="1">
        <f t="array" ref="I177">ADAPTAR(B177)&amp;ADAPTAR(C177)&amp;"_"&amp;ADAPTAR(E177)&amp;F177</f>
        <v>haroldfelipe_escobar33147</v>
      </c>
      <c r="J177" s="13">
        <v>15</v>
      </c>
      <c r="K177" t="str" cm="1">
        <f t="array" ref="K177">ADAPTAR(B177)&amp;"."&amp;ADAPTAR(D177)&amp;YEAR(F177)&amp;"@"&amp;VLOOKUP(J177,Dominios!$A$2:$B$30,2,FALSE)</f>
        <v>harold.restrepo1990@socialmediacolombia.com.co</v>
      </c>
      <c r="L177" s="13">
        <v>15</v>
      </c>
      <c r="M177">
        <f>VLOOKUP(L177,Celulares!$A$2:$B$30,2,FALSE)</f>
        <v>3115092386</v>
      </c>
    </row>
    <row r="178" spans="1:13" ht="15.75" customHeight="1" x14ac:dyDescent="0.25">
      <c r="A178" t="s">
        <v>2155</v>
      </c>
      <c r="B178" s="2" t="s">
        <v>860</v>
      </c>
      <c r="C178" s="2" t="s">
        <v>479</v>
      </c>
      <c r="D178" s="2" t="s">
        <v>685</v>
      </c>
      <c r="E178" s="2" t="s">
        <v>771</v>
      </c>
      <c r="F178" s="6">
        <v>30167</v>
      </c>
      <c r="G178" s="16">
        <f t="shared" ca="1" si="2"/>
        <v>38.939726027397263</v>
      </c>
      <c r="H178" s="2" t="s">
        <v>577</v>
      </c>
      <c r="I178" t="str" cm="1">
        <f t="array" ref="I178">ADAPTAR(B178)&amp;ADAPTAR(C178)&amp;"_"&amp;ADAPTAR(E178)&amp;F178</f>
        <v>edgarguillermo_mosquera30167</v>
      </c>
      <c r="J178" s="13">
        <v>16</v>
      </c>
      <c r="K178" t="str" cm="1">
        <f t="array" ref="K178">ADAPTAR(B178)&amp;"."&amp;ADAPTAR(D178)&amp;YEAR(F178)&amp;"@"&amp;VLOOKUP(J178,Dominios!$A$2:$B$30,2,FALSE)</f>
        <v>edgar.beltran1982@tecnicoensistemas.com.co</v>
      </c>
      <c r="L178" s="13">
        <v>16</v>
      </c>
      <c r="M178">
        <f>VLOOKUP(L178,Celulares!$A$2:$B$30,2,FALSE)</f>
        <v>3115092375</v>
      </c>
    </row>
    <row r="179" spans="1:13" ht="15.75" customHeight="1" x14ac:dyDescent="0.25">
      <c r="A179" t="s">
        <v>2156</v>
      </c>
      <c r="B179" s="2" t="s">
        <v>341</v>
      </c>
      <c r="C179" s="2" t="s">
        <v>888</v>
      </c>
      <c r="D179" s="2" t="s">
        <v>707</v>
      </c>
      <c r="E179" s="2" t="s">
        <v>840</v>
      </c>
      <c r="F179" s="6">
        <v>28799</v>
      </c>
      <c r="G179" s="16">
        <f t="shared" ca="1" si="2"/>
        <v>42.68767123287671</v>
      </c>
      <c r="H179" s="2" t="s">
        <v>581</v>
      </c>
      <c r="I179" t="str" cm="1">
        <f t="array" ref="I179">ADAPTAR(B179)&amp;ADAPTAR(C179)&amp;"_"&amp;ADAPTAR(E179)&amp;F179</f>
        <v>juangregorio_duque28799</v>
      </c>
      <c r="J179" s="13">
        <v>17</v>
      </c>
      <c r="K179" t="str" cm="1">
        <f t="array" ref="K179">ADAPTAR(B179)&amp;"."&amp;ADAPTAR(D179)&amp;YEAR(F179)&amp;"@"&amp;VLOOKUP(J179,Dominios!$A$2:$B$30,2,FALSE)</f>
        <v>juan.pineda1978@totum.com.co</v>
      </c>
      <c r="L179" s="13">
        <v>17</v>
      </c>
      <c r="M179">
        <f>VLOOKUP(L179,Celulares!$A$2:$B$30,2,FALSE)</f>
        <v>3115092369</v>
      </c>
    </row>
    <row r="180" spans="1:13" ht="15.75" customHeight="1" x14ac:dyDescent="0.25">
      <c r="A180" t="s">
        <v>2157</v>
      </c>
      <c r="B180" s="2" t="s">
        <v>341</v>
      </c>
      <c r="C180" s="2" t="s">
        <v>890</v>
      </c>
      <c r="D180" s="2" t="s">
        <v>714</v>
      </c>
      <c r="E180" s="2" t="s">
        <v>787</v>
      </c>
      <c r="F180" s="6">
        <v>37086</v>
      </c>
      <c r="G180" s="16">
        <f t="shared" ca="1" si="2"/>
        <v>19.983561643835618</v>
      </c>
      <c r="H180" s="2" t="s">
        <v>572</v>
      </c>
      <c r="I180" t="str" cm="1">
        <f t="array" ref="I180">ADAPTAR(B180)&amp;ADAPTAR(C180)&amp;"_"&amp;ADAPTAR(E180)&amp;F180</f>
        <v>juanaldemar_duran37086</v>
      </c>
      <c r="J180" s="13">
        <v>18</v>
      </c>
      <c r="K180" t="str" cm="1">
        <f t="array" ref="K180">ADAPTAR(B180)&amp;"."&amp;ADAPTAR(D180)&amp;YEAR(F180)&amp;"@"&amp;VLOOKUP(J180,Dominios!$A$2:$B$30,2,FALSE)</f>
        <v>juan.diaz2001@voipcolombia.co</v>
      </c>
      <c r="L180" s="13">
        <v>18</v>
      </c>
      <c r="M180">
        <f>VLOOKUP(L180,Celulares!$A$2:$B$30,2,FALSE)</f>
        <v>3115092360</v>
      </c>
    </row>
    <row r="181" spans="1:13" ht="15.75" customHeight="1" x14ac:dyDescent="0.25">
      <c r="A181" t="s">
        <v>2158</v>
      </c>
      <c r="B181" s="2" t="s">
        <v>662</v>
      </c>
      <c r="C181" s="2" t="s">
        <v>503</v>
      </c>
      <c r="D181" s="2" t="s">
        <v>730</v>
      </c>
      <c r="E181" s="2" t="s">
        <v>761</v>
      </c>
      <c r="F181" s="6">
        <v>35680</v>
      </c>
      <c r="G181" s="16">
        <f t="shared" ca="1" si="2"/>
        <v>23.835616438356166</v>
      </c>
      <c r="H181" s="2" t="s">
        <v>546</v>
      </c>
      <c r="I181" t="str" cm="1">
        <f t="array" ref="I181">ADAPTAR(B181)&amp;ADAPTAR(C181)&amp;"_"&amp;ADAPTAR(E181)&amp;F181</f>
        <v>marioernesto_montoya35680</v>
      </c>
      <c r="J181" s="13">
        <v>19</v>
      </c>
      <c r="K181" t="str" cm="1">
        <f t="array" ref="K181">ADAPTAR(B181)&amp;"."&amp;ADAPTAR(D181)&amp;YEAR(F181)&amp;"@"&amp;VLOOKUP(J181,Dominios!$A$2:$B$30,2,FALSE)</f>
        <v>mario.perez1997@vpncolombia.com.co</v>
      </c>
      <c r="L181" s="13">
        <v>19</v>
      </c>
      <c r="M181">
        <f>VLOOKUP(L181,Celulares!$A$2:$B$30,2,FALSE)</f>
        <v>3115092352</v>
      </c>
    </row>
    <row r="182" spans="1:13" ht="15.75" customHeight="1" x14ac:dyDescent="0.25">
      <c r="A182" t="s">
        <v>2159</v>
      </c>
      <c r="B182" s="2" t="s">
        <v>382</v>
      </c>
      <c r="C182" s="2" t="s">
        <v>891</v>
      </c>
      <c r="D182" s="2" t="s">
        <v>475</v>
      </c>
      <c r="E182" s="2" t="s">
        <v>809</v>
      </c>
      <c r="F182" s="6">
        <v>34359</v>
      </c>
      <c r="G182" s="16">
        <f t="shared" ca="1" si="2"/>
        <v>27.454794520547946</v>
      </c>
      <c r="H182" s="2" t="s">
        <v>568</v>
      </c>
      <c r="I182" t="str" cm="1">
        <f t="array" ref="I182">ADAPTAR(B182)&amp;ADAPTAR(C182)&amp;"_"&amp;ADAPTAR(E182)&amp;F182</f>
        <v>andresbernardo_ardila34359</v>
      </c>
      <c r="J182" s="13">
        <v>0</v>
      </c>
      <c r="K182" t="str" cm="1">
        <f t="array" ref="K182">ADAPTAR(B182)&amp;"."&amp;ADAPTAR(D182)&amp;YEAR(F182)&amp;"@"&amp;VLOOKUP(J182,Dominios!$A$2:$B$30,2,FALSE)</f>
        <v>andres.caicedo1994@auribus.com.co</v>
      </c>
      <c r="L182" s="13">
        <v>0</v>
      </c>
      <c r="M182">
        <f>VLOOKUP(L182,Celulares!$A$2:$B$30,2,FALSE)</f>
        <v>3115114930</v>
      </c>
    </row>
    <row r="183" spans="1:13" ht="15.75" customHeight="1" x14ac:dyDescent="0.25">
      <c r="A183" t="s">
        <v>2160</v>
      </c>
      <c r="B183" s="2" t="s">
        <v>342</v>
      </c>
      <c r="C183" s="2" t="s">
        <v>371</v>
      </c>
      <c r="D183" s="2" t="s">
        <v>776</v>
      </c>
      <c r="E183" s="2" t="s">
        <v>741</v>
      </c>
      <c r="F183" s="6">
        <v>32940</v>
      </c>
      <c r="G183" s="16">
        <f t="shared" ca="1" si="2"/>
        <v>31.342465753424658</v>
      </c>
      <c r="H183" s="2" t="s">
        <v>1359</v>
      </c>
      <c r="I183" t="str" cm="1">
        <f t="array" ref="I183">ADAPTAR(B183)&amp;ADAPTAR(C183)&amp;"_"&amp;ADAPTAR(E183)&amp;F183</f>
        <v>carlosjulio_caro32940</v>
      </c>
      <c r="J183" s="13">
        <v>1</v>
      </c>
      <c r="K183" t="str" cm="1">
        <f t="array" ref="K183">ADAPTAR(B183)&amp;"."&amp;ADAPTAR(D183)&amp;YEAR(F183)&amp;"@"&amp;VLOOKUP(J183,Dominios!$A$2:$B$30,2,FALSE)</f>
        <v>carlos.cifuentes1990@colamus.co</v>
      </c>
      <c r="L183" s="13">
        <v>1</v>
      </c>
      <c r="M183">
        <f>VLOOKUP(L183,Celulares!$A$2:$B$30,2,FALSE)</f>
        <v>3115114916</v>
      </c>
    </row>
    <row r="184" spans="1:13" ht="15.75" customHeight="1" x14ac:dyDescent="0.25">
      <c r="A184" t="s">
        <v>2161</v>
      </c>
      <c r="B184" s="2" t="s">
        <v>382</v>
      </c>
      <c r="C184" s="2" t="s">
        <v>360</v>
      </c>
      <c r="D184" s="2" t="s">
        <v>813</v>
      </c>
      <c r="E184" s="2" t="s">
        <v>805</v>
      </c>
      <c r="F184" s="6">
        <v>34163</v>
      </c>
      <c r="G184" s="16">
        <f t="shared" ca="1" si="2"/>
        <v>27.991780821917807</v>
      </c>
      <c r="H184" s="2" t="s">
        <v>563</v>
      </c>
      <c r="I184" t="str" cm="1">
        <f t="array" ref="I184">ADAPTAR(B184)&amp;ADAPTAR(C184)&amp;"_"&amp;ADAPTAR(E184)&amp;F184</f>
        <v>andresmauricio_narvaez34163</v>
      </c>
      <c r="J184" s="13">
        <v>2</v>
      </c>
      <c r="K184" t="str" cm="1">
        <f t="array" ref="K184">ADAPTAR(B184)&amp;"."&amp;ADAPTAR(D184)&amp;YEAR(F184)&amp;"@"&amp;VLOOKUP(J184,Dominios!$A$2:$B$30,2,FALSE)</f>
        <v>andres.galindo1993@colombiamail.co</v>
      </c>
      <c r="L184" s="13">
        <v>2</v>
      </c>
      <c r="M184">
        <f>VLOOKUP(L184,Celulares!$A$2:$B$30,2,FALSE)</f>
        <v>3115114911</v>
      </c>
    </row>
    <row r="185" spans="1:13" ht="15.75" customHeight="1" x14ac:dyDescent="0.25">
      <c r="A185" t="s">
        <v>2162</v>
      </c>
      <c r="B185" s="2" t="s">
        <v>371</v>
      </c>
      <c r="C185" s="2" t="s">
        <v>335</v>
      </c>
      <c r="D185" s="2" t="s">
        <v>476</v>
      </c>
      <c r="E185" s="2" t="s">
        <v>739</v>
      </c>
      <c r="F185" s="6">
        <v>29086</v>
      </c>
      <c r="G185" s="16">
        <f t="shared" ca="1" si="2"/>
        <v>41.901369863013699</v>
      </c>
      <c r="H185" s="2" t="s">
        <v>1360</v>
      </c>
      <c r="I185" t="str" cm="1">
        <f t="array" ref="I185">ADAPTAR(B185)&amp;ADAPTAR(C185)&amp;"_"&amp;ADAPTAR(E185)&amp;F185</f>
        <v>juliosebastian_becerra29086</v>
      </c>
      <c r="J185" s="13">
        <v>3</v>
      </c>
      <c r="K185" t="str" cm="1">
        <f t="array" ref="K185">ADAPTAR(B185)&amp;"."&amp;ADAPTAR(D185)&amp;YEAR(F185)&amp;"@"&amp;VLOOKUP(J185,Dominios!$A$2:$B$30,2,FALSE)</f>
        <v>julio.prieto1979@diabunter.co</v>
      </c>
      <c r="L185" s="13">
        <v>3</v>
      </c>
      <c r="M185">
        <f>VLOOKUP(L185,Celulares!$A$2:$B$30,2,FALSE)</f>
        <v>3115114910</v>
      </c>
    </row>
    <row r="186" spans="1:13" ht="15.75" customHeight="1" x14ac:dyDescent="0.25">
      <c r="A186" t="s">
        <v>2163</v>
      </c>
      <c r="B186" s="2" t="s">
        <v>424</v>
      </c>
      <c r="C186" s="2" t="s">
        <v>335</v>
      </c>
      <c r="D186" s="2" t="s">
        <v>729</v>
      </c>
      <c r="E186" s="2" t="s">
        <v>698</v>
      </c>
      <c r="F186" s="6">
        <v>20503</v>
      </c>
      <c r="G186" s="16">
        <f t="shared" ca="1" si="2"/>
        <v>65.416438356164377</v>
      </c>
      <c r="H186" s="2" t="s">
        <v>530</v>
      </c>
      <c r="I186" t="str" cm="1">
        <f t="array" ref="I186">ADAPTAR(B186)&amp;ADAPTAR(C186)&amp;"_"&amp;ADAPTAR(E186)&amp;F186</f>
        <v>jesussebastian_calderon20503</v>
      </c>
      <c r="J186" s="13">
        <v>4</v>
      </c>
      <c r="K186" t="str" cm="1">
        <f t="array" ref="K186">ADAPTAR(B186)&amp;"."&amp;ADAPTAR(D186)&amp;YEAR(F186)&amp;"@"&amp;VLOOKUP(J186,Dominios!$A$2:$B$30,2,FALSE)</f>
        <v>jesus.fonseca1956@ebrietas.co</v>
      </c>
      <c r="L186" s="13">
        <v>4</v>
      </c>
      <c r="M186">
        <f>VLOOKUP(L186,Celulares!$A$2:$B$30,2,FALSE)</f>
        <v>3115114909</v>
      </c>
    </row>
    <row r="187" spans="1:13" ht="15.75" customHeight="1" x14ac:dyDescent="0.25">
      <c r="A187" t="s">
        <v>2164</v>
      </c>
      <c r="B187" s="2" t="s">
        <v>892</v>
      </c>
      <c r="C187" s="2" t="s">
        <v>349</v>
      </c>
      <c r="D187" s="2" t="s">
        <v>744</v>
      </c>
      <c r="E187" s="2" t="s">
        <v>841</v>
      </c>
      <c r="F187" s="6">
        <v>36519</v>
      </c>
      <c r="G187" s="16">
        <f t="shared" ca="1" si="2"/>
        <v>21.536986301369861</v>
      </c>
      <c r="H187" s="2" t="s">
        <v>1361</v>
      </c>
      <c r="I187" t="str" cm="1">
        <f t="array" ref="I187">ADAPTAR(B187)&amp;ADAPTAR(C187)&amp;"_"&amp;ADAPTAR(E187)&amp;F187</f>
        <v>paulcamilo_galvis36519</v>
      </c>
      <c r="J187" s="13">
        <v>5</v>
      </c>
      <c r="K187" t="str" cm="1">
        <f t="array" ref="K187">ADAPTAR(B187)&amp;"."&amp;ADAPTAR(D187)&amp;YEAR(F187)&amp;"@"&amp;VLOOKUP(J187,Dominios!$A$2:$B$30,2,FALSE)</f>
        <v>paul.pacheco1999@elsinsonte.co</v>
      </c>
      <c r="L187" s="13">
        <v>5</v>
      </c>
      <c r="M187">
        <f>VLOOKUP(L187,Celulares!$A$2:$B$30,2,FALSE)</f>
        <v>3115060130</v>
      </c>
    </row>
    <row r="188" spans="1:13" ht="15.75" customHeight="1" x14ac:dyDescent="0.25">
      <c r="A188" t="s">
        <v>2165</v>
      </c>
      <c r="B188" s="2" t="s">
        <v>391</v>
      </c>
      <c r="C188" s="2" t="s">
        <v>349</v>
      </c>
      <c r="D188" s="2" t="s">
        <v>244</v>
      </c>
      <c r="E188" s="2" t="s">
        <v>699</v>
      </c>
      <c r="F188" s="6">
        <v>33238</v>
      </c>
      <c r="G188" s="16">
        <f t="shared" ca="1" si="2"/>
        <v>30.526027397260275</v>
      </c>
      <c r="H188" s="2" t="s">
        <v>1347</v>
      </c>
      <c r="I188" t="str" cm="1">
        <f t="array" ref="I188">ADAPTAR(B188)&amp;ADAPTAR(C188)&amp;"_"&amp;ADAPTAR(E188)&amp;F188</f>
        <v>cesarcamilo_murillo33238</v>
      </c>
      <c r="J188" s="13">
        <v>6</v>
      </c>
      <c r="K188" t="str" cm="1">
        <f t="array" ref="K188">ADAPTAR(B188)&amp;"."&amp;ADAPTAR(D188)&amp;YEAR(F188)&amp;"@"&amp;VLOOKUP(J188,Dominios!$A$2:$B$30,2,FALSE)</f>
        <v>cesar.correa1990@enigmaserver.co</v>
      </c>
      <c r="L188" s="13">
        <v>6</v>
      </c>
      <c r="M188">
        <f>VLOOKUP(L188,Celulares!$A$2:$B$30,2,FALSE)</f>
        <v>3115060125</v>
      </c>
    </row>
    <row r="189" spans="1:13" ht="15.75" customHeight="1" x14ac:dyDescent="0.25">
      <c r="A189" t="s">
        <v>2166</v>
      </c>
      <c r="B189" s="2" t="s">
        <v>353</v>
      </c>
      <c r="C189" s="2" t="s">
        <v>382</v>
      </c>
      <c r="D189" s="2" t="s">
        <v>681</v>
      </c>
      <c r="E189" s="2" t="s">
        <v>837</v>
      </c>
      <c r="F189" s="6">
        <v>30470</v>
      </c>
      <c r="G189" s="16">
        <f t="shared" ca="1" si="2"/>
        <v>38.109589041095887</v>
      </c>
      <c r="H189" s="2" t="s">
        <v>609</v>
      </c>
      <c r="I189" t="str" cm="1">
        <f t="array" ref="I189">ADAPTAR(B189)&amp;ADAPTAR(C189)&amp;"_"&amp;ADAPTAR(E189)&amp;F189</f>
        <v>santiagoandres_sanchez30470</v>
      </c>
      <c r="J189" s="13">
        <v>7</v>
      </c>
      <c r="K189" t="str" cm="1">
        <f t="array" ref="K189">ADAPTAR(B189)&amp;"."&amp;ADAPTAR(D189)&amp;YEAR(F189)&amp;"@"&amp;VLOOKUP(J189,Dominios!$A$2:$B$30,2,FALSE)</f>
        <v>santiago.reyes1983@hocknas.co</v>
      </c>
      <c r="L189" s="13">
        <v>7</v>
      </c>
      <c r="M189">
        <f>VLOOKUP(L189,Celulares!$A$2:$B$30,2,FALSE)</f>
        <v>3115060110</v>
      </c>
    </row>
    <row r="190" spans="1:13" ht="15.75" customHeight="1" x14ac:dyDescent="0.25">
      <c r="A190" t="s">
        <v>2167</v>
      </c>
      <c r="B190" s="2" t="s">
        <v>439</v>
      </c>
      <c r="C190" s="2" t="s">
        <v>861</v>
      </c>
      <c r="D190" s="2" t="s">
        <v>672</v>
      </c>
      <c r="E190" s="2" t="s">
        <v>818</v>
      </c>
      <c r="F190" s="6">
        <v>28240</v>
      </c>
      <c r="G190" s="16">
        <f t="shared" ca="1" si="2"/>
        <v>44.219178082191782</v>
      </c>
      <c r="H190" s="2" t="s">
        <v>547</v>
      </c>
      <c r="I190" t="str" cm="1">
        <f t="array" ref="I190">ADAPTAR(B190)&amp;ADAPTAR(C190)&amp;"_"&amp;ADAPTAR(E190)&amp;F190</f>
        <v>leonardojoaquin_castano28240</v>
      </c>
      <c r="J190" s="13">
        <v>8</v>
      </c>
      <c r="K190" t="str" cm="1">
        <f t="array" ref="K190">ADAPTAR(B190)&amp;"."&amp;ADAPTAR(D190)&amp;YEAR(F190)&amp;"@"&amp;VLOOKUP(J190,Dominios!$A$2:$B$30,2,FALSE)</f>
        <v>leonardo.londono1977@hostedoceri.co</v>
      </c>
      <c r="L190" s="13">
        <v>8</v>
      </c>
      <c r="M190">
        <f>VLOOKUP(L190,Celulares!$A$2:$B$30,2,FALSE)</f>
        <v>3115060091</v>
      </c>
    </row>
    <row r="191" spans="1:13" ht="15.75" customHeight="1" x14ac:dyDescent="0.25">
      <c r="A191" t="s">
        <v>2168</v>
      </c>
      <c r="B191" s="2" t="s">
        <v>425</v>
      </c>
      <c r="C191" s="2" t="s">
        <v>446</v>
      </c>
      <c r="D191" s="2" t="s">
        <v>720</v>
      </c>
      <c r="E191" s="2" t="s">
        <v>756</v>
      </c>
      <c r="F191" s="6">
        <v>21625</v>
      </c>
      <c r="G191" s="16">
        <f t="shared" ca="1" si="2"/>
        <v>62.342465753424655</v>
      </c>
      <c r="H191" s="2" t="s">
        <v>558</v>
      </c>
      <c r="I191" t="str" cm="1">
        <f t="array" ref="I191">ADAPTAR(B191)&amp;ADAPTAR(C191)&amp;"_"&amp;ADAPTAR(E191)&amp;F191</f>
        <v>cesarfelipe_perdomo21625</v>
      </c>
      <c r="J191" s="13">
        <v>9</v>
      </c>
      <c r="K191" t="str" cm="1">
        <f t="array" ref="K191">ADAPTAR(B191)&amp;"."&amp;ADAPTAR(D191)&amp;YEAR(F191)&amp;"@"&amp;VLOOKUP(J191,Dominios!$A$2:$B$30,2,FALSE)</f>
        <v>cesar.herrera1959@libertas.com.co</v>
      </c>
      <c r="L191" s="13">
        <v>9</v>
      </c>
      <c r="M191">
        <f>VLOOKUP(L191,Celulares!$A$2:$B$30,2,FALSE)</f>
        <v>3115060080</v>
      </c>
    </row>
    <row r="192" spans="1:13" ht="15.75" customHeight="1" x14ac:dyDescent="0.25">
      <c r="A192" t="s">
        <v>2169</v>
      </c>
      <c r="B192" s="2" t="s">
        <v>429</v>
      </c>
      <c r="C192" s="2" t="s">
        <v>382</v>
      </c>
      <c r="D192" s="2" t="s">
        <v>843</v>
      </c>
      <c r="E192" s="2" t="s">
        <v>719</v>
      </c>
      <c r="F192" s="6">
        <v>31377</v>
      </c>
      <c r="G192" s="16">
        <f t="shared" ca="1" si="2"/>
        <v>35.624657534246573</v>
      </c>
      <c r="H192" s="2" t="s">
        <v>559</v>
      </c>
      <c r="I192" t="str" cm="1">
        <f t="array" ref="I192">ADAPTAR(B192)&amp;ADAPTAR(C192)&amp;"_"&amp;ADAPTAR(E192)&amp;F192</f>
        <v>gabrielandres_suarez31377</v>
      </c>
      <c r="J192" s="13">
        <v>10</v>
      </c>
      <c r="K192" t="str" cm="1">
        <f t="array" ref="K192">ADAPTAR(B192)&amp;"."&amp;ADAPTAR(D192)&amp;YEAR(F192)&amp;"@"&amp;VLOOKUP(J192,Dominios!$A$2:$B$30,2,FALSE)</f>
        <v>gabriel.velasco1985@nascitur.com.co</v>
      </c>
      <c r="L192" s="13">
        <v>10</v>
      </c>
      <c r="M192">
        <f>VLOOKUP(L192,Celulares!$A$2:$B$30,2,FALSE)</f>
        <v>3115114385</v>
      </c>
    </row>
    <row r="193" spans="1:13" ht="15.75" customHeight="1" x14ac:dyDescent="0.25">
      <c r="A193" t="s">
        <v>2170</v>
      </c>
      <c r="B193" s="2" t="s">
        <v>431</v>
      </c>
      <c r="C193" s="2" t="s">
        <v>379</v>
      </c>
      <c r="D193" s="2" t="s">
        <v>679</v>
      </c>
      <c r="E193" s="2" t="s">
        <v>764</v>
      </c>
      <c r="F193" s="6">
        <v>30964</v>
      </c>
      <c r="G193" s="16">
        <f t="shared" ca="1" si="2"/>
        <v>36.756164383561647</v>
      </c>
      <c r="H193" s="2" t="s">
        <v>557</v>
      </c>
      <c r="I193" t="str" cm="1">
        <f t="array" ref="I193">ADAPTAR(B193)&amp;ADAPTAR(C193)&amp;"_"&amp;ADAPTAR(E193)&amp;F193</f>
        <v>luisjairo_sandoval30964</v>
      </c>
      <c r="J193" s="13">
        <v>11</v>
      </c>
      <c r="K193" t="str" cm="1">
        <f t="array" ref="K193">ADAPTAR(B193)&amp;"."&amp;ADAPTAR(D193)&amp;YEAR(F193)&amp;"@"&amp;VLOOKUP(J193,Dominios!$A$2:$B$30,2,FALSE)</f>
        <v>luis.ospina1984@nemesis.ml</v>
      </c>
      <c r="L193" s="13">
        <v>11</v>
      </c>
      <c r="M193">
        <f>VLOOKUP(L193,Celulares!$A$2:$B$30,2,FALSE)</f>
        <v>3115114360</v>
      </c>
    </row>
    <row r="194" spans="1:13" ht="15.75" customHeight="1" x14ac:dyDescent="0.25">
      <c r="A194" t="s">
        <v>2171</v>
      </c>
      <c r="B194" s="2" t="s">
        <v>397</v>
      </c>
      <c r="C194" s="2" t="s">
        <v>862</v>
      </c>
      <c r="D194" s="2" t="s">
        <v>791</v>
      </c>
      <c r="E194" s="2" t="s">
        <v>717</v>
      </c>
      <c r="F194" s="6">
        <v>31768</v>
      </c>
      <c r="G194" s="16">
        <f t="shared" ref="G194:G257" ca="1" si="3">(TODAY()-F194)/365</f>
        <v>34.553424657534244</v>
      </c>
      <c r="H194" s="2" t="s">
        <v>607</v>
      </c>
      <c r="I194" t="str" cm="1">
        <f t="array" ref="I194">ADAPTAR(B194)&amp;ADAPTAR(C194)&amp;"_"&amp;ADAPTAR(E194)&amp;F194</f>
        <v>josejacinto_vasquez31768</v>
      </c>
      <c r="J194" s="13">
        <v>12</v>
      </c>
      <c r="K194" t="str" cm="1">
        <f t="array" ref="K194">ADAPTAR(B194)&amp;"."&amp;ADAPTAR(D194)&amp;YEAR(F194)&amp;"@"&amp;VLOOKUP(J194,Dominios!$A$2:$B$30,2,FALSE)</f>
        <v>jose.gomez1986@nunquam.com.co</v>
      </c>
      <c r="L194" s="13">
        <v>12</v>
      </c>
      <c r="M194">
        <f>VLOOKUP(L194,Celulares!$A$2:$B$30,2,FALSE)</f>
        <v>3115093653</v>
      </c>
    </row>
    <row r="195" spans="1:13" ht="15.75" customHeight="1" x14ac:dyDescent="0.25">
      <c r="A195" t="s">
        <v>2172</v>
      </c>
      <c r="B195" s="2" t="s">
        <v>399</v>
      </c>
      <c r="C195" s="2" t="s">
        <v>863</v>
      </c>
      <c r="D195" s="2" t="s">
        <v>748</v>
      </c>
      <c r="E195" s="2" t="s">
        <v>808</v>
      </c>
      <c r="F195" s="6">
        <v>30376</v>
      </c>
      <c r="G195" s="16">
        <f t="shared" ca="1" si="3"/>
        <v>38.367123287671234</v>
      </c>
      <c r="H195" s="2" t="s">
        <v>599</v>
      </c>
      <c r="I195" t="str" cm="1">
        <f t="array" ref="I195">ADAPTAR(B195)&amp;ADAPTAR(C195)&amp;"_"&amp;ADAPTAR(E195)&amp;F195</f>
        <v>pedroerwin_luna30376</v>
      </c>
      <c r="J195" s="13">
        <v>13</v>
      </c>
      <c r="K195" t="str" cm="1">
        <f t="array" ref="K195">ADAPTAR(B195)&amp;"."&amp;ADAPTAR(D195)&amp;YEAR(F195)&amp;"@"&amp;VLOOKUP(J195,Dominios!$A$2:$B$30,2,FALSE)</f>
        <v>pedro.gutierrez1983@sempiternam.co</v>
      </c>
      <c r="L195" s="13">
        <v>13</v>
      </c>
      <c r="M195">
        <f>VLOOKUP(L195,Celulares!$A$2:$B$30,2,FALSE)</f>
        <v>3115093598</v>
      </c>
    </row>
    <row r="196" spans="1:13" ht="15.75" customHeight="1" x14ac:dyDescent="0.25">
      <c r="A196" t="s">
        <v>2173</v>
      </c>
      <c r="B196" s="2" t="s">
        <v>341</v>
      </c>
      <c r="C196" s="2" t="s">
        <v>341</v>
      </c>
      <c r="D196" s="2" t="s">
        <v>823</v>
      </c>
      <c r="E196" s="2" t="s">
        <v>740</v>
      </c>
      <c r="F196" s="6">
        <v>35343</v>
      </c>
      <c r="G196" s="16">
        <f t="shared" ca="1" si="3"/>
        <v>24.758904109589039</v>
      </c>
      <c r="H196" s="2" t="s">
        <v>598</v>
      </c>
      <c r="I196" t="str" cm="1">
        <f t="array" ref="I196">ADAPTAR(B196)&amp;ADAPTAR(C196)&amp;"_"&amp;ADAPTAR(E196)&amp;F196</f>
        <v>juanjuan_ortega35343</v>
      </c>
      <c r="J196" s="13">
        <v>14</v>
      </c>
      <c r="K196" t="str" cm="1">
        <f t="array" ref="K196">ADAPTAR(B196)&amp;"."&amp;ADAPTAR(D196)&amp;YEAR(F196)&amp;"@"&amp;VLOOKUP(J196,Dominios!$A$2:$B$30,2,FALSE)</f>
        <v>juan.rivera1996@sk9.co</v>
      </c>
      <c r="L196" s="13">
        <v>14</v>
      </c>
      <c r="M196">
        <f>VLOOKUP(L196,Celulares!$A$2:$B$30,2,FALSE)</f>
        <v>3115093583</v>
      </c>
    </row>
    <row r="197" spans="1:13" ht="15.75" customHeight="1" x14ac:dyDescent="0.25">
      <c r="A197" t="s">
        <v>2174</v>
      </c>
      <c r="B197" s="2" t="s">
        <v>659</v>
      </c>
      <c r="C197" s="2" t="s">
        <v>864</v>
      </c>
      <c r="D197" s="2" t="s">
        <v>685</v>
      </c>
      <c r="E197" s="2" t="s">
        <v>221</v>
      </c>
      <c r="F197" s="6">
        <v>33675</v>
      </c>
      <c r="G197" s="16">
        <f t="shared" ca="1" si="3"/>
        <v>29.328767123287673</v>
      </c>
      <c r="H197" s="2" t="s">
        <v>541</v>
      </c>
      <c r="I197" t="str" cm="1">
        <f t="array" ref="I197">ADAPTAR(B197)&amp;ADAPTAR(C197)&amp;"_"&amp;ADAPTAR(E197)&amp;F197</f>
        <v>raulemiro_silva33675</v>
      </c>
      <c r="J197" s="13">
        <v>15</v>
      </c>
      <c r="K197" t="str" cm="1">
        <f t="array" ref="K197">ADAPTAR(B197)&amp;"."&amp;ADAPTAR(D197)&amp;YEAR(F197)&amp;"@"&amp;VLOOKUP(J197,Dominios!$A$2:$B$30,2,FALSE)</f>
        <v>raul.beltran1992@socialmediacolombia.com.co</v>
      </c>
      <c r="L197" s="13">
        <v>15</v>
      </c>
      <c r="M197">
        <f>VLOOKUP(L197,Celulares!$A$2:$B$30,2,FALSE)</f>
        <v>3115092386</v>
      </c>
    </row>
    <row r="198" spans="1:13" ht="15.75" customHeight="1" x14ac:dyDescent="0.25">
      <c r="A198" t="s">
        <v>2175</v>
      </c>
      <c r="B198" s="2" t="s">
        <v>873</v>
      </c>
      <c r="C198" s="2" t="s">
        <v>662</v>
      </c>
      <c r="D198" s="2" t="s">
        <v>708</v>
      </c>
      <c r="E198" s="2" t="s">
        <v>728</v>
      </c>
      <c r="F198" s="6">
        <v>29010</v>
      </c>
      <c r="G198" s="16">
        <f t="shared" ca="1" si="3"/>
        <v>42.109589041095887</v>
      </c>
      <c r="H198" s="2" t="s">
        <v>605</v>
      </c>
      <c r="I198" t="str" cm="1">
        <f t="array" ref="I198">ADAPTAR(B198)&amp;ADAPTAR(C198)&amp;"_"&amp;ADAPTAR(E198)&amp;F198</f>
        <v>jorgemario_gonzales29010</v>
      </c>
      <c r="J198" s="13">
        <v>16</v>
      </c>
      <c r="K198" t="str" cm="1">
        <f t="array" ref="K198">ADAPTAR(B198)&amp;"."&amp;ADAPTAR(D198)&amp;YEAR(F198)&amp;"@"&amp;VLOOKUP(J198,Dominios!$A$2:$B$30,2,FALSE)</f>
        <v>jorge.arango1979@tecnicoensistemas.com.co</v>
      </c>
      <c r="L198" s="13">
        <v>16</v>
      </c>
      <c r="M198">
        <f>VLOOKUP(L198,Celulares!$A$2:$B$30,2,FALSE)</f>
        <v>3115092375</v>
      </c>
    </row>
    <row r="199" spans="1:13" ht="15.75" customHeight="1" x14ac:dyDescent="0.25">
      <c r="A199" t="s">
        <v>2176</v>
      </c>
      <c r="B199" s="2" t="s">
        <v>865</v>
      </c>
      <c r="C199" s="2" t="s">
        <v>446</v>
      </c>
      <c r="D199" s="2" t="s">
        <v>827</v>
      </c>
      <c r="E199" s="2" t="s">
        <v>712</v>
      </c>
      <c r="F199" s="6">
        <v>28362</v>
      </c>
      <c r="G199" s="16">
        <f t="shared" ca="1" si="3"/>
        <v>43.884931506849313</v>
      </c>
      <c r="H199" s="2" t="s">
        <v>1362</v>
      </c>
      <c r="I199" t="str" cm="1">
        <f t="array" ref="I199">ADAPTAR(B199)&amp;ADAPTAR(C199)&amp;"_"&amp;ADAPTAR(E199)&amp;F199</f>
        <v>jeyssonfelipe_padilla28362</v>
      </c>
      <c r="J199" s="13">
        <v>17</v>
      </c>
      <c r="K199" t="str" cm="1">
        <f t="array" ref="K199">ADAPTAR(B199)&amp;"."&amp;ADAPTAR(D199)&amp;YEAR(F199)&amp;"@"&amp;VLOOKUP(J199,Dominios!$A$2:$B$30,2,FALSE)</f>
        <v>jeysson.martinez1977@totum.com.co</v>
      </c>
      <c r="L199" s="13">
        <v>17</v>
      </c>
      <c r="M199">
        <f>VLOOKUP(L199,Celulares!$A$2:$B$30,2,FALSE)</f>
        <v>3115092369</v>
      </c>
    </row>
    <row r="200" spans="1:13" ht="15.75" customHeight="1" x14ac:dyDescent="0.25">
      <c r="A200" t="s">
        <v>2177</v>
      </c>
      <c r="B200" s="2" t="s">
        <v>866</v>
      </c>
      <c r="C200" s="2" t="s">
        <v>339</v>
      </c>
      <c r="D200" s="2" t="s">
        <v>790</v>
      </c>
      <c r="E200" s="2" t="s">
        <v>476</v>
      </c>
      <c r="F200" s="6">
        <v>31057</v>
      </c>
      <c r="G200" s="16">
        <f t="shared" ca="1" si="3"/>
        <v>36.5013698630137</v>
      </c>
      <c r="H200" s="2" t="s">
        <v>569</v>
      </c>
      <c r="I200" t="str" cm="1">
        <f t="array" ref="I200">ADAPTAR(B200)&amp;ADAPTAR(C200)&amp;"_"&amp;ADAPTAR(E200)&amp;F200</f>
        <v>omarfernando_prieto31057</v>
      </c>
      <c r="J200" s="13">
        <v>18</v>
      </c>
      <c r="K200" t="str" cm="1">
        <f t="array" ref="K200">ADAPTAR(B200)&amp;"."&amp;ADAPTAR(D200)&amp;YEAR(F200)&amp;"@"&amp;VLOOKUP(J200,Dominios!$A$2:$B$30,2,FALSE)</f>
        <v>omar.gil1985@voipcolombia.co</v>
      </c>
      <c r="L200" s="13">
        <v>18</v>
      </c>
      <c r="M200">
        <f>VLOOKUP(L200,Celulares!$A$2:$B$30,2,FALSE)</f>
        <v>3115092360</v>
      </c>
    </row>
    <row r="201" spans="1:13" ht="15.75" customHeight="1" x14ac:dyDescent="0.25">
      <c r="A201" t="s">
        <v>2178</v>
      </c>
      <c r="B201" s="2" t="s">
        <v>867</v>
      </c>
      <c r="C201" s="2" t="s">
        <v>511</v>
      </c>
      <c r="D201" s="2" t="s">
        <v>851</v>
      </c>
      <c r="E201" s="2" t="s">
        <v>836</v>
      </c>
      <c r="F201" s="6">
        <v>34793</v>
      </c>
      <c r="G201" s="16">
        <f t="shared" ca="1" si="3"/>
        <v>26.265753424657536</v>
      </c>
      <c r="H201" s="2" t="s">
        <v>556</v>
      </c>
      <c r="I201" t="str" cm="1">
        <f t="array" ref="I201">ADAPTAR(B201)&amp;ADAPTAR(C201)&amp;"_"&amp;ADAPTAR(E201)&amp;F201</f>
        <v>janejavier_jimenez34793</v>
      </c>
      <c r="J201" s="13">
        <v>19</v>
      </c>
      <c r="K201" t="str" cm="1">
        <f t="array" ref="K201">ADAPTAR(B201)&amp;"."&amp;ADAPTAR(D201)&amp;YEAR(F201)&amp;"@"&amp;VLOOKUP(J201,Dominios!$A$2:$B$30,2,FALSE)</f>
        <v>jane.benitez1995@vpncolombia.com.co</v>
      </c>
      <c r="L201" s="13">
        <v>19</v>
      </c>
      <c r="M201">
        <f>VLOOKUP(L201,Celulares!$A$2:$B$30,2,FALSE)</f>
        <v>3115092352</v>
      </c>
    </row>
    <row r="202" spans="1:13" ht="15.75" customHeight="1" x14ac:dyDescent="0.25">
      <c r="A202" t="s">
        <v>2179</v>
      </c>
      <c r="B202" s="2" t="s">
        <v>1092</v>
      </c>
      <c r="C202" s="2" t="s">
        <v>382</v>
      </c>
      <c r="D202" s="2" t="s">
        <v>848</v>
      </c>
      <c r="E202" s="2" t="s">
        <v>803</v>
      </c>
      <c r="F202" s="6">
        <v>26770</v>
      </c>
      <c r="G202" s="16">
        <f t="shared" ca="1" si="3"/>
        <v>48.246575342465754</v>
      </c>
      <c r="H202" s="2" t="s">
        <v>1342</v>
      </c>
      <c r="I202" t="str" cm="1">
        <f t="array" ref="I202">ADAPTAR(B202)&amp;ADAPTAR(C202)&amp;"_"&amp;ADAPTAR(E202)&amp;F202</f>
        <v>wilsonandres_marin26770</v>
      </c>
      <c r="J202" s="13">
        <v>0</v>
      </c>
      <c r="K202" t="str" cm="1">
        <f t="array" ref="K202">ADAPTAR(B202)&amp;"."&amp;ADAPTAR(D202)&amp;YEAR(F202)&amp;"@"&amp;VLOOKUP(J202,Dominios!$A$2:$B$30,2,FALSE)</f>
        <v>wilson.marquez1973@auribus.com.co</v>
      </c>
      <c r="L202" s="13">
        <v>0</v>
      </c>
      <c r="M202">
        <f>VLOOKUP(L202,Celulares!$A$2:$B$30,2,FALSE)</f>
        <v>3115114930</v>
      </c>
    </row>
    <row r="203" spans="1:13" ht="15.75" customHeight="1" x14ac:dyDescent="0.25">
      <c r="A203" t="s">
        <v>2180</v>
      </c>
      <c r="B203" s="2" t="s">
        <v>401</v>
      </c>
      <c r="C203" s="2" t="s">
        <v>418</v>
      </c>
      <c r="D203" s="2" t="s">
        <v>734</v>
      </c>
      <c r="E203" s="2" t="s">
        <v>782</v>
      </c>
      <c r="F203" s="6">
        <v>33712</v>
      </c>
      <c r="G203" s="16">
        <f t="shared" ca="1" si="3"/>
        <v>29.227397260273971</v>
      </c>
      <c r="H203" s="2" t="s">
        <v>573</v>
      </c>
      <c r="I203" t="str" cm="1">
        <f t="array" ref="I203">ADAPTAR(B203)&amp;ADAPTAR(C203)&amp;"_"&amp;ADAPTAR(E203)&amp;F203</f>
        <v>oscargerman_forero33712</v>
      </c>
      <c r="J203" s="13">
        <v>1</v>
      </c>
      <c r="K203" t="str" cm="1">
        <f t="array" ref="K203">ADAPTAR(B203)&amp;"."&amp;ADAPTAR(D203)&amp;YEAR(F203)&amp;"@"&amp;VLOOKUP(J203,Dominios!$A$2:$B$30,2,FALSE)</f>
        <v>oscar.ramirez1992@colamus.co</v>
      </c>
      <c r="L203" s="13">
        <v>1</v>
      </c>
      <c r="M203">
        <f>VLOOKUP(L203,Celulares!$A$2:$B$30,2,FALSE)</f>
        <v>3115114916</v>
      </c>
    </row>
    <row r="204" spans="1:13" ht="15.75" customHeight="1" x14ac:dyDescent="0.25">
      <c r="A204" t="s">
        <v>2181</v>
      </c>
      <c r="B204" s="2" t="s">
        <v>662</v>
      </c>
      <c r="C204" s="2" t="s">
        <v>483</v>
      </c>
      <c r="D204" s="2" t="s">
        <v>686</v>
      </c>
      <c r="E204" s="2" t="s">
        <v>819</v>
      </c>
      <c r="F204" s="6">
        <v>31070</v>
      </c>
      <c r="G204" s="16">
        <f t="shared" ca="1" si="3"/>
        <v>36.465753424657535</v>
      </c>
      <c r="H204" s="2" t="s">
        <v>561</v>
      </c>
      <c r="I204" t="str" cm="1">
        <f t="array" ref="I204">ADAPTAR(B204)&amp;ADAPTAR(C204)&amp;"_"&amp;ADAPTAR(E204)&amp;F204</f>
        <v>mariojose_velasquez31070</v>
      </c>
      <c r="J204" s="13">
        <v>2</v>
      </c>
      <c r="K204" t="str" cm="1">
        <f t="array" ref="K204">ADAPTAR(B204)&amp;"."&amp;ADAPTAR(D204)&amp;YEAR(F204)&amp;"@"&amp;VLOOKUP(J204,Dominios!$A$2:$B$30,2,FALSE)</f>
        <v>mario.contreras1985@colombiamail.co</v>
      </c>
      <c r="L204" s="13">
        <v>2</v>
      </c>
      <c r="M204">
        <f>VLOOKUP(L204,Celulares!$A$2:$B$30,2,FALSE)</f>
        <v>3115114911</v>
      </c>
    </row>
    <row r="205" spans="1:13" ht="15.75" customHeight="1" x14ac:dyDescent="0.25">
      <c r="A205" t="s">
        <v>2182</v>
      </c>
      <c r="B205" s="2" t="s">
        <v>525</v>
      </c>
      <c r="C205" s="2" t="s">
        <v>332</v>
      </c>
      <c r="D205" s="2" t="s">
        <v>519</v>
      </c>
      <c r="E205" s="2" t="s">
        <v>778</v>
      </c>
      <c r="F205" s="6">
        <v>31065</v>
      </c>
      <c r="G205" s="16">
        <f t="shared" ca="1" si="3"/>
        <v>36.479452054794521</v>
      </c>
      <c r="H205" s="2" t="s">
        <v>540</v>
      </c>
      <c r="I205" t="str" cm="1">
        <f t="array" ref="I205">ADAPTAR(B205)&amp;ADAPTAR(C205)&amp;"_"&amp;ADAPTAR(E205)&amp;F205</f>
        <v>fredydaniel_arevalo31065</v>
      </c>
      <c r="J205" s="13">
        <v>3</v>
      </c>
      <c r="K205" t="str" cm="1">
        <f t="array" ref="K205">ADAPTAR(B205)&amp;"."&amp;ADAPTAR(D205)&amp;YEAR(F205)&amp;"@"&amp;VLOOKUP(J205,Dominios!$A$2:$B$30,2,FALSE)</f>
        <v>fredy.pulido1985@diabunter.co</v>
      </c>
      <c r="L205" s="13">
        <v>3</v>
      </c>
      <c r="M205">
        <f>VLOOKUP(L205,Celulares!$A$2:$B$30,2,FALSE)</f>
        <v>3115114910</v>
      </c>
    </row>
    <row r="206" spans="1:13" ht="15.75" customHeight="1" x14ac:dyDescent="0.25">
      <c r="A206" t="s">
        <v>2183</v>
      </c>
      <c r="B206" s="2" t="s">
        <v>651</v>
      </c>
      <c r="C206" s="2" t="s">
        <v>446</v>
      </c>
      <c r="D206" s="2" t="s">
        <v>474</v>
      </c>
      <c r="E206" s="2" t="s">
        <v>800</v>
      </c>
      <c r="F206" s="6">
        <v>30367</v>
      </c>
      <c r="G206" s="16">
        <f t="shared" ca="1" si="3"/>
        <v>38.391780821917806</v>
      </c>
      <c r="H206" s="2" t="s">
        <v>1363</v>
      </c>
      <c r="I206" t="str" cm="1">
        <f t="array" ref="I206">ADAPTAR(B206)&amp;ADAPTAR(C206)&amp;"_"&amp;ADAPTAR(E206)&amp;F206</f>
        <v>luisfelipe_carrillo30367</v>
      </c>
      <c r="J206" s="13">
        <v>4</v>
      </c>
      <c r="K206" t="str" cm="1">
        <f t="array" ref="K206">ADAPTAR(B206)&amp;"."&amp;ADAPTAR(D206)&amp;YEAR(F206)&amp;"@"&amp;VLOOKUP(J206,Dominios!$A$2:$B$30,2,FALSE)</f>
        <v>luis.villa1983@ebrietas.co</v>
      </c>
      <c r="L206" s="13">
        <v>4</v>
      </c>
      <c r="M206">
        <f>VLOOKUP(L206,Celulares!$A$2:$B$30,2,FALSE)</f>
        <v>3115114909</v>
      </c>
    </row>
    <row r="207" spans="1:13" ht="15.75" customHeight="1" x14ac:dyDescent="0.25">
      <c r="A207" t="s">
        <v>2184</v>
      </c>
      <c r="B207" s="2" t="s">
        <v>342</v>
      </c>
      <c r="C207" s="2" t="s">
        <v>868</v>
      </c>
      <c r="D207" s="2" t="s">
        <v>846</v>
      </c>
      <c r="E207" s="2" t="s">
        <v>842</v>
      </c>
      <c r="F207" s="6">
        <v>23934</v>
      </c>
      <c r="G207" s="16">
        <f t="shared" ca="1" si="3"/>
        <v>56.016438356164386</v>
      </c>
      <c r="H207" s="2" t="s">
        <v>1364</v>
      </c>
      <c r="I207" t="str" cm="1">
        <f t="array" ref="I207">ADAPTAR(B207)&amp;ADAPTAR(C207)&amp;"_"&amp;ADAPTAR(E207)&amp;F207</f>
        <v>carlosuriel_fuentes23934</v>
      </c>
      <c r="J207" s="13">
        <v>5</v>
      </c>
      <c r="K207" t="str" cm="1">
        <f t="array" ref="K207">ADAPTAR(B207)&amp;"."&amp;ADAPTAR(D207)&amp;YEAR(F207)&amp;"@"&amp;VLOOKUP(J207,Dominios!$A$2:$B$30,2,FALSE)</f>
        <v>carlos.navarro1965@elsinsonte.co</v>
      </c>
      <c r="L207" s="13">
        <v>5</v>
      </c>
      <c r="M207">
        <f>VLOOKUP(L207,Celulares!$A$2:$B$30,2,FALSE)</f>
        <v>3115060130</v>
      </c>
    </row>
    <row r="208" spans="1:13" ht="15.75" customHeight="1" x14ac:dyDescent="0.25">
      <c r="A208" t="s">
        <v>2185</v>
      </c>
      <c r="B208" s="2" t="s">
        <v>351</v>
      </c>
      <c r="C208" s="2" t="s">
        <v>1093</v>
      </c>
      <c r="D208" s="2" t="s">
        <v>801</v>
      </c>
      <c r="E208" s="2" t="s">
        <v>713</v>
      </c>
      <c r="F208" s="6">
        <v>23842</v>
      </c>
      <c r="G208" s="16">
        <f t="shared" ca="1" si="3"/>
        <v>56.268493150684932</v>
      </c>
      <c r="H208" s="2" t="s">
        <v>1365</v>
      </c>
      <c r="I208" t="str" cm="1">
        <f t="array" ref="I208">ADAPTAR(B208)&amp;ADAPTAR(C208)&amp;"_"&amp;ADAPTAR(E208)&amp;F208</f>
        <v>jaimezael_betancur23842</v>
      </c>
      <c r="J208" s="13">
        <v>6</v>
      </c>
      <c r="K208" t="str" cm="1">
        <f t="array" ref="K208">ADAPTAR(B208)&amp;"."&amp;ADAPTAR(D208)&amp;YEAR(F208)&amp;"@"&amp;VLOOKUP(J208,Dominios!$A$2:$B$30,2,FALSE)</f>
        <v>jaime.mesa1965@enigmaserver.co</v>
      </c>
      <c r="L208" s="13">
        <v>6</v>
      </c>
      <c r="M208">
        <f>VLOOKUP(L208,Celulares!$A$2:$B$30,2,FALSE)</f>
        <v>3115060125</v>
      </c>
    </row>
    <row r="209" spans="1:13" ht="15.75" customHeight="1" x14ac:dyDescent="0.25">
      <c r="A209" t="s">
        <v>2186</v>
      </c>
      <c r="B209" s="2" t="s">
        <v>399</v>
      </c>
      <c r="C209" s="2" t="s">
        <v>1094</v>
      </c>
      <c r="D209" s="2" t="s">
        <v>726</v>
      </c>
      <c r="E209" s="2" t="s">
        <v>850</v>
      </c>
      <c r="F209" s="6">
        <v>24466</v>
      </c>
      <c r="G209" s="16">
        <f t="shared" ca="1" si="3"/>
        <v>54.558904109589044</v>
      </c>
      <c r="H209" s="2" t="s">
        <v>594</v>
      </c>
      <c r="I209" t="str" cm="1">
        <f t="array" ref="I209">ADAPTAR(B209)&amp;ADAPTAR(C209)&amp;"_"&amp;ADAPTAR(E209)&amp;F209</f>
        <v>pedrojeremias_nino24466</v>
      </c>
      <c r="J209" s="13">
        <v>7</v>
      </c>
      <c r="K209" t="str" cm="1">
        <f t="array" ref="K209">ADAPTAR(B209)&amp;"."&amp;ADAPTAR(D209)&amp;YEAR(F209)&amp;"@"&amp;VLOOKUP(J209,Dominios!$A$2:$B$30,2,FALSE)</f>
        <v>pedro.espinosa1966@hocknas.co</v>
      </c>
      <c r="L209" s="13">
        <v>7</v>
      </c>
      <c r="M209">
        <f>VLOOKUP(L209,Celulares!$A$2:$B$30,2,FALSE)</f>
        <v>3115060110</v>
      </c>
    </row>
    <row r="210" spans="1:13" ht="15.75" customHeight="1" x14ac:dyDescent="0.25">
      <c r="A210" t="s">
        <v>2187</v>
      </c>
      <c r="B210" s="2" t="s">
        <v>369</v>
      </c>
      <c r="C210" s="2" t="s">
        <v>494</v>
      </c>
      <c r="D210" s="2" t="s">
        <v>744</v>
      </c>
      <c r="E210" s="2" t="s">
        <v>751</v>
      </c>
      <c r="F210" s="6">
        <v>23846</v>
      </c>
      <c r="G210" s="16">
        <f t="shared" ca="1" si="3"/>
        <v>56.257534246575339</v>
      </c>
      <c r="H210" s="2" t="s">
        <v>1366</v>
      </c>
      <c r="I210" t="str" cm="1">
        <f t="array" ref="I210">ADAPTAR(B210)&amp;ADAPTAR(C210)&amp;"_"&amp;ADAPTAR(E210)&amp;F210</f>
        <v>pabloemilio_figueroa23846</v>
      </c>
      <c r="J210" s="13">
        <v>8</v>
      </c>
      <c r="K210" t="str" cm="1">
        <f t="array" ref="K210">ADAPTAR(B210)&amp;"."&amp;ADAPTAR(D210)&amp;YEAR(F210)&amp;"@"&amp;VLOOKUP(J210,Dominios!$A$2:$B$30,2,FALSE)</f>
        <v>pablo.pacheco1965@hostedoceri.co</v>
      </c>
      <c r="L210" s="13">
        <v>8</v>
      </c>
      <c r="M210">
        <f>VLOOKUP(L210,Celulares!$A$2:$B$30,2,FALSE)</f>
        <v>3115060091</v>
      </c>
    </row>
    <row r="211" spans="1:13" ht="15.75" customHeight="1" x14ac:dyDescent="0.25">
      <c r="A211" t="s">
        <v>2188</v>
      </c>
      <c r="B211" s="2" t="s">
        <v>342</v>
      </c>
      <c r="C211" s="2" t="s">
        <v>371</v>
      </c>
      <c r="D211" s="2" t="s">
        <v>824</v>
      </c>
      <c r="E211" s="2" t="s">
        <v>731</v>
      </c>
      <c r="F211" s="6">
        <v>24796</v>
      </c>
      <c r="G211" s="16">
        <f t="shared" ca="1" si="3"/>
        <v>53.654794520547945</v>
      </c>
      <c r="H211" s="2" t="s">
        <v>1367</v>
      </c>
      <c r="I211" t="str" cm="1">
        <f t="array" ref="I211">ADAPTAR(B211)&amp;ADAPTAR(C211)&amp;"_"&amp;ADAPTAR(E211)&amp;F211</f>
        <v>carlosjulio_meza24796</v>
      </c>
      <c r="J211" s="13">
        <v>9</v>
      </c>
      <c r="K211" t="str" cm="1">
        <f t="array" ref="K211">ADAPTAR(B211)&amp;"."&amp;ADAPTAR(D211)&amp;YEAR(F211)&amp;"@"&amp;VLOOKUP(J211,Dominios!$A$2:$B$30,2,FALSE)</f>
        <v>carlos.jaramillo1967@libertas.com.co</v>
      </c>
      <c r="L211" s="13">
        <v>9</v>
      </c>
      <c r="M211">
        <f>VLOOKUP(L211,Celulares!$A$2:$B$30,2,FALSE)</f>
        <v>3115060080</v>
      </c>
    </row>
    <row r="212" spans="1:13" ht="15.75" customHeight="1" x14ac:dyDescent="0.25">
      <c r="A212" t="s">
        <v>2189</v>
      </c>
      <c r="B212" s="2" t="s">
        <v>369</v>
      </c>
      <c r="C212" s="2" t="s">
        <v>342</v>
      </c>
      <c r="D212" s="2" t="s">
        <v>804</v>
      </c>
      <c r="E212" s="2" t="s">
        <v>788</v>
      </c>
      <c r="F212" s="6">
        <v>25697</v>
      </c>
      <c r="G212" s="16">
        <f t="shared" ca="1" si="3"/>
        <v>51.186301369863017</v>
      </c>
      <c r="H212" s="2" t="s">
        <v>573</v>
      </c>
      <c r="I212" t="str" cm="1">
        <f t="array" ref="I212">ADAPTAR(B212)&amp;ADAPTAR(C212)&amp;"_"&amp;ADAPTAR(E212)&amp;F212</f>
        <v>pablocarlos_ordonez25697</v>
      </c>
      <c r="J212" s="13">
        <v>10</v>
      </c>
      <c r="K212" t="str" cm="1">
        <f t="array" ref="K212">ADAPTAR(B212)&amp;"."&amp;ADAPTAR(D212)&amp;YEAR(F212)&amp;"@"&amp;VLOOKUP(J212,Dominios!$A$2:$B$30,2,FALSE)</f>
        <v>pablo.miranda1970@nascitur.com.co</v>
      </c>
      <c r="L212" s="13">
        <v>10</v>
      </c>
      <c r="M212">
        <f>VLOOKUP(L212,Celulares!$A$2:$B$30,2,FALSE)</f>
        <v>3115114385</v>
      </c>
    </row>
    <row r="213" spans="1:13" ht="15.75" customHeight="1" x14ac:dyDescent="0.25">
      <c r="A213" t="s">
        <v>2190</v>
      </c>
      <c r="B213" s="2" t="s">
        <v>431</v>
      </c>
      <c r="C213" s="2" t="s">
        <v>479</v>
      </c>
      <c r="D213" s="2" t="s">
        <v>298</v>
      </c>
      <c r="E213" s="2" t="s">
        <v>816</v>
      </c>
      <c r="F213" s="6">
        <v>24996</v>
      </c>
      <c r="G213" s="16">
        <f t="shared" ca="1" si="3"/>
        <v>53.106849315068494</v>
      </c>
      <c r="H213" s="2" t="s">
        <v>580</v>
      </c>
      <c r="I213" t="str" cm="1">
        <f t="array" ref="I213">ADAPTAR(B213)&amp;ADAPTAR(C213)&amp;"_"&amp;ADAPTAR(E213)&amp;F213</f>
        <v>luisguillermo_camargo24996</v>
      </c>
      <c r="J213" s="13">
        <v>11</v>
      </c>
      <c r="K213" t="str" cm="1">
        <f t="array" ref="K213">ADAPTAR(B213)&amp;"."&amp;ADAPTAR(D213)&amp;YEAR(F213)&amp;"@"&amp;VLOOKUP(J213,Dominios!$A$2:$B$30,2,FALSE)</f>
        <v>luis.jaimes1968@nemesis.ml</v>
      </c>
      <c r="L213" s="13">
        <v>11</v>
      </c>
      <c r="M213">
        <f>VLOOKUP(L213,Celulares!$A$2:$B$30,2,FALSE)</f>
        <v>3115114360</v>
      </c>
    </row>
    <row r="214" spans="1:13" ht="15.75" customHeight="1" x14ac:dyDescent="0.25">
      <c r="A214" t="s">
        <v>2191</v>
      </c>
      <c r="B214" s="2" t="s">
        <v>1095</v>
      </c>
      <c r="C214" s="2" t="s">
        <v>869</v>
      </c>
      <c r="D214" s="2" t="s">
        <v>814</v>
      </c>
      <c r="E214" s="2" t="s">
        <v>243</v>
      </c>
      <c r="F214" s="6">
        <v>28970</v>
      </c>
      <c r="G214" s="16">
        <f t="shared" ca="1" si="3"/>
        <v>42.219178082191782</v>
      </c>
      <c r="H214" s="2" t="s">
        <v>606</v>
      </c>
      <c r="I214" t="str" cm="1">
        <f t="array" ref="I214">ADAPTAR(B214)&amp;ADAPTAR(C214)&amp;"_"&amp;ADAPTAR(E214)&amp;F214</f>
        <v>marcosheiberto_cortes28970</v>
      </c>
      <c r="J214" s="13">
        <v>12</v>
      </c>
      <c r="K214" t="str" cm="1">
        <f t="array" ref="K214">ADAPTAR(B214)&amp;"."&amp;ADAPTAR(D214)&amp;YEAR(F214)&amp;"@"&amp;VLOOKUP(J214,Dominios!$A$2:$B$30,2,FALSE)</f>
        <v>marcos.quintero1979@nunquam.com.co</v>
      </c>
      <c r="L214" s="13">
        <v>12</v>
      </c>
      <c r="M214">
        <f>VLOOKUP(L214,Celulares!$A$2:$B$30,2,FALSE)</f>
        <v>3115093653</v>
      </c>
    </row>
    <row r="215" spans="1:13" ht="15.75" customHeight="1" x14ac:dyDescent="0.25">
      <c r="A215" t="s">
        <v>2192</v>
      </c>
      <c r="B215" s="2" t="s">
        <v>92</v>
      </c>
      <c r="C215" s="2" t="s">
        <v>492</v>
      </c>
      <c r="D215" s="2" t="s">
        <v>718</v>
      </c>
      <c r="E215" s="2" t="s">
        <v>767</v>
      </c>
      <c r="F215" s="6">
        <v>36181</v>
      </c>
      <c r="G215" s="16">
        <f t="shared" ca="1" si="3"/>
        <v>22.463013698630139</v>
      </c>
      <c r="H215" s="2" t="s">
        <v>536</v>
      </c>
      <c r="I215" t="str" cm="1">
        <f t="array" ref="I215">ADAPTAR(B215)&amp;ADAPTAR(C215)&amp;"_"&amp;ADAPTAR(E215)&amp;F215</f>
        <v>felixjesus_toro36181</v>
      </c>
      <c r="J215" s="13">
        <v>13</v>
      </c>
      <c r="K215" t="str" cm="1">
        <f t="array" ref="K215">ADAPTAR(B215)&amp;"."&amp;ADAPTAR(D215)&amp;YEAR(F215)&amp;"@"&amp;VLOOKUP(J215,Dominios!$A$2:$B$30,2,FALSE)</f>
        <v>felix.mercado1999@sempiternam.co</v>
      </c>
      <c r="L215" s="13">
        <v>13</v>
      </c>
      <c r="M215">
        <f>VLOOKUP(L215,Celulares!$A$2:$B$30,2,FALSE)</f>
        <v>3115093598</v>
      </c>
    </row>
    <row r="216" spans="1:13" ht="15.75" customHeight="1" x14ac:dyDescent="0.25">
      <c r="A216" t="s">
        <v>2193</v>
      </c>
      <c r="B216" s="2" t="s">
        <v>870</v>
      </c>
      <c r="C216" s="2" t="s">
        <v>481</v>
      </c>
      <c r="D216" s="2" t="s">
        <v>792</v>
      </c>
      <c r="E216" s="2" t="s">
        <v>695</v>
      </c>
      <c r="F216" s="6">
        <v>35166</v>
      </c>
      <c r="G216" s="16">
        <f t="shared" ca="1" si="3"/>
        <v>25.243835616438357</v>
      </c>
      <c r="H216" s="2" t="s">
        <v>1307</v>
      </c>
      <c r="I216" t="str" cm="1">
        <f t="array" ref="I216">ADAPTAR(B216)&amp;ADAPTAR(C216)&amp;"_"&amp;ADAPTAR(E216)&amp;F216</f>
        <v>christianmanuel_lozano35166</v>
      </c>
      <c r="J216" s="13">
        <v>14</v>
      </c>
      <c r="K216" t="str" cm="1">
        <f t="array" ref="K216">ADAPTAR(B216)&amp;"."&amp;ADAPTAR(D216)&amp;YEAR(F216)&amp;"@"&amp;VLOOKUP(J216,Dominios!$A$2:$B$30,2,FALSE)</f>
        <v>christian.blanco1996@sk9.co</v>
      </c>
      <c r="L216" s="13">
        <v>14</v>
      </c>
      <c r="M216">
        <f>VLOOKUP(L216,Celulares!$A$2:$B$30,2,FALSE)</f>
        <v>3115093583</v>
      </c>
    </row>
    <row r="217" spans="1:13" ht="15.75" customHeight="1" x14ac:dyDescent="0.25">
      <c r="A217" t="s">
        <v>2194</v>
      </c>
      <c r="B217" s="2" t="s">
        <v>507</v>
      </c>
      <c r="C217" s="2" t="s">
        <v>413</v>
      </c>
      <c r="D217" s="2" t="s">
        <v>746</v>
      </c>
      <c r="E217" s="2" t="s">
        <v>733</v>
      </c>
      <c r="F217" s="6">
        <v>32576</v>
      </c>
      <c r="G217" s="16">
        <f t="shared" ca="1" si="3"/>
        <v>32.339726027397262</v>
      </c>
      <c r="H217" s="2" t="s">
        <v>596</v>
      </c>
      <c r="I217" t="str" cm="1">
        <f t="array" ref="I217">ADAPTAR(B217)&amp;ADAPTAR(C217)&amp;"_"&amp;ADAPTAR(E217)&amp;F217</f>
        <v>victoreduardo_meneses32576</v>
      </c>
      <c r="J217" s="13">
        <v>15</v>
      </c>
      <c r="K217" t="str" cm="1">
        <f t="array" ref="K217">ADAPTAR(B217)&amp;"."&amp;ADAPTAR(D217)&amp;YEAR(F217)&amp;"@"&amp;VLOOKUP(J217,Dominios!$A$2:$B$30,2,FALSE)</f>
        <v>victor.arenas1989@socialmediacolombia.com.co</v>
      </c>
      <c r="L217" s="13">
        <v>15</v>
      </c>
      <c r="M217">
        <f>VLOOKUP(L217,Celulares!$A$2:$B$30,2,FALSE)</f>
        <v>3115092386</v>
      </c>
    </row>
    <row r="218" spans="1:13" ht="15.75" customHeight="1" x14ac:dyDescent="0.25">
      <c r="A218" t="s">
        <v>2195</v>
      </c>
      <c r="B218" s="2" t="s">
        <v>871</v>
      </c>
      <c r="C218" s="2" t="s">
        <v>659</v>
      </c>
      <c r="D218" s="2" t="s">
        <v>721</v>
      </c>
      <c r="E218" s="2" t="s">
        <v>244</v>
      </c>
      <c r="F218" s="6">
        <v>21639</v>
      </c>
      <c r="G218" s="16">
        <f t="shared" ca="1" si="3"/>
        <v>62.304109589041097</v>
      </c>
      <c r="H218" s="2" t="s">
        <v>566</v>
      </c>
      <c r="I218" t="str" cm="1">
        <f t="array" ref="I218">ADAPTAR(B218)&amp;ADAPTAR(C218)&amp;"_"&amp;ADAPTAR(E218)&amp;F218</f>
        <v>edgarraul_correa21639</v>
      </c>
      <c r="J218" s="13">
        <v>16</v>
      </c>
      <c r="K218" t="str" cm="1">
        <f t="array" ref="K218">ADAPTAR(B218)&amp;"."&amp;ADAPTAR(D218)&amp;YEAR(F218)&amp;"@"&amp;VLOOKUP(J218,Dominios!$A$2:$B$30,2,FALSE)</f>
        <v>edgar.aguilar1959@tecnicoensistemas.com.co</v>
      </c>
      <c r="L218" s="13">
        <v>16</v>
      </c>
      <c r="M218">
        <f>VLOOKUP(L218,Celulares!$A$2:$B$30,2,FALSE)</f>
        <v>3115092375</v>
      </c>
    </row>
    <row r="219" spans="1:13" ht="15.75" customHeight="1" x14ac:dyDescent="0.25">
      <c r="A219" t="s">
        <v>2196</v>
      </c>
      <c r="B219" s="2" t="s">
        <v>1096</v>
      </c>
      <c r="C219" s="2" t="s">
        <v>872</v>
      </c>
      <c r="D219" s="2" t="s">
        <v>676</v>
      </c>
      <c r="E219" s="2" t="s">
        <v>763</v>
      </c>
      <c r="F219" s="6">
        <v>33716</v>
      </c>
      <c r="G219" s="16">
        <f t="shared" ca="1" si="3"/>
        <v>29.216438356164385</v>
      </c>
      <c r="H219" s="2" t="s">
        <v>565</v>
      </c>
      <c r="I219" t="str" cm="1">
        <f t="array" ref="I219">ADAPTAR(B219)&amp;ADAPTAR(C219)&amp;"_"&amp;ADAPTAR(E219)&amp;F219</f>
        <v>faustodidier_munoz33716</v>
      </c>
      <c r="J219" s="13">
        <v>17</v>
      </c>
      <c r="K219" t="str" cm="1">
        <f t="array" ref="K219">ADAPTAR(B219)&amp;"."&amp;ADAPTAR(D219)&amp;YEAR(F219)&amp;"@"&amp;VLOOKUP(J219,Dominios!$A$2:$B$30,2,FALSE)</f>
        <v>fausto.rios1992@totum.com.co</v>
      </c>
      <c r="L219" s="13">
        <v>17</v>
      </c>
      <c r="M219">
        <f>VLOOKUP(L219,Celulares!$A$2:$B$30,2,FALSE)</f>
        <v>3115092369</v>
      </c>
    </row>
    <row r="220" spans="1:13" ht="15.75" customHeight="1" x14ac:dyDescent="0.25">
      <c r="A220" t="s">
        <v>2197</v>
      </c>
      <c r="B220" s="2" t="s">
        <v>880</v>
      </c>
      <c r="C220" s="2" t="s">
        <v>349</v>
      </c>
      <c r="D220" s="2" t="s">
        <v>825</v>
      </c>
      <c r="E220" s="2" t="s">
        <v>820</v>
      </c>
      <c r="F220" s="6">
        <v>30651</v>
      </c>
      <c r="G220" s="16">
        <f t="shared" ca="1" si="3"/>
        <v>37.613698630136987</v>
      </c>
      <c r="H220" s="2" t="s">
        <v>1167</v>
      </c>
      <c r="I220" t="str" cm="1">
        <f t="array" ref="I220">ADAPTAR(B220)&amp;ADAPTAR(C220)&amp;"_"&amp;ADAPTAR(E220)&amp;F220</f>
        <v>miguelcamilo_duarte30651</v>
      </c>
      <c r="J220" s="13">
        <v>18</v>
      </c>
      <c r="K220" t="str" cm="1">
        <f t="array" ref="K220">ADAPTAR(B220)&amp;"."&amp;ADAPTAR(D220)&amp;YEAR(F220)&amp;"@"&amp;VLOOKUP(J220,Dominios!$A$2:$B$30,2,FALSE)</f>
        <v>miguel.moreno1983@voipcolombia.co</v>
      </c>
      <c r="L220" s="13">
        <v>18</v>
      </c>
      <c r="M220">
        <f>VLOOKUP(L220,Celulares!$A$2:$B$30,2,FALSE)</f>
        <v>3115092360</v>
      </c>
    </row>
    <row r="221" spans="1:13" ht="15.75" customHeight="1" x14ac:dyDescent="0.25">
      <c r="A221" t="s">
        <v>2198</v>
      </c>
      <c r="B221" s="2" t="s">
        <v>1092</v>
      </c>
      <c r="C221" s="2" t="s">
        <v>873</v>
      </c>
      <c r="D221" s="2" t="s">
        <v>709</v>
      </c>
      <c r="E221" s="2" t="s">
        <v>42</v>
      </c>
      <c r="F221" s="6">
        <v>22570</v>
      </c>
      <c r="G221" s="16">
        <f t="shared" ca="1" si="3"/>
        <v>59.753424657534246</v>
      </c>
      <c r="H221" s="2" t="s">
        <v>570</v>
      </c>
      <c r="I221" t="str" cm="1">
        <f t="array" ref="I221">ADAPTAR(B221)&amp;ADAPTAR(C221)&amp;"_"&amp;ADAPTAR(E221)&amp;F221</f>
        <v>wilsonjorge_buitrago22570</v>
      </c>
      <c r="J221" s="13">
        <v>19</v>
      </c>
      <c r="K221" t="str" cm="1">
        <f t="array" ref="K221">ADAPTAR(B221)&amp;"."&amp;ADAPTAR(D221)&amp;YEAR(F221)&amp;"@"&amp;VLOOKUP(J221,Dominios!$A$2:$B$30,2,FALSE)</f>
        <v>wilson.bernal1961@vpncolombia.com.co</v>
      </c>
      <c r="L221" s="13">
        <v>19</v>
      </c>
      <c r="M221">
        <f>VLOOKUP(L221,Celulares!$A$2:$B$30,2,FALSE)</f>
        <v>3115092352</v>
      </c>
    </row>
    <row r="222" spans="1:13" ht="15.75" customHeight="1" x14ac:dyDescent="0.25">
      <c r="A222" t="s">
        <v>2199</v>
      </c>
      <c r="B222" s="2" t="s">
        <v>343</v>
      </c>
      <c r="C222" s="2" t="s">
        <v>524</v>
      </c>
      <c r="D222" s="2" t="s">
        <v>815</v>
      </c>
      <c r="E222" s="2" t="s">
        <v>693</v>
      </c>
      <c r="F222" s="6">
        <v>20846</v>
      </c>
      <c r="G222" s="16">
        <f t="shared" ca="1" si="3"/>
        <v>64.476712328767121</v>
      </c>
      <c r="H222" s="2" t="s">
        <v>1368</v>
      </c>
      <c r="I222" t="str" cm="1">
        <f t="array" ref="I222">ADAPTAR(B222)&amp;ADAPTAR(C222)&amp;"_"&amp;ADAPTAR(E222)&amp;F222</f>
        <v>oscarfeliciano_delgado20846</v>
      </c>
      <c r="J222" s="13">
        <v>0</v>
      </c>
      <c r="K222" t="str" cm="1">
        <f t="array" ref="K222">ADAPTAR(B222)&amp;"."&amp;ADAPTAR(D222)&amp;YEAR(F222)&amp;"@"&amp;VLOOKUP(J222,Dominios!$A$2:$B$30,2,FALSE)</f>
        <v>oscar.palacios1957@auribus.com.co</v>
      </c>
      <c r="L222" s="13">
        <v>0</v>
      </c>
      <c r="M222">
        <f>VLOOKUP(L222,Celulares!$A$2:$B$30,2,FALSE)</f>
        <v>3115114930</v>
      </c>
    </row>
    <row r="223" spans="1:13" ht="15.75" customHeight="1" x14ac:dyDescent="0.25">
      <c r="A223" t="s">
        <v>2200</v>
      </c>
      <c r="B223" s="2" t="s">
        <v>409</v>
      </c>
      <c r="C223" s="2" t="s">
        <v>874</v>
      </c>
      <c r="D223" s="2" t="s">
        <v>682</v>
      </c>
      <c r="E223" s="2" t="s">
        <v>732</v>
      </c>
      <c r="F223" s="6">
        <v>27928</v>
      </c>
      <c r="G223" s="16">
        <f t="shared" ca="1" si="3"/>
        <v>45.073972602739723</v>
      </c>
      <c r="H223" s="2" t="s">
        <v>577</v>
      </c>
      <c r="I223" t="str" cm="1">
        <f t="array" ref="I223">ADAPTAR(B223)&amp;ADAPTAR(C223)&amp;"_"&amp;ADAPTAR(E223)&amp;F223</f>
        <v>jhonerik_pinzon27928</v>
      </c>
      <c r="J223" s="13">
        <v>1</v>
      </c>
      <c r="K223" t="str" cm="1">
        <f t="array" ref="K223">ADAPTAR(B223)&amp;"."&amp;ADAPTAR(D223)&amp;YEAR(F223)&amp;"@"&amp;VLOOKUP(J223,Dominios!$A$2:$B$30,2,FALSE)</f>
        <v>jhon.orozco1976@colamus.co</v>
      </c>
      <c r="L223" s="13">
        <v>1</v>
      </c>
      <c r="M223">
        <f>VLOOKUP(L223,Celulares!$A$2:$B$30,2,FALSE)</f>
        <v>3115114916</v>
      </c>
    </row>
    <row r="224" spans="1:13" ht="15.75" customHeight="1" x14ac:dyDescent="0.25">
      <c r="A224" t="s">
        <v>2201</v>
      </c>
      <c r="B224" s="2" t="s">
        <v>505</v>
      </c>
      <c r="C224" s="2" t="s">
        <v>875</v>
      </c>
      <c r="D224" s="2" t="s">
        <v>477</v>
      </c>
      <c r="E224" s="2" t="s">
        <v>772</v>
      </c>
      <c r="F224" s="6">
        <v>32662</v>
      </c>
      <c r="G224" s="16">
        <f t="shared" ca="1" si="3"/>
        <v>32.104109589041094</v>
      </c>
      <c r="H224" s="2" t="s">
        <v>1369</v>
      </c>
      <c r="I224" t="str" cm="1">
        <f t="array" ref="I224">ADAPTAR(B224)&amp;ADAPTAR(C224)&amp;"_"&amp;ADAPTAR(E224)&amp;F224</f>
        <v>edwinigor_morales32662</v>
      </c>
      <c r="J224" s="13">
        <v>2</v>
      </c>
      <c r="K224" t="str" cm="1">
        <f t="array" ref="K224">ADAPTAR(B224)&amp;"."&amp;ADAPTAR(D224)&amp;YEAR(F224)&amp;"@"&amp;VLOOKUP(J224,Dominios!$A$2:$B$30,2,FALSE)</f>
        <v>edwin.bedoya1989@colombiamail.co</v>
      </c>
      <c r="L224" s="13">
        <v>2</v>
      </c>
      <c r="M224">
        <f>VLOOKUP(L224,Celulares!$A$2:$B$30,2,FALSE)</f>
        <v>3115114911</v>
      </c>
    </row>
    <row r="225" spans="1:13" ht="15.75" customHeight="1" x14ac:dyDescent="0.25">
      <c r="A225" t="s">
        <v>2202</v>
      </c>
      <c r="B225" s="2" t="s">
        <v>1097</v>
      </c>
      <c r="C225" s="2" t="s">
        <v>866</v>
      </c>
      <c r="D225" s="2" t="s">
        <v>722</v>
      </c>
      <c r="E225" s="2" t="s">
        <v>737</v>
      </c>
      <c r="F225" s="6">
        <v>27071</v>
      </c>
      <c r="G225" s="16">
        <f t="shared" ca="1" si="3"/>
        <v>47.421917808219177</v>
      </c>
      <c r="H225" s="2" t="s">
        <v>1370</v>
      </c>
      <c r="I225" t="str" cm="1">
        <f t="array" ref="I225">ADAPTAR(B225)&amp;ADAPTAR(C225)&amp;"_"&amp;ADAPTAR(E225)&amp;F225</f>
        <v>elkinomar_campo27071</v>
      </c>
      <c r="J225" s="13">
        <v>3</v>
      </c>
      <c r="K225" t="str" cm="1">
        <f t="array" ref="K225">ADAPTAR(B225)&amp;"."&amp;ADAPTAR(D225)&amp;YEAR(F225)&amp;"@"&amp;VLOOKUP(J225,Dominios!$A$2:$B$30,2,FALSE)</f>
        <v>elkin.barrera1974@diabunter.co</v>
      </c>
      <c r="L225" s="13">
        <v>3</v>
      </c>
      <c r="M225">
        <f>VLOOKUP(L225,Celulares!$A$2:$B$30,2,FALSE)</f>
        <v>3115114910</v>
      </c>
    </row>
    <row r="226" spans="1:13" ht="15.75" customHeight="1" x14ac:dyDescent="0.25">
      <c r="A226" t="s">
        <v>2203</v>
      </c>
      <c r="B226" s="2" t="s">
        <v>409</v>
      </c>
      <c r="C226" s="2" t="s">
        <v>876</v>
      </c>
      <c r="D226" s="2" t="s">
        <v>297</v>
      </c>
      <c r="E226" s="2" t="s">
        <v>765</v>
      </c>
      <c r="F226" s="6">
        <v>34223</v>
      </c>
      <c r="G226" s="16">
        <f t="shared" ca="1" si="3"/>
        <v>27.827397260273973</v>
      </c>
      <c r="H226" s="2" t="s">
        <v>547</v>
      </c>
      <c r="I226" t="str" cm="1">
        <f t="array" ref="I226">ADAPTAR(B226)&amp;ADAPTAR(C226)&amp;"_"&amp;ADAPTAR(E226)&amp;F226</f>
        <v>jhonalex_estrada34223</v>
      </c>
      <c r="J226" s="13">
        <v>4</v>
      </c>
      <c r="K226" t="str" cm="1">
        <f t="array" ref="K226">ADAPTAR(B226)&amp;"."&amp;ADAPTAR(D226)&amp;YEAR(F226)&amp;"@"&amp;VLOOKUP(J226,Dominios!$A$2:$B$30,2,FALSE)</f>
        <v>jhon.trujillo1993@ebrietas.co</v>
      </c>
      <c r="L226" s="13">
        <v>4</v>
      </c>
      <c r="M226">
        <f>VLOOKUP(L226,Celulares!$A$2:$B$30,2,FALSE)</f>
        <v>3115114909</v>
      </c>
    </row>
    <row r="227" spans="1:13" ht="15.75" customHeight="1" x14ac:dyDescent="0.25">
      <c r="A227" t="s">
        <v>2204</v>
      </c>
      <c r="B227" s="2" t="s">
        <v>667</v>
      </c>
      <c r="C227" s="2" t="s">
        <v>349</v>
      </c>
      <c r="D227" s="2" t="s">
        <v>832</v>
      </c>
      <c r="E227" s="2" t="s">
        <v>456</v>
      </c>
      <c r="F227" s="6">
        <v>30595</v>
      </c>
      <c r="G227" s="16">
        <f t="shared" ca="1" si="3"/>
        <v>37.767123287671232</v>
      </c>
      <c r="H227" s="2" t="s">
        <v>1371</v>
      </c>
      <c r="I227" t="str" cm="1">
        <f t="array" ref="I227">ADAPTAR(B227)&amp;ADAPTAR(C227)&amp;"_"&amp;ADAPTAR(E227)&amp;F227</f>
        <v>cristiancamilo_alvarez30595</v>
      </c>
      <c r="J227" s="13">
        <v>5</v>
      </c>
      <c r="K227" t="str" cm="1">
        <f t="array" ref="K227">ADAPTAR(B227)&amp;"."&amp;ADAPTAR(D227)&amp;YEAR(F227)&amp;"@"&amp;VLOOKUP(J227,Dominios!$A$2:$B$30,2,FALSE)</f>
        <v>cristian.cardenas1983@elsinsonte.co</v>
      </c>
      <c r="L227" s="13">
        <v>5</v>
      </c>
      <c r="M227">
        <f>VLOOKUP(L227,Celulares!$A$2:$B$30,2,FALSE)</f>
        <v>3115060130</v>
      </c>
    </row>
    <row r="228" spans="1:13" ht="15.75" customHeight="1" x14ac:dyDescent="0.25">
      <c r="A228" t="s">
        <v>2205</v>
      </c>
      <c r="B228" s="2" t="s">
        <v>1098</v>
      </c>
      <c r="C228" s="2" t="s">
        <v>347</v>
      </c>
      <c r="D228" s="2" t="s">
        <v>768</v>
      </c>
      <c r="E228" s="2" t="s">
        <v>789</v>
      </c>
      <c r="F228" s="6">
        <v>22935</v>
      </c>
      <c r="G228" s="16">
        <f t="shared" ca="1" si="3"/>
        <v>58.753424657534246</v>
      </c>
      <c r="H228" s="2" t="s">
        <v>591</v>
      </c>
      <c r="I228" t="str" cm="1">
        <f t="array" ref="I228">ADAPTAR(B228)&amp;ADAPTAR(C228)&amp;"_"&amp;ADAPTAR(E228)&amp;F228</f>
        <v>ederalvaro_carmona22935</v>
      </c>
      <c r="J228" s="13">
        <v>6</v>
      </c>
      <c r="K228" t="str" cm="1">
        <f t="array" ref="K228">ADAPTAR(B228)&amp;"."&amp;ADAPTAR(D228)&amp;YEAR(F228)&amp;"@"&amp;VLOOKUP(J228,Dominios!$A$2:$B$30,2,FALSE)</f>
        <v>eder.medina1962@enigmaserver.co</v>
      </c>
      <c r="L228" s="13">
        <v>6</v>
      </c>
      <c r="M228">
        <f>VLOOKUP(L228,Celulares!$A$2:$B$30,2,FALSE)</f>
        <v>3115060125</v>
      </c>
    </row>
    <row r="229" spans="1:13" ht="15.75" customHeight="1" x14ac:dyDescent="0.25">
      <c r="A229" t="s">
        <v>2206</v>
      </c>
      <c r="B229" s="2" t="s">
        <v>347</v>
      </c>
      <c r="C229" s="2" t="s">
        <v>1099</v>
      </c>
      <c r="D229" s="2" t="s">
        <v>834</v>
      </c>
      <c r="E229" s="2" t="s">
        <v>711</v>
      </c>
      <c r="F229" s="6">
        <v>25184</v>
      </c>
      <c r="G229" s="16">
        <f t="shared" ca="1" si="3"/>
        <v>52.591780821917808</v>
      </c>
      <c r="H229" s="2" t="s">
        <v>586</v>
      </c>
      <c r="I229" t="str" cm="1">
        <f t="array" ref="I229">ADAPTAR(B229)&amp;ADAPTAR(C229)&amp;"_"&amp;ADAPTAR(E229)&amp;F229</f>
        <v>alvaromartin_carvajal25184</v>
      </c>
      <c r="J229" s="13">
        <v>7</v>
      </c>
      <c r="K229" t="str" cm="1">
        <f t="array" ref="K229">ADAPTAR(B229)&amp;"."&amp;ADAPTAR(D229)&amp;YEAR(F229)&amp;"@"&amp;VLOOKUP(J229,Dominios!$A$2:$B$30,2,FALSE)</f>
        <v>alvaro.rosero1968@hocknas.co</v>
      </c>
      <c r="L229" s="13">
        <v>7</v>
      </c>
      <c r="M229">
        <f>VLOOKUP(L229,Celulares!$A$2:$B$30,2,FALSE)</f>
        <v>3115060110</v>
      </c>
    </row>
    <row r="230" spans="1:13" ht="15.75" customHeight="1" x14ac:dyDescent="0.25">
      <c r="A230" t="s">
        <v>2207</v>
      </c>
      <c r="B230" s="2" t="s">
        <v>662</v>
      </c>
      <c r="C230" s="2" t="s">
        <v>333</v>
      </c>
      <c r="D230" s="2" t="s">
        <v>812</v>
      </c>
      <c r="E230" s="2" t="s">
        <v>729</v>
      </c>
      <c r="F230" s="6">
        <v>30545</v>
      </c>
      <c r="G230" s="16">
        <f t="shared" ca="1" si="3"/>
        <v>37.904109589041099</v>
      </c>
      <c r="H230" s="2" t="s">
        <v>1280</v>
      </c>
      <c r="I230" t="str" cm="1">
        <f t="array" ref="I230">ADAPTAR(B230)&amp;ADAPTAR(C230)&amp;"_"&amp;ADAPTAR(E230)&amp;F230</f>
        <v>marioalejandro_fonseca30545</v>
      </c>
      <c r="J230" s="13">
        <v>8</v>
      </c>
      <c r="K230" t="str" cm="1">
        <f t="array" ref="K230">ADAPTAR(B230)&amp;"."&amp;ADAPTAR(D230)&amp;YEAR(F230)&amp;"@"&amp;VLOOKUP(J230,Dominios!$A$2:$B$30,2,FALSE)</f>
        <v>mario.sepulveda1983@hostedoceri.co</v>
      </c>
      <c r="L230" s="13">
        <v>8</v>
      </c>
      <c r="M230">
        <f>VLOOKUP(L230,Celulares!$A$2:$B$30,2,FALSE)</f>
        <v>3115060091</v>
      </c>
    </row>
    <row r="231" spans="1:13" ht="15.75" customHeight="1" x14ac:dyDescent="0.25">
      <c r="A231" t="s">
        <v>2208</v>
      </c>
      <c r="B231" s="2" t="s">
        <v>488</v>
      </c>
      <c r="C231" s="2" t="s">
        <v>387</v>
      </c>
      <c r="D231" s="2" t="s">
        <v>706</v>
      </c>
      <c r="E231" s="2" t="s">
        <v>235</v>
      </c>
      <c r="F231" s="6">
        <v>28461</v>
      </c>
      <c r="G231" s="16">
        <f t="shared" ca="1" si="3"/>
        <v>43.613698630136987</v>
      </c>
      <c r="H231" s="2" t="s">
        <v>596</v>
      </c>
      <c r="I231" t="str" cm="1">
        <f t="array" ref="I231">ADAPTAR(B231)&amp;ADAPTAR(C231)&amp;"_"&amp;ADAPTAR(E231)&amp;F231</f>
        <v>juliandavid_giraldo28461</v>
      </c>
      <c r="J231" s="13">
        <v>9</v>
      </c>
      <c r="K231" t="str" cm="1">
        <f t="array" ref="K231">ADAPTAR(B231)&amp;"."&amp;ADAPTAR(D231)&amp;YEAR(F231)&amp;"@"&amp;VLOOKUP(J231,Dominios!$A$2:$B$30,2,FALSE)</f>
        <v>julian.velez1977@libertas.com.co</v>
      </c>
      <c r="L231" s="13">
        <v>9</v>
      </c>
      <c r="M231">
        <f>VLOOKUP(L231,Celulares!$A$2:$B$30,2,FALSE)</f>
        <v>3115060080</v>
      </c>
    </row>
    <row r="232" spans="1:13" ht="15.75" customHeight="1" x14ac:dyDescent="0.25">
      <c r="A232" t="s">
        <v>2209</v>
      </c>
      <c r="B232" s="2" t="s">
        <v>391</v>
      </c>
      <c r="C232" s="2" t="s">
        <v>332</v>
      </c>
      <c r="D232" s="2" t="s">
        <v>802</v>
      </c>
      <c r="E232" s="2" t="s">
        <v>736</v>
      </c>
      <c r="F232" s="6">
        <v>30102</v>
      </c>
      <c r="G232" s="16">
        <f t="shared" ca="1" si="3"/>
        <v>39.11780821917808</v>
      </c>
      <c r="H232" s="2" t="s">
        <v>1372</v>
      </c>
      <c r="I232" t="str" cm="1">
        <f t="array" ref="I232">ADAPTAR(B232)&amp;ADAPTAR(C232)&amp;"_"&amp;ADAPTAR(E232)&amp;F232</f>
        <v>cesardaniel_bohorquez30102</v>
      </c>
      <c r="J232" s="13">
        <v>10</v>
      </c>
      <c r="K232" t="str" cm="1">
        <f t="array" ref="K232">ADAPTAR(B232)&amp;"."&amp;ADAPTAR(D232)&amp;YEAR(F232)&amp;"@"&amp;VLOOKUP(J232,Dominios!$A$2:$B$30,2,FALSE)</f>
        <v>cesar.castro1982@nascitur.com.co</v>
      </c>
      <c r="L232" s="13">
        <v>10</v>
      </c>
      <c r="M232">
        <f>VLOOKUP(L232,Celulares!$A$2:$B$30,2,FALSE)</f>
        <v>3115114385</v>
      </c>
    </row>
    <row r="233" spans="1:13" ht="15.75" customHeight="1" x14ac:dyDescent="0.25">
      <c r="A233" t="s">
        <v>2210</v>
      </c>
      <c r="B233" s="2" t="s">
        <v>439</v>
      </c>
      <c r="C233" s="2" t="s">
        <v>483</v>
      </c>
      <c r="D233" s="2" t="s">
        <v>754</v>
      </c>
      <c r="E233" s="2" t="s">
        <v>687</v>
      </c>
      <c r="F233" s="6">
        <v>29803</v>
      </c>
      <c r="G233" s="16">
        <f t="shared" ca="1" si="3"/>
        <v>39.936986301369863</v>
      </c>
      <c r="H233" s="2" t="s">
        <v>1373</v>
      </c>
      <c r="I233" t="str" cm="1">
        <f t="array" ref="I233">ADAPTAR(B233)&amp;ADAPTAR(C233)&amp;"_"&amp;ADAPTAR(E233)&amp;F233</f>
        <v>leonardojose_leon29803</v>
      </c>
      <c r="J233" s="13">
        <v>11</v>
      </c>
      <c r="K233" t="str" cm="1">
        <f t="array" ref="K233">ADAPTAR(B233)&amp;"."&amp;ADAPTAR(D233)&amp;YEAR(F233)&amp;"@"&amp;VLOOKUP(J233,Dominios!$A$2:$B$30,2,FALSE)</f>
        <v>leonardo.soto1981@nemesis.ml</v>
      </c>
      <c r="L233" s="13">
        <v>11</v>
      </c>
      <c r="M233">
        <f>VLOOKUP(L233,Celulares!$A$2:$B$30,2,FALSE)</f>
        <v>3115114360</v>
      </c>
    </row>
    <row r="234" spans="1:13" ht="15.75" customHeight="1" x14ac:dyDescent="0.25">
      <c r="A234" t="s">
        <v>2211</v>
      </c>
      <c r="B234" s="2" t="s">
        <v>877</v>
      </c>
      <c r="C234" s="2" t="s">
        <v>1100</v>
      </c>
      <c r="D234" s="2" t="s">
        <v>742</v>
      </c>
      <c r="E234" s="2" t="s">
        <v>783</v>
      </c>
      <c r="F234" s="6">
        <v>23647</v>
      </c>
      <c r="G234" s="16">
        <f t="shared" ca="1" si="3"/>
        <v>56.802739726027397</v>
      </c>
      <c r="H234" s="2" t="s">
        <v>591</v>
      </c>
      <c r="I234" t="str" cm="1">
        <f t="array" ref="I234">ADAPTAR(B234)&amp;ADAPTAR(C234)&amp;"_"&amp;ADAPTAR(E234)&amp;F234</f>
        <v>brayangiovanny_pena23647</v>
      </c>
      <c r="J234" s="13">
        <v>12</v>
      </c>
      <c r="K234" t="str" cm="1">
        <f t="array" ref="K234">ADAPTAR(B234)&amp;"."&amp;ADAPTAR(D234)&amp;YEAR(F234)&amp;"@"&amp;VLOOKUP(J234,Dominios!$A$2:$B$30,2,FALSE)</f>
        <v>brayan.florez1964@nunquam.com.co</v>
      </c>
      <c r="L234" s="13">
        <v>12</v>
      </c>
      <c r="M234">
        <f>VLOOKUP(L234,Celulares!$A$2:$B$30,2,FALSE)</f>
        <v>3115093653</v>
      </c>
    </row>
    <row r="235" spans="1:13" ht="15.75" customHeight="1" x14ac:dyDescent="0.25">
      <c r="A235" t="s">
        <v>2212</v>
      </c>
      <c r="B235" s="2" t="s">
        <v>92</v>
      </c>
      <c r="C235" s="2" t="s">
        <v>878</v>
      </c>
      <c r="D235" s="2" t="s">
        <v>839</v>
      </c>
      <c r="E235" s="2" t="s">
        <v>692</v>
      </c>
      <c r="F235" s="6">
        <v>24890</v>
      </c>
      <c r="G235" s="16">
        <f t="shared" ca="1" si="3"/>
        <v>53.397260273972606</v>
      </c>
      <c r="H235" s="2" t="s">
        <v>1374</v>
      </c>
      <c r="I235" t="str" cm="1">
        <f t="array" ref="I235">ADAPTAR(B235)&amp;ADAPTAR(C235)&amp;"_"&amp;ADAPTAR(E235)&amp;F235</f>
        <v>felixraul_hurtado24890</v>
      </c>
      <c r="J235" s="13">
        <v>13</v>
      </c>
      <c r="K235" t="str" cm="1">
        <f t="array" ref="K235">ADAPTAR(B235)&amp;"."&amp;ADAPTAR(D235)&amp;YEAR(F235)&amp;"@"&amp;VLOOKUP(J235,Dominios!$A$2:$B$30,2,FALSE)</f>
        <v>felix.parra1968@sempiternam.co</v>
      </c>
      <c r="L235" s="13">
        <v>13</v>
      </c>
      <c r="M235">
        <f>VLOOKUP(L235,Celulares!$A$2:$B$30,2,FALSE)</f>
        <v>3115093598</v>
      </c>
    </row>
    <row r="236" spans="1:13" ht="15.75" customHeight="1" x14ac:dyDescent="0.25">
      <c r="A236" t="s">
        <v>2213</v>
      </c>
      <c r="B236" s="2" t="s">
        <v>351</v>
      </c>
      <c r="C236" s="2" t="s">
        <v>487</v>
      </c>
      <c r="D236" s="2" t="s">
        <v>752</v>
      </c>
      <c r="E236" s="2" t="s">
        <v>702</v>
      </c>
      <c r="F236" s="6">
        <v>22599</v>
      </c>
      <c r="G236" s="16">
        <f t="shared" ca="1" si="3"/>
        <v>59.673972602739724</v>
      </c>
      <c r="H236" s="2" t="s">
        <v>584</v>
      </c>
      <c r="I236" t="str" cm="1">
        <f t="array" ref="I236">ADAPTAR(B236)&amp;ADAPTAR(C236)&amp;"_"&amp;ADAPTAR(E236)&amp;F236</f>
        <v>jaimedanilo_mendez22599</v>
      </c>
      <c r="J236" s="13">
        <v>14</v>
      </c>
      <c r="K236" t="str" cm="1">
        <f t="array" ref="K236">ADAPTAR(B236)&amp;"."&amp;ADAPTAR(D236)&amp;YEAR(F236)&amp;"@"&amp;VLOOKUP(J236,Dominios!$A$2:$B$30,2,FALSE)</f>
        <v>jaime.serna1961@sk9.co</v>
      </c>
      <c r="L236" s="13">
        <v>14</v>
      </c>
      <c r="M236">
        <f>VLOOKUP(L236,Celulares!$A$2:$B$30,2,FALSE)</f>
        <v>3115093583</v>
      </c>
    </row>
    <row r="237" spans="1:13" ht="15.75" customHeight="1" x14ac:dyDescent="0.25">
      <c r="A237" t="s">
        <v>2214</v>
      </c>
      <c r="B237" s="2" t="s">
        <v>879</v>
      </c>
      <c r="C237" s="2" t="s">
        <v>660</v>
      </c>
      <c r="D237" s="2" t="s">
        <v>817</v>
      </c>
      <c r="E237" s="2" t="s">
        <v>822</v>
      </c>
      <c r="F237" s="6">
        <v>37306</v>
      </c>
      <c r="G237" s="16">
        <f t="shared" ca="1" si="3"/>
        <v>19.38082191780822</v>
      </c>
      <c r="H237" s="2" t="s">
        <v>1375</v>
      </c>
      <c r="I237" t="str" cm="1">
        <f t="array" ref="I237">ADAPTAR(B237)&amp;ADAPTAR(C237)&amp;"_"&amp;ADAPTAR(E237)&amp;F237</f>
        <v>jeissonvicente_monsalve37306</v>
      </c>
      <c r="J237" s="13">
        <v>15</v>
      </c>
      <c r="K237" t="str" cm="1">
        <f t="array" ref="K237">ADAPTAR(B237)&amp;"."&amp;ADAPTAR(D237)&amp;YEAR(F237)&amp;"@"&amp;VLOOKUP(J237,Dominios!$A$2:$B$30,2,FALSE)</f>
        <v>jeisson.castillo2002@socialmediacolombia.com.co</v>
      </c>
      <c r="L237" s="13">
        <v>15</v>
      </c>
      <c r="M237">
        <f>VLOOKUP(L237,Celulares!$A$2:$B$30,2,FALSE)</f>
        <v>3115092386</v>
      </c>
    </row>
    <row r="238" spans="1:13" ht="15.75" customHeight="1" x14ac:dyDescent="0.25">
      <c r="A238" t="s">
        <v>2215</v>
      </c>
      <c r="B238" s="2" t="s">
        <v>1101</v>
      </c>
      <c r="C238" s="2" t="s">
        <v>448</v>
      </c>
      <c r="D238" s="2" t="s">
        <v>829</v>
      </c>
      <c r="E238" s="2" t="s">
        <v>762</v>
      </c>
      <c r="F238" s="6">
        <v>23147</v>
      </c>
      <c r="G238" s="16">
        <f t="shared" ca="1" si="3"/>
        <v>58.172602739726024</v>
      </c>
      <c r="H238" s="2" t="s">
        <v>564</v>
      </c>
      <c r="I238" t="str" cm="1">
        <f t="array" ref="I238">ADAPTAR(B238)&amp;ADAPTAR(C238)&amp;"_"&amp;ADAPTAR(E238)&amp;F238</f>
        <v>gildardoivan_restrepo23147</v>
      </c>
      <c r="J238" s="13">
        <v>16</v>
      </c>
      <c r="K238" t="str" cm="1">
        <f t="array" ref="K238">ADAPTAR(B238)&amp;"."&amp;ADAPTAR(D238)&amp;YEAR(F238)&amp;"@"&amp;VLOOKUP(J238,Dominios!$A$2:$B$30,2,FALSE)</f>
        <v>gildardo.palacio1963@tecnicoensistemas.com.co</v>
      </c>
      <c r="L238" s="13">
        <v>16</v>
      </c>
      <c r="M238">
        <f>VLOOKUP(L238,Celulares!$A$2:$B$30,2,FALSE)</f>
        <v>3115092375</v>
      </c>
    </row>
    <row r="239" spans="1:13" ht="15.75" customHeight="1" x14ac:dyDescent="0.25">
      <c r="A239" t="s">
        <v>2216</v>
      </c>
      <c r="B239" s="2" t="s">
        <v>341</v>
      </c>
      <c r="C239" s="2" t="s">
        <v>365</v>
      </c>
      <c r="D239" s="2" t="s">
        <v>470</v>
      </c>
      <c r="E239" s="2" t="s">
        <v>220</v>
      </c>
      <c r="F239" s="6">
        <v>30663</v>
      </c>
      <c r="G239" s="16">
        <f t="shared" ca="1" si="3"/>
        <v>37.580821917808223</v>
      </c>
      <c r="H239" s="2" t="s">
        <v>1376</v>
      </c>
      <c r="I239" t="str" cm="1">
        <f t="array" ref="I239">ADAPTAR(B239)&amp;ADAPTAR(C239)&amp;"_"&amp;ADAPTAR(E239)&amp;F239</f>
        <v>juanesteban_castaneda30663</v>
      </c>
      <c r="J239" s="13">
        <v>17</v>
      </c>
      <c r="K239" t="str" cm="1">
        <f t="array" ref="K239">ADAPTAR(B239)&amp;"."&amp;ADAPTAR(D239)&amp;YEAR(F239)&amp;"@"&amp;VLOOKUP(J239,Dominios!$A$2:$B$30,2,FALSE)</f>
        <v>juan.ocampo1983@totum.com.co</v>
      </c>
      <c r="L239" s="13">
        <v>17</v>
      </c>
      <c r="M239">
        <f>VLOOKUP(L239,Celulares!$A$2:$B$30,2,FALSE)</f>
        <v>3115092369</v>
      </c>
    </row>
    <row r="240" spans="1:13" ht="15.75" customHeight="1" x14ac:dyDescent="0.25">
      <c r="A240" t="s">
        <v>2217</v>
      </c>
      <c r="B240" s="2" t="s">
        <v>1102</v>
      </c>
      <c r="C240" s="2" t="s">
        <v>485</v>
      </c>
      <c r="D240" s="2" t="s">
        <v>799</v>
      </c>
      <c r="E240" s="2" t="s">
        <v>475</v>
      </c>
      <c r="F240" s="6">
        <v>29834</v>
      </c>
      <c r="G240" s="16">
        <f t="shared" ca="1" si="3"/>
        <v>39.852054794520548</v>
      </c>
      <c r="H240" s="2" t="s">
        <v>533</v>
      </c>
      <c r="I240" t="str" cm="1">
        <f t="array" ref="I240">ADAPTAR(B240)&amp;ADAPTAR(C240)&amp;"_"&amp;ADAPTAR(E240)&amp;F240</f>
        <v>samuelsneider_caicedo29834</v>
      </c>
      <c r="J240" s="13">
        <v>18</v>
      </c>
      <c r="K240" t="str" cm="1">
        <f t="array" ref="K240">ADAPTAR(B240)&amp;"."&amp;ADAPTAR(D240)&amp;YEAR(F240)&amp;"@"&amp;VLOOKUP(J240,Dominios!$A$2:$B$30,2,FALSE)</f>
        <v>samuel.benavides1981@voipcolombia.co</v>
      </c>
      <c r="L240" s="13">
        <v>18</v>
      </c>
      <c r="M240">
        <f>VLOOKUP(L240,Celulares!$A$2:$B$30,2,FALSE)</f>
        <v>3115092360</v>
      </c>
    </row>
    <row r="241" spans="1:13" ht="15.75" customHeight="1" x14ac:dyDescent="0.25">
      <c r="A241" t="s">
        <v>2218</v>
      </c>
      <c r="B241" s="2" t="s">
        <v>1103</v>
      </c>
      <c r="C241" s="2" t="s">
        <v>333</v>
      </c>
      <c r="D241" s="2" t="s">
        <v>61</v>
      </c>
      <c r="E241" s="2" t="s">
        <v>238</v>
      </c>
      <c r="F241" s="6">
        <v>21729</v>
      </c>
      <c r="G241" s="16">
        <f t="shared" ca="1" si="3"/>
        <v>62.057534246575344</v>
      </c>
      <c r="H241" s="2" t="s">
        <v>587</v>
      </c>
      <c r="I241" t="str" cm="1">
        <f t="array" ref="I241">ADAPTAR(B241)&amp;ADAPTAR(C241)&amp;"_"&amp;ADAPTAR(E241)&amp;F241</f>
        <v>stivenalejandro_osorio21729</v>
      </c>
      <c r="J241" s="13">
        <v>19</v>
      </c>
      <c r="K241" t="str" cm="1">
        <f t="array" ref="K241">ADAPTAR(B241)&amp;"."&amp;ADAPTAR(D241)&amp;YEAR(F241)&amp;"@"&amp;VLOOKUP(J241,Dominios!$A$2:$B$30,2,FALSE)</f>
        <v>stiven.ruiz1959@vpncolombia.com.co</v>
      </c>
      <c r="L241" s="13">
        <v>19</v>
      </c>
      <c r="M241">
        <f>VLOOKUP(L241,Celulares!$A$2:$B$30,2,FALSE)</f>
        <v>3115092352</v>
      </c>
    </row>
    <row r="242" spans="1:13" ht="15.75" customHeight="1" x14ac:dyDescent="0.25">
      <c r="A242" t="s">
        <v>2219</v>
      </c>
      <c r="B242" s="2" t="s">
        <v>341</v>
      </c>
      <c r="C242" s="2" t="s">
        <v>369</v>
      </c>
      <c r="D242" s="2" t="s">
        <v>760</v>
      </c>
      <c r="E242" s="2" t="s">
        <v>715</v>
      </c>
      <c r="F242" s="6">
        <v>25055</v>
      </c>
      <c r="G242" s="16">
        <f t="shared" ca="1" si="3"/>
        <v>52.945205479452056</v>
      </c>
      <c r="H242" s="2" t="s">
        <v>1377</v>
      </c>
      <c r="I242" t="str" cm="1">
        <f t="array" ref="I242">ADAPTAR(B242)&amp;ADAPTAR(C242)&amp;"_"&amp;ADAPTAR(E242)&amp;F242</f>
        <v>juanpablo_garcia25055</v>
      </c>
      <c r="J242" s="13">
        <v>0</v>
      </c>
      <c r="K242" t="str" cm="1">
        <f t="array" ref="K242">ADAPTAR(B242)&amp;"."&amp;ADAPTAR(D242)&amp;YEAR(F242)&amp;"@"&amp;VLOOKUP(J242,Dominios!$A$2:$B$30,2,FALSE)</f>
        <v>juan.alzate1968@auribus.com.co</v>
      </c>
      <c r="L242" s="13">
        <v>0</v>
      </c>
      <c r="M242">
        <f>VLOOKUP(L242,Celulares!$A$2:$B$30,2,FALSE)</f>
        <v>3115114930</v>
      </c>
    </row>
    <row r="243" spans="1:13" ht="15.75" customHeight="1" x14ac:dyDescent="0.25">
      <c r="A243" t="s">
        <v>2220</v>
      </c>
      <c r="B243" s="2" t="s">
        <v>1104</v>
      </c>
      <c r="C243" s="2" t="s">
        <v>353</v>
      </c>
      <c r="D243" s="2" t="s">
        <v>813</v>
      </c>
      <c r="E243" s="2" t="s">
        <v>683</v>
      </c>
      <c r="F243" s="6">
        <v>23106</v>
      </c>
      <c r="G243" s="16">
        <f t="shared" ca="1" si="3"/>
        <v>58.284931506849318</v>
      </c>
      <c r="H243" s="2" t="s">
        <v>574</v>
      </c>
      <c r="I243" t="str" cm="1">
        <f t="array" ref="I243">ADAPTAR(B243)&amp;ADAPTAR(C243)&amp;"_"&amp;ADAPTAR(E243)&amp;F243</f>
        <v>emmilsantiago_agudelo23106</v>
      </c>
      <c r="J243" s="13">
        <v>1</v>
      </c>
      <c r="K243" t="str" cm="1">
        <f t="array" ref="K243">ADAPTAR(B243)&amp;"."&amp;ADAPTAR(D243)&amp;YEAR(F243)&amp;"@"&amp;VLOOKUP(J243,Dominios!$A$2:$B$30,2,FALSE)</f>
        <v>emmil.galindo1963@colamus.co</v>
      </c>
      <c r="L243" s="13">
        <v>1</v>
      </c>
      <c r="M243">
        <f>VLOOKUP(L243,Celulares!$A$2:$B$30,2,FALSE)</f>
        <v>3115114916</v>
      </c>
    </row>
    <row r="244" spans="1:13" ht="15.75" customHeight="1" x14ac:dyDescent="0.25">
      <c r="A244" t="s">
        <v>2221</v>
      </c>
      <c r="B244" s="2" t="s">
        <v>1095</v>
      </c>
      <c r="C244" s="2" t="s">
        <v>335</v>
      </c>
      <c r="D244" s="2" t="s">
        <v>821</v>
      </c>
      <c r="E244" s="2" t="s">
        <v>784</v>
      </c>
      <c r="F244" s="6">
        <v>26836</v>
      </c>
      <c r="G244" s="16">
        <f t="shared" ca="1" si="3"/>
        <v>48.065753424657537</v>
      </c>
      <c r="H244" s="2" t="s">
        <v>532</v>
      </c>
      <c r="I244" t="str" cm="1">
        <f t="array" ref="I244">ADAPTAR(B244)&amp;ADAPTAR(C244)&amp;"_"&amp;ADAPTAR(E244)&amp;F244</f>
        <v>marcossebastian_torres26836</v>
      </c>
      <c r="J244" s="13">
        <v>2</v>
      </c>
      <c r="K244" t="str" cm="1">
        <f t="array" ref="K244">ADAPTAR(B244)&amp;"."&amp;ADAPTAR(D244)&amp;YEAR(F244)&amp;"@"&amp;VLOOKUP(J244,Dominios!$A$2:$B$30,2,FALSE)</f>
        <v>marcos.montes1973@colombiamail.co</v>
      </c>
      <c r="L244" s="13">
        <v>2</v>
      </c>
      <c r="M244">
        <f>VLOOKUP(L244,Celulares!$A$2:$B$30,2,FALSE)</f>
        <v>3115114911</v>
      </c>
    </row>
    <row r="245" spans="1:13" ht="15.75" customHeight="1" x14ac:dyDescent="0.25">
      <c r="A245" t="s">
        <v>2222</v>
      </c>
      <c r="B245" s="2" t="s">
        <v>365</v>
      </c>
      <c r="C245" s="2" t="s">
        <v>429</v>
      </c>
      <c r="D245" s="2" t="s">
        <v>458</v>
      </c>
      <c r="E245" s="2" t="s">
        <v>845</v>
      </c>
      <c r="F245" s="6">
        <v>35679</v>
      </c>
      <c r="G245" s="16">
        <f t="shared" ca="1" si="3"/>
        <v>23.838356164383562</v>
      </c>
      <c r="H245" s="2" t="s">
        <v>544</v>
      </c>
      <c r="I245" t="str" cm="1">
        <f t="array" ref="I245">ADAPTAR(B245)&amp;ADAPTAR(C245)&amp;"_"&amp;ADAPTAR(E245)&amp;F245</f>
        <v>estebangabriel_zuniga35679</v>
      </c>
      <c r="J245" s="13">
        <v>3</v>
      </c>
      <c r="K245" t="str" cm="1">
        <f t="array" ref="K245">ADAPTAR(B245)&amp;"."&amp;ADAPTAR(D245)&amp;YEAR(F245)&amp;"@"&amp;VLOOKUP(J245,Dominios!$A$2:$B$30,2,FALSE)</f>
        <v>esteban.bravo1997@diabunter.co</v>
      </c>
      <c r="L245" s="13">
        <v>3</v>
      </c>
      <c r="M245">
        <f>VLOOKUP(L245,Celulares!$A$2:$B$30,2,FALSE)</f>
        <v>3115114910</v>
      </c>
    </row>
    <row r="246" spans="1:13" ht="15.75" customHeight="1" x14ac:dyDescent="0.25">
      <c r="A246" t="s">
        <v>2223</v>
      </c>
      <c r="B246" s="2" t="s">
        <v>1105</v>
      </c>
      <c r="C246" s="2" t="s">
        <v>349</v>
      </c>
      <c r="D246" s="2" t="s">
        <v>735</v>
      </c>
      <c r="E246" s="2" t="s">
        <v>780</v>
      </c>
      <c r="F246" s="6">
        <v>24685</v>
      </c>
      <c r="G246" s="16">
        <f t="shared" ca="1" si="3"/>
        <v>53.958904109589042</v>
      </c>
      <c r="H246" s="2" t="s">
        <v>579</v>
      </c>
      <c r="I246" t="str" cm="1">
        <f t="array" ref="I246">ADAPTAR(B246)&amp;ADAPTAR(C246)&amp;"_"&amp;ADAPTAR(E246)&amp;F246</f>
        <v>liancamilo_amaya24685</v>
      </c>
      <c r="J246" s="13">
        <v>4</v>
      </c>
      <c r="K246" t="str" cm="1">
        <f t="array" ref="K246">ADAPTAR(B246)&amp;"."&amp;ADAPTAR(D246)&amp;YEAR(F246)&amp;"@"&amp;VLOOKUP(J246,Dominios!$A$2:$B$30,2,FALSE)</f>
        <v>lian.romero1967@ebrietas.co</v>
      </c>
      <c r="L246" s="13">
        <v>4</v>
      </c>
      <c r="M246">
        <f>VLOOKUP(L246,Celulares!$A$2:$B$30,2,FALSE)</f>
        <v>3115114909</v>
      </c>
    </row>
    <row r="247" spans="1:13" ht="15.75" customHeight="1" x14ac:dyDescent="0.25">
      <c r="A247" t="s">
        <v>2224</v>
      </c>
      <c r="B247" s="2" t="s">
        <v>1106</v>
      </c>
      <c r="C247" s="2" t="s">
        <v>503</v>
      </c>
      <c r="D247" s="2" t="s">
        <v>684</v>
      </c>
      <c r="E247" s="2" t="s">
        <v>838</v>
      </c>
      <c r="F247" s="6">
        <v>31832</v>
      </c>
      <c r="G247" s="16">
        <f t="shared" ca="1" si="3"/>
        <v>34.37808219178082</v>
      </c>
      <c r="H247" s="2" t="s">
        <v>567</v>
      </c>
      <c r="I247" t="str" cm="1">
        <f t="array" ref="I247">ADAPTAR(B247)&amp;ADAPTAR(C247)&amp;"_"&amp;ADAPTAR(E247)&amp;F247</f>
        <v>darwinernesto_tovar31832</v>
      </c>
      <c r="J247" s="13">
        <v>5</v>
      </c>
      <c r="K247" t="str" cm="1">
        <f t="array" ref="K247">ADAPTAR(B247)&amp;"."&amp;ADAPTAR(D247)&amp;YEAR(F247)&amp;"@"&amp;VLOOKUP(J247,Dominios!$A$2:$B$30,2,FALSE)</f>
        <v>darwin.mora1987@elsinsonte.co</v>
      </c>
      <c r="L247" s="13">
        <v>5</v>
      </c>
      <c r="M247">
        <f>VLOOKUP(L247,Celulares!$A$2:$B$30,2,FALSE)</f>
        <v>3115060130</v>
      </c>
    </row>
    <row r="248" spans="1:13" ht="15.75" customHeight="1" x14ac:dyDescent="0.25">
      <c r="A248" t="s">
        <v>2225</v>
      </c>
      <c r="B248" s="2" t="s">
        <v>341</v>
      </c>
      <c r="C248" s="2" t="s">
        <v>342</v>
      </c>
      <c r="D248" s="2" t="s">
        <v>681</v>
      </c>
      <c r="E248" s="2" t="s">
        <v>774</v>
      </c>
      <c r="F248" s="6">
        <v>27054</v>
      </c>
      <c r="G248" s="16">
        <f t="shared" ca="1" si="3"/>
        <v>47.468493150684928</v>
      </c>
      <c r="H248" s="2" t="s">
        <v>593</v>
      </c>
      <c r="I248" t="str" cm="1">
        <f t="array" ref="I248">ADAPTAR(B248)&amp;ADAPTAR(C248)&amp;"_"&amp;ADAPTAR(E248)&amp;F248</f>
        <v>juancarlos_rueda27054</v>
      </c>
      <c r="J248" s="13">
        <v>6</v>
      </c>
      <c r="K248" t="str" cm="1">
        <f t="array" ref="K248">ADAPTAR(B248)&amp;"."&amp;ADAPTAR(D248)&amp;YEAR(F248)&amp;"@"&amp;VLOOKUP(J248,Dominios!$A$2:$B$30,2,FALSE)</f>
        <v>juan.reyes1974@enigmaserver.co</v>
      </c>
      <c r="L248" s="13">
        <v>6</v>
      </c>
      <c r="M248">
        <f>VLOOKUP(L248,Celulares!$A$2:$B$30,2,FALSE)</f>
        <v>3115060125</v>
      </c>
    </row>
    <row r="249" spans="1:13" ht="15.75" customHeight="1" x14ac:dyDescent="0.25">
      <c r="A249" t="s">
        <v>2226</v>
      </c>
      <c r="B249" s="2" t="s">
        <v>483</v>
      </c>
      <c r="C249" s="2" t="s">
        <v>342</v>
      </c>
      <c r="D249" s="2" t="s">
        <v>238</v>
      </c>
      <c r="E249" s="2" t="s">
        <v>846</v>
      </c>
      <c r="F249" s="6">
        <v>29146</v>
      </c>
      <c r="G249" s="16">
        <f t="shared" ca="1" si="3"/>
        <v>41.736986301369861</v>
      </c>
      <c r="H249" s="2" t="s">
        <v>1300</v>
      </c>
      <c r="I249" t="str" cm="1">
        <f t="array" ref="I249">ADAPTAR(B249)&amp;ADAPTAR(C249)&amp;"_"&amp;ADAPTAR(E249)&amp;F249</f>
        <v>josecarlos_navarro29146</v>
      </c>
      <c r="J249" s="13">
        <v>7</v>
      </c>
      <c r="K249" t="str" cm="1">
        <f t="array" ref="K249">ADAPTAR(B249)&amp;"."&amp;ADAPTAR(D249)&amp;YEAR(F249)&amp;"@"&amp;VLOOKUP(J249,Dominios!$A$2:$B$30,2,FALSE)</f>
        <v>jose.osorio1979@hocknas.co</v>
      </c>
      <c r="L249" s="13">
        <v>7</v>
      </c>
      <c r="M249">
        <f>VLOOKUP(L249,Celulares!$A$2:$B$30,2,FALSE)</f>
        <v>3115060110</v>
      </c>
    </row>
    <row r="250" spans="1:13" ht="15.75" customHeight="1" x14ac:dyDescent="0.25">
      <c r="A250" t="s">
        <v>2227</v>
      </c>
      <c r="B250" s="2" t="s">
        <v>483</v>
      </c>
      <c r="C250" s="2" t="s">
        <v>663</v>
      </c>
      <c r="D250" s="2" t="s">
        <v>458</v>
      </c>
      <c r="E250" s="2" t="s">
        <v>821</v>
      </c>
      <c r="F250" s="6">
        <v>28128</v>
      </c>
      <c r="G250" s="16">
        <f t="shared" ca="1" si="3"/>
        <v>44.526027397260272</v>
      </c>
      <c r="H250" s="2" t="s">
        <v>1207</v>
      </c>
      <c r="I250" t="str" cm="1">
        <f t="array" ref="I250">ADAPTAR(B250)&amp;ADAPTAR(C250)&amp;"_"&amp;ADAPTAR(E250)&amp;F250</f>
        <v>joseignacio_montes28128</v>
      </c>
      <c r="J250" s="13">
        <v>8</v>
      </c>
      <c r="K250" t="str" cm="1">
        <f t="array" ref="K250">ADAPTAR(B250)&amp;"."&amp;ADAPTAR(D250)&amp;YEAR(F250)&amp;"@"&amp;VLOOKUP(J250,Dominios!$A$2:$B$30,2,FALSE)</f>
        <v>jose.bravo1977@hostedoceri.co</v>
      </c>
      <c r="L250" s="13">
        <v>8</v>
      </c>
      <c r="M250">
        <f>VLOOKUP(L250,Celulares!$A$2:$B$30,2,FALSE)</f>
        <v>3115060091</v>
      </c>
    </row>
    <row r="251" spans="1:13" ht="15.75" customHeight="1" x14ac:dyDescent="0.25">
      <c r="A251" t="s">
        <v>2228</v>
      </c>
      <c r="B251" s="2" t="s">
        <v>397</v>
      </c>
      <c r="C251" s="2" t="s">
        <v>387</v>
      </c>
      <c r="D251" s="2" t="s">
        <v>714</v>
      </c>
      <c r="E251" s="2" t="s">
        <v>746</v>
      </c>
      <c r="F251" s="6">
        <v>33728</v>
      </c>
      <c r="G251" s="16">
        <f t="shared" ca="1" si="3"/>
        <v>29.183561643835617</v>
      </c>
      <c r="H251" s="2" t="s">
        <v>542</v>
      </c>
      <c r="I251" t="str" cm="1">
        <f t="array" ref="I251">ADAPTAR(B251)&amp;ADAPTAR(C251)&amp;"_"&amp;ADAPTAR(E251)&amp;F251</f>
        <v>josedavid_arenas33728</v>
      </c>
      <c r="J251" s="13">
        <v>9</v>
      </c>
      <c r="K251" t="str" cm="1">
        <f t="array" ref="K251">ADAPTAR(B251)&amp;"."&amp;ADAPTAR(D251)&amp;YEAR(F251)&amp;"@"&amp;VLOOKUP(J251,Dominios!$A$2:$B$30,2,FALSE)</f>
        <v>jose.diaz1992@libertas.com.co</v>
      </c>
      <c r="L251" s="13">
        <v>9</v>
      </c>
      <c r="M251">
        <f>VLOOKUP(L251,Celulares!$A$2:$B$30,2,FALSE)</f>
        <v>3115060080</v>
      </c>
    </row>
    <row r="252" spans="1:13" ht="15.75" customHeight="1" x14ac:dyDescent="0.25">
      <c r="A252" t="s">
        <v>2229</v>
      </c>
      <c r="B252" s="2" t="s">
        <v>341</v>
      </c>
      <c r="C252" s="2" t="s">
        <v>382</v>
      </c>
      <c r="D252" s="2" t="s">
        <v>843</v>
      </c>
      <c r="E252" s="2" t="s">
        <v>729</v>
      </c>
      <c r="F252" s="6">
        <v>31234</v>
      </c>
      <c r="G252" s="16">
        <f t="shared" ca="1" si="3"/>
        <v>36.016438356164386</v>
      </c>
      <c r="H252" s="2" t="s">
        <v>550</v>
      </c>
      <c r="I252" t="str" cm="1">
        <f t="array" ref="I252">ADAPTAR(B252)&amp;ADAPTAR(C252)&amp;"_"&amp;ADAPTAR(E252)&amp;F252</f>
        <v>juanandres_fonseca31234</v>
      </c>
      <c r="J252" s="13">
        <v>10</v>
      </c>
      <c r="K252" t="str" cm="1">
        <f t="array" ref="K252">ADAPTAR(B252)&amp;"."&amp;ADAPTAR(D252)&amp;YEAR(F252)&amp;"@"&amp;VLOOKUP(J252,Dominios!$A$2:$B$30,2,FALSE)</f>
        <v>juan.velasco1985@nascitur.com.co</v>
      </c>
      <c r="L252" s="13">
        <v>10</v>
      </c>
      <c r="M252">
        <f>VLOOKUP(L252,Celulares!$A$2:$B$30,2,FALSE)</f>
        <v>3115114385</v>
      </c>
    </row>
    <row r="253" spans="1:13" ht="15.75" customHeight="1" x14ac:dyDescent="0.25">
      <c r="A253" t="s">
        <v>2230</v>
      </c>
      <c r="B253" s="2" t="s">
        <v>341</v>
      </c>
      <c r="C253" s="2" t="s">
        <v>369</v>
      </c>
      <c r="D253" s="2" t="s">
        <v>721</v>
      </c>
      <c r="E253" s="2" t="s">
        <v>687</v>
      </c>
      <c r="F253" s="6">
        <v>29452</v>
      </c>
      <c r="G253" s="16">
        <f t="shared" ca="1" si="3"/>
        <v>40.898630136986299</v>
      </c>
      <c r="H253" s="2" t="s">
        <v>581</v>
      </c>
      <c r="I253" t="str" cm="1">
        <f t="array" ref="I253">ADAPTAR(B253)&amp;ADAPTAR(C253)&amp;"_"&amp;ADAPTAR(E253)&amp;F253</f>
        <v>juanpablo_leon29452</v>
      </c>
      <c r="J253" s="13">
        <v>11</v>
      </c>
      <c r="K253" t="str" cm="1">
        <f t="array" ref="K253">ADAPTAR(B253)&amp;"."&amp;ADAPTAR(D253)&amp;YEAR(F253)&amp;"@"&amp;VLOOKUP(J253,Dominios!$A$2:$B$30,2,FALSE)</f>
        <v>juan.aguilar1980@nemesis.ml</v>
      </c>
      <c r="L253" s="13">
        <v>11</v>
      </c>
      <c r="M253">
        <f>VLOOKUP(L253,Celulares!$A$2:$B$30,2,FALSE)</f>
        <v>3115114360</v>
      </c>
    </row>
    <row r="254" spans="1:13" ht="15.75" customHeight="1" x14ac:dyDescent="0.25">
      <c r="A254" t="s">
        <v>2231</v>
      </c>
      <c r="B254" s="2" t="s">
        <v>341</v>
      </c>
      <c r="C254" s="2" t="s">
        <v>402</v>
      </c>
      <c r="D254" s="2" t="s">
        <v>798</v>
      </c>
      <c r="E254" s="2" t="s">
        <v>765</v>
      </c>
      <c r="F254" s="6">
        <v>31713</v>
      </c>
      <c r="G254" s="16">
        <f t="shared" ca="1" si="3"/>
        <v>34.704109589041096</v>
      </c>
      <c r="H254" s="2" t="s">
        <v>1378</v>
      </c>
      <c r="I254" t="str" cm="1">
        <f t="array" ref="I254">ADAPTAR(B254)&amp;ADAPTAR(C254)&amp;"_"&amp;ADAPTAR(E254)&amp;F254</f>
        <v>juanalberto_estrada31713</v>
      </c>
      <c r="J254" s="13">
        <v>12</v>
      </c>
      <c r="K254" t="str" cm="1">
        <f t="array" ref="K254">ADAPTAR(B254)&amp;"."&amp;ADAPTAR(D254)&amp;YEAR(F254)&amp;"@"&amp;VLOOKUP(J254,Dominios!$A$2:$B$30,2,FALSE)</f>
        <v>juan.mendoza1986@nunquam.com.co</v>
      </c>
      <c r="L254" s="13">
        <v>12</v>
      </c>
      <c r="M254">
        <f>VLOOKUP(L254,Celulares!$A$2:$B$30,2,FALSE)</f>
        <v>3115093653</v>
      </c>
    </row>
    <row r="255" spans="1:13" ht="15.75" customHeight="1" x14ac:dyDescent="0.25">
      <c r="A255" t="s">
        <v>2232</v>
      </c>
      <c r="B255" s="2" t="s">
        <v>341</v>
      </c>
      <c r="C255" s="2" t="s">
        <v>483</v>
      </c>
      <c r="D255" s="2" t="s">
        <v>744</v>
      </c>
      <c r="E255" s="2" t="s">
        <v>812</v>
      </c>
      <c r="F255" s="6">
        <v>32131</v>
      </c>
      <c r="G255" s="16">
        <f t="shared" ca="1" si="3"/>
        <v>33.558904109589044</v>
      </c>
      <c r="H255" s="2" t="s">
        <v>539</v>
      </c>
      <c r="I255" t="str" cm="1">
        <f t="array" ref="I255">ADAPTAR(B255)&amp;ADAPTAR(C255)&amp;"_"&amp;ADAPTAR(E255)&amp;F255</f>
        <v>juanjose_sepulveda32131</v>
      </c>
      <c r="J255" s="13">
        <v>13</v>
      </c>
      <c r="K255" t="str" cm="1">
        <f t="array" ref="K255">ADAPTAR(B255)&amp;"."&amp;ADAPTAR(D255)&amp;YEAR(F255)&amp;"@"&amp;VLOOKUP(J255,Dominios!$A$2:$B$30,2,FALSE)</f>
        <v>juan.pacheco1987@sempiternam.co</v>
      </c>
      <c r="L255" s="13">
        <v>13</v>
      </c>
      <c r="M255">
        <f>VLOOKUP(L255,Celulares!$A$2:$B$30,2,FALSE)</f>
        <v>3115093598</v>
      </c>
    </row>
    <row r="256" spans="1:13" ht="15.75" customHeight="1" x14ac:dyDescent="0.25">
      <c r="A256" t="s">
        <v>2233</v>
      </c>
      <c r="B256" s="2" t="s">
        <v>483</v>
      </c>
      <c r="C256" s="2" t="s">
        <v>481</v>
      </c>
      <c r="D256" s="2" t="s">
        <v>847</v>
      </c>
      <c r="E256" s="2" t="s">
        <v>828</v>
      </c>
      <c r="F256" s="6">
        <v>32703</v>
      </c>
      <c r="G256" s="16">
        <f t="shared" ca="1" si="3"/>
        <v>31.991780821917807</v>
      </c>
      <c r="H256" s="2" t="s">
        <v>555</v>
      </c>
      <c r="I256" t="str" cm="1">
        <f t="array" ref="I256">ADAPTAR(B256)&amp;ADAPTAR(C256)&amp;"_"&amp;ADAPTAR(E256)&amp;F256</f>
        <v>josemanuel_barrios32703</v>
      </c>
      <c r="J256" s="13">
        <v>14</v>
      </c>
      <c r="K256" t="str" cm="1">
        <f t="array" ref="K256">ADAPTAR(B256)&amp;"."&amp;ADAPTAR(D256)&amp;YEAR(F256)&amp;"@"&amp;VLOOKUP(J256,Dominios!$A$2:$B$30,2,FALSE)</f>
        <v>jose.uribe1989@sk9.co</v>
      </c>
      <c r="L256" s="13">
        <v>14</v>
      </c>
      <c r="M256">
        <f>VLOOKUP(L256,Celulares!$A$2:$B$30,2,FALSE)</f>
        <v>3115093583</v>
      </c>
    </row>
    <row r="257" spans="1:13" ht="15.75" customHeight="1" x14ac:dyDescent="0.25">
      <c r="A257" t="s">
        <v>2234</v>
      </c>
      <c r="B257" s="2" t="s">
        <v>431</v>
      </c>
      <c r="C257" s="2" t="s">
        <v>880</v>
      </c>
      <c r="D257" s="2" t="s">
        <v>805</v>
      </c>
      <c r="E257" s="2" t="s">
        <v>744</v>
      </c>
      <c r="F257" s="6">
        <v>33826</v>
      </c>
      <c r="G257" s="16">
        <f t="shared" ca="1" si="3"/>
        <v>28.915068493150685</v>
      </c>
      <c r="H257" s="2" t="s">
        <v>586</v>
      </c>
      <c r="I257" t="str" cm="1">
        <f t="array" ref="I257">ADAPTAR(B257)&amp;ADAPTAR(C257)&amp;"_"&amp;ADAPTAR(E257)&amp;F257</f>
        <v>luismiguel_pacheco33826</v>
      </c>
      <c r="J257" s="13">
        <v>15</v>
      </c>
      <c r="K257" t="str" cm="1">
        <f t="array" ref="K257">ADAPTAR(B257)&amp;"."&amp;ADAPTAR(D257)&amp;YEAR(F257)&amp;"@"&amp;VLOOKUP(J257,Dominios!$A$2:$B$30,2,FALSE)</f>
        <v>luis.narvaez1992@socialmediacolombia.com.co</v>
      </c>
      <c r="L257" s="13">
        <v>15</v>
      </c>
      <c r="M257">
        <f>VLOOKUP(L257,Celulares!$A$2:$B$30,2,FALSE)</f>
        <v>3115092386</v>
      </c>
    </row>
    <row r="258" spans="1:13" ht="15.75" customHeight="1" x14ac:dyDescent="0.25">
      <c r="A258" t="s">
        <v>2235</v>
      </c>
      <c r="B258" s="2" t="s">
        <v>507</v>
      </c>
      <c r="C258" s="2" t="s">
        <v>481</v>
      </c>
      <c r="D258" s="2" t="s">
        <v>839</v>
      </c>
      <c r="E258" s="2" t="s">
        <v>759</v>
      </c>
      <c r="F258" s="6">
        <v>25011</v>
      </c>
      <c r="G258" s="16">
        <f t="shared" ref="G258:G321" ca="1" si="4">(TODAY()-F258)/365</f>
        <v>53.065753424657537</v>
      </c>
      <c r="H258" s="2" t="s">
        <v>532</v>
      </c>
      <c r="I258" t="str" cm="1">
        <f t="array" ref="I258">ADAPTAR(B258)&amp;ADAPTAR(C258)&amp;"_"&amp;ADAPTAR(E258)&amp;F258</f>
        <v>victormanuel_ortiz25011</v>
      </c>
      <c r="J258" s="13">
        <v>16</v>
      </c>
      <c r="K258" t="str" cm="1">
        <f t="array" ref="K258">ADAPTAR(B258)&amp;"."&amp;ADAPTAR(D258)&amp;YEAR(F258)&amp;"@"&amp;VLOOKUP(J258,Dominios!$A$2:$B$30,2,FALSE)</f>
        <v>victor.parra1968@tecnicoensistemas.com.co</v>
      </c>
      <c r="L258" s="13">
        <v>16</v>
      </c>
      <c r="M258">
        <f>VLOOKUP(L258,Celulares!$A$2:$B$30,2,FALSE)</f>
        <v>3115092375</v>
      </c>
    </row>
    <row r="259" spans="1:13" ht="15.75" customHeight="1" x14ac:dyDescent="0.25">
      <c r="A259" t="s">
        <v>2236</v>
      </c>
      <c r="B259" s="2" t="s">
        <v>341</v>
      </c>
      <c r="C259" s="2" t="s">
        <v>349</v>
      </c>
      <c r="D259" s="2" t="s">
        <v>673</v>
      </c>
      <c r="E259" s="2" t="s">
        <v>235</v>
      </c>
      <c r="F259" s="6">
        <v>21031</v>
      </c>
      <c r="G259" s="16">
        <f t="shared" ca="1" si="4"/>
        <v>63.969863013698628</v>
      </c>
      <c r="H259" s="2" t="s">
        <v>559</v>
      </c>
      <c r="I259" t="str" cm="1">
        <f t="array" ref="I259">ADAPTAR(B259)&amp;ADAPTAR(C259)&amp;"_"&amp;ADAPTAR(E259)&amp;F259</f>
        <v>juancamilo_giraldo21031</v>
      </c>
      <c r="J259" s="13">
        <v>17</v>
      </c>
      <c r="K259" t="str" cm="1">
        <f t="array" ref="K259">ADAPTAR(B259)&amp;"."&amp;ADAPTAR(D259)&amp;YEAR(F259)&amp;"@"&amp;VLOOKUP(J259,Dominios!$A$2:$B$30,2,FALSE)</f>
        <v>juan.molina1957@totum.com.co</v>
      </c>
      <c r="L259" s="13">
        <v>17</v>
      </c>
      <c r="M259">
        <f>VLOOKUP(L259,Celulares!$A$2:$B$30,2,FALSE)</f>
        <v>3115092369</v>
      </c>
    </row>
    <row r="260" spans="1:13" ht="15.75" customHeight="1" x14ac:dyDescent="0.25">
      <c r="A260" t="s">
        <v>2237</v>
      </c>
      <c r="B260" s="2" t="s">
        <v>330</v>
      </c>
      <c r="C260" s="2" t="s">
        <v>1107</v>
      </c>
      <c r="D260" s="2" t="s">
        <v>814</v>
      </c>
      <c r="E260" s="2" t="s">
        <v>714</v>
      </c>
      <c r="F260" s="6">
        <v>32486</v>
      </c>
      <c r="G260" s="16">
        <f t="shared" ca="1" si="4"/>
        <v>32.586301369863016</v>
      </c>
      <c r="H260" s="2" t="s">
        <v>1379</v>
      </c>
      <c r="I260" t="str" cm="1">
        <f t="array" ref="I260">ADAPTAR(B260)&amp;ADAPTAR(C260)&amp;"_"&amp;ADAPTAR(E260)&amp;F260</f>
        <v>andresoctavio_diaz32486</v>
      </c>
      <c r="J260" s="13">
        <v>18</v>
      </c>
      <c r="K260" t="str" cm="1">
        <f t="array" ref="K260">ADAPTAR(B260)&amp;"."&amp;ADAPTAR(D260)&amp;YEAR(F260)&amp;"@"&amp;VLOOKUP(J260,Dominios!$A$2:$B$30,2,FALSE)</f>
        <v>andres.quintero1988@voipcolombia.co</v>
      </c>
      <c r="L260" s="13">
        <v>18</v>
      </c>
      <c r="M260">
        <f>VLOOKUP(L260,Celulares!$A$2:$B$30,2,FALSE)</f>
        <v>3115092360</v>
      </c>
    </row>
    <row r="261" spans="1:13" ht="15.75" customHeight="1" x14ac:dyDescent="0.25">
      <c r="A261" t="s">
        <v>2238</v>
      </c>
      <c r="B261" s="2" t="s">
        <v>513</v>
      </c>
      <c r="C261" s="2" t="s">
        <v>330</v>
      </c>
      <c r="D261" s="2" t="s">
        <v>825</v>
      </c>
      <c r="E261" s="2" t="s">
        <v>844</v>
      </c>
      <c r="F261" s="6">
        <v>28805</v>
      </c>
      <c r="G261" s="16">
        <f t="shared" ca="1" si="4"/>
        <v>42.671232876712331</v>
      </c>
      <c r="H261" s="2" t="s">
        <v>535</v>
      </c>
      <c r="I261" t="str" cm="1">
        <f t="array" ref="I261">ADAPTAR(B261)&amp;ADAPTAR(C261)&amp;"_"&amp;ADAPTAR(E261)&amp;F261</f>
        <v>fabioandres_acevedo28805</v>
      </c>
      <c r="J261" s="13">
        <v>19</v>
      </c>
      <c r="K261" t="str" cm="1">
        <f t="array" ref="K261">ADAPTAR(B261)&amp;"."&amp;ADAPTAR(D261)&amp;YEAR(F261)&amp;"@"&amp;VLOOKUP(J261,Dominios!$A$2:$B$30,2,FALSE)</f>
        <v>fabio.moreno1978@vpncolombia.com.co</v>
      </c>
      <c r="L261" s="13">
        <v>19</v>
      </c>
      <c r="M261">
        <f>VLOOKUP(L261,Celulares!$A$2:$B$30,2,FALSE)</f>
        <v>3115092352</v>
      </c>
    </row>
    <row r="262" spans="1:13" ht="15.75" customHeight="1" x14ac:dyDescent="0.25">
      <c r="A262" t="s">
        <v>2239</v>
      </c>
      <c r="B262" s="2" t="s">
        <v>431</v>
      </c>
      <c r="C262" s="2" t="s">
        <v>450</v>
      </c>
      <c r="D262" s="2" t="s">
        <v>686</v>
      </c>
      <c r="E262" s="2" t="s">
        <v>761</v>
      </c>
      <c r="F262" s="6">
        <v>22973</v>
      </c>
      <c r="G262" s="16">
        <f t="shared" ca="1" si="4"/>
        <v>58.649315068493152</v>
      </c>
      <c r="H262" s="2" t="s">
        <v>1301</v>
      </c>
      <c r="I262" t="str" cm="1">
        <f t="array" ref="I262">ADAPTAR(B262)&amp;ADAPTAR(C262)&amp;"_"&amp;ADAPTAR(E262)&amp;F262</f>
        <v>luisenrique_montoya22973</v>
      </c>
      <c r="J262" s="13">
        <v>0</v>
      </c>
      <c r="K262" t="str" cm="1">
        <f t="array" ref="K262">ADAPTAR(B262)&amp;"."&amp;ADAPTAR(D262)&amp;YEAR(F262)&amp;"@"&amp;VLOOKUP(J262,Dominios!$A$2:$B$30,2,FALSE)</f>
        <v>luis.contreras1962@auribus.com.co</v>
      </c>
      <c r="L262" s="13">
        <v>0</v>
      </c>
      <c r="M262">
        <f>VLOOKUP(L262,Celulares!$A$2:$B$30,2,FALSE)</f>
        <v>3115114930</v>
      </c>
    </row>
    <row r="263" spans="1:13" ht="15.75" customHeight="1" x14ac:dyDescent="0.25">
      <c r="A263" t="s">
        <v>2240</v>
      </c>
      <c r="B263" s="2" t="s">
        <v>341</v>
      </c>
      <c r="C263" s="2" t="s">
        <v>387</v>
      </c>
      <c r="D263" s="2" t="s">
        <v>802</v>
      </c>
      <c r="E263" s="2" t="s">
        <v>803</v>
      </c>
      <c r="F263" s="6">
        <v>23272</v>
      </c>
      <c r="G263" s="16">
        <f t="shared" ca="1" si="4"/>
        <v>57.830136986301369</v>
      </c>
      <c r="H263" s="2" t="s">
        <v>1380</v>
      </c>
      <c r="I263" t="str" cm="1">
        <f t="array" ref="I263">ADAPTAR(B263)&amp;ADAPTAR(C263)&amp;"_"&amp;ADAPTAR(E263)&amp;F263</f>
        <v>juandavid_marin23272</v>
      </c>
      <c r="J263" s="13">
        <v>1</v>
      </c>
      <c r="K263" t="str" cm="1">
        <f t="array" ref="K263">ADAPTAR(B263)&amp;"."&amp;ADAPTAR(D263)&amp;YEAR(F263)&amp;"@"&amp;VLOOKUP(J263,Dominios!$A$2:$B$30,2,FALSE)</f>
        <v>juan.castro1963@colamus.co</v>
      </c>
      <c r="L263" s="13">
        <v>1</v>
      </c>
      <c r="M263">
        <f>VLOOKUP(L263,Celulares!$A$2:$B$30,2,FALSE)</f>
        <v>3115114916</v>
      </c>
    </row>
    <row r="264" spans="1:13" ht="15.75" customHeight="1" x14ac:dyDescent="0.25">
      <c r="A264" t="s">
        <v>2241</v>
      </c>
      <c r="B264" s="2" t="s">
        <v>356</v>
      </c>
      <c r="C264" s="2" t="s">
        <v>669</v>
      </c>
      <c r="D264" s="2" t="s">
        <v>684</v>
      </c>
      <c r="E264" s="2" t="s">
        <v>672</v>
      </c>
      <c r="F264" s="6">
        <v>30362</v>
      </c>
      <c r="G264" s="16">
        <f t="shared" ca="1" si="4"/>
        <v>38.405479452054792</v>
      </c>
      <c r="H264" s="2" t="s">
        <v>608</v>
      </c>
      <c r="I264" t="str" cm="1">
        <f t="array" ref="I264">ADAPTAR(B264)&amp;ADAPTAR(C264)&amp;"_"&amp;ADAPTAR(E264)&amp;F264</f>
        <v>gustavoalfredo_londono30362</v>
      </c>
      <c r="J264" s="13">
        <v>2</v>
      </c>
      <c r="K264" t="str" cm="1">
        <f t="array" ref="K264">ADAPTAR(B264)&amp;"."&amp;ADAPTAR(D264)&amp;YEAR(F264)&amp;"@"&amp;VLOOKUP(J264,Dominios!$A$2:$B$30,2,FALSE)</f>
        <v>gustavo.mora1983@colombiamail.co</v>
      </c>
      <c r="L264" s="13">
        <v>2</v>
      </c>
      <c r="M264">
        <f>VLOOKUP(L264,Celulares!$A$2:$B$30,2,FALSE)</f>
        <v>3115114911</v>
      </c>
    </row>
    <row r="265" spans="1:13" ht="15.75" customHeight="1" x14ac:dyDescent="0.25">
      <c r="A265" t="s">
        <v>2242</v>
      </c>
      <c r="B265" s="2" t="s">
        <v>483</v>
      </c>
      <c r="C265" s="2" t="s">
        <v>399</v>
      </c>
      <c r="D265" s="2" t="s">
        <v>784</v>
      </c>
      <c r="E265" s="2" t="s">
        <v>684</v>
      </c>
      <c r="F265" s="6">
        <v>21492</v>
      </c>
      <c r="G265" s="16">
        <f t="shared" ca="1" si="4"/>
        <v>62.706849315068496</v>
      </c>
      <c r="H265" s="2" t="s">
        <v>594</v>
      </c>
      <c r="I265" t="str" cm="1">
        <f t="array" ref="I265">ADAPTAR(B265)&amp;ADAPTAR(C265)&amp;"_"&amp;ADAPTAR(E265)&amp;F265</f>
        <v>josepedro_mora21492</v>
      </c>
      <c r="J265" s="13">
        <v>3</v>
      </c>
      <c r="K265" t="str" cm="1">
        <f t="array" ref="K265">ADAPTAR(B265)&amp;"."&amp;ADAPTAR(D265)&amp;YEAR(F265)&amp;"@"&amp;VLOOKUP(J265,Dominios!$A$2:$B$30,2,FALSE)</f>
        <v>jose.torres1958@diabunter.co</v>
      </c>
      <c r="L265" s="13">
        <v>3</v>
      </c>
      <c r="M265">
        <f>VLOOKUP(L265,Celulares!$A$2:$B$30,2,FALSE)</f>
        <v>3115114910</v>
      </c>
    </row>
    <row r="266" spans="1:13" ht="15.75" customHeight="1" x14ac:dyDescent="0.25">
      <c r="A266" t="s">
        <v>2243</v>
      </c>
      <c r="B266" s="2" t="s">
        <v>1108</v>
      </c>
      <c r="C266" s="2" t="s">
        <v>1054</v>
      </c>
      <c r="D266" s="2" t="s">
        <v>235</v>
      </c>
      <c r="E266" s="2" t="s">
        <v>730</v>
      </c>
      <c r="F266" s="6">
        <v>35308</v>
      </c>
      <c r="G266" s="16">
        <f t="shared" ca="1" si="4"/>
        <v>24.854794520547944</v>
      </c>
      <c r="H266" s="2" t="s">
        <v>583</v>
      </c>
      <c r="I266" t="str" cm="1">
        <f t="array" ref="I266">ADAPTAR(B266)&amp;ADAPTAR(C266)&amp;"_"&amp;ADAPTAR(E266)&amp;F266</f>
        <v>damiande jesus_perez35308</v>
      </c>
      <c r="J266" s="13">
        <v>4</v>
      </c>
      <c r="K266" t="str" cm="1">
        <f t="array" ref="K266">ADAPTAR(B266)&amp;"."&amp;ADAPTAR(D266)&amp;YEAR(F266)&amp;"@"&amp;VLOOKUP(J266,Dominios!$A$2:$B$30,2,FALSE)</f>
        <v>damian.giraldo1996@ebrietas.co</v>
      </c>
      <c r="L266" s="13">
        <v>4</v>
      </c>
      <c r="M266">
        <f>VLOOKUP(L266,Celulares!$A$2:$B$30,2,FALSE)</f>
        <v>3115114909</v>
      </c>
    </row>
    <row r="267" spans="1:13" ht="15.75" customHeight="1" x14ac:dyDescent="0.25">
      <c r="A267" t="s">
        <v>2244</v>
      </c>
      <c r="B267" s="2" t="s">
        <v>401</v>
      </c>
      <c r="C267" s="2" t="s">
        <v>448</v>
      </c>
      <c r="D267" s="2" t="s">
        <v>718</v>
      </c>
      <c r="E267" s="2" t="s">
        <v>723</v>
      </c>
      <c r="F267" s="6">
        <v>27825</v>
      </c>
      <c r="G267" s="16">
        <f t="shared" ca="1" si="4"/>
        <v>45.356164383561641</v>
      </c>
      <c r="H267" s="2" t="s">
        <v>1312</v>
      </c>
      <c r="I267" t="str" cm="1">
        <f t="array" ref="I267">ADAPTAR(B267)&amp;ADAPTAR(C267)&amp;"_"&amp;ADAPTAR(E267)&amp;F267</f>
        <v>oscarivan_paez27825</v>
      </c>
      <c r="J267" s="13">
        <v>5</v>
      </c>
      <c r="K267" t="str" cm="1">
        <f t="array" ref="K267">ADAPTAR(B267)&amp;"."&amp;ADAPTAR(D267)&amp;YEAR(F267)&amp;"@"&amp;VLOOKUP(J267,Dominios!$A$2:$B$30,2,FALSE)</f>
        <v>oscar.mercado1976@elsinsonte.co</v>
      </c>
      <c r="L267" s="13">
        <v>5</v>
      </c>
      <c r="M267">
        <f>VLOOKUP(L267,Celulares!$A$2:$B$30,2,FALSE)</f>
        <v>3115060130</v>
      </c>
    </row>
    <row r="268" spans="1:13" ht="15.75" customHeight="1" x14ac:dyDescent="0.25">
      <c r="A268" t="s">
        <v>2245</v>
      </c>
      <c r="B268" s="2" t="s">
        <v>431</v>
      </c>
      <c r="C268" s="2" t="s">
        <v>498</v>
      </c>
      <c r="D268" s="2" t="s">
        <v>731</v>
      </c>
      <c r="E268" s="2" t="s">
        <v>717</v>
      </c>
      <c r="F268" s="6">
        <v>22609</v>
      </c>
      <c r="G268" s="16">
        <f t="shared" ca="1" si="4"/>
        <v>59.646575342465752</v>
      </c>
      <c r="H268" s="2" t="s">
        <v>1381</v>
      </c>
      <c r="I268" t="str" cm="1">
        <f t="array" ref="I268">ADAPTAR(B268)&amp;ADAPTAR(C268)&amp;"_"&amp;ADAPTAR(E268)&amp;F268</f>
        <v>luisalfonso_vasquez22609</v>
      </c>
      <c r="J268" s="13">
        <v>6</v>
      </c>
      <c r="K268" t="str" cm="1">
        <f t="array" ref="K268">ADAPTAR(B268)&amp;"."&amp;ADAPTAR(D268)&amp;YEAR(F268)&amp;"@"&amp;VLOOKUP(J268,Dominios!$A$2:$B$30,2,FALSE)</f>
        <v>luis.meza1961@enigmaserver.co</v>
      </c>
      <c r="L268" s="13">
        <v>6</v>
      </c>
      <c r="M268">
        <f>VLOOKUP(L268,Celulares!$A$2:$B$30,2,FALSE)</f>
        <v>3115060125</v>
      </c>
    </row>
    <row r="269" spans="1:13" ht="15.75" customHeight="1" x14ac:dyDescent="0.25">
      <c r="A269" t="s">
        <v>2246</v>
      </c>
      <c r="B269" s="2" t="s">
        <v>483</v>
      </c>
      <c r="C269" s="2" t="s">
        <v>432</v>
      </c>
      <c r="D269" s="2" t="s">
        <v>711</v>
      </c>
      <c r="E269" s="2" t="s">
        <v>794</v>
      </c>
      <c r="F269" s="6">
        <v>28821</v>
      </c>
      <c r="G269" s="16">
        <f t="shared" ca="1" si="4"/>
        <v>42.627397260273973</v>
      </c>
      <c r="H269" s="2" t="s">
        <v>575</v>
      </c>
      <c r="I269" t="str" cm="1">
        <f t="array" ref="I269">ADAPTAR(B269)&amp;ADAPTAR(C269)&amp;"_"&amp;ADAPTAR(E269)&amp;F269</f>
        <v>joseantonio_sarmiento28821</v>
      </c>
      <c r="J269" s="13">
        <v>7</v>
      </c>
      <c r="K269" t="str" cm="1">
        <f t="array" ref="K269">ADAPTAR(B269)&amp;"."&amp;ADAPTAR(D269)&amp;YEAR(F269)&amp;"@"&amp;VLOOKUP(J269,Dominios!$A$2:$B$30,2,FALSE)</f>
        <v>jose.carvajal1978@hocknas.co</v>
      </c>
      <c r="L269" s="13">
        <v>7</v>
      </c>
      <c r="M269">
        <f>VLOOKUP(L269,Celulares!$A$2:$B$30,2,FALSE)</f>
        <v>3115060110</v>
      </c>
    </row>
    <row r="270" spans="1:13" ht="15.75" customHeight="1" x14ac:dyDescent="0.25">
      <c r="A270" t="s">
        <v>2247</v>
      </c>
      <c r="B270" s="2" t="s">
        <v>371</v>
      </c>
      <c r="C270" s="2" t="s">
        <v>391</v>
      </c>
      <c r="D270" s="2" t="s">
        <v>712</v>
      </c>
      <c r="E270" s="2" t="s">
        <v>754</v>
      </c>
      <c r="F270" s="6">
        <v>30202</v>
      </c>
      <c r="G270" s="16">
        <f t="shared" ca="1" si="4"/>
        <v>38.843835616438355</v>
      </c>
      <c r="H270" s="2" t="s">
        <v>1326</v>
      </c>
      <c r="I270" t="str" cm="1">
        <f t="array" ref="I270">ADAPTAR(B270)&amp;ADAPTAR(C270)&amp;"_"&amp;ADAPTAR(E270)&amp;F270</f>
        <v>juliocesar_soto30202</v>
      </c>
      <c r="J270" s="13">
        <v>8</v>
      </c>
      <c r="K270" t="str" cm="1">
        <f t="array" ref="K270">ADAPTAR(B270)&amp;"."&amp;ADAPTAR(D270)&amp;YEAR(F270)&amp;"@"&amp;VLOOKUP(J270,Dominios!$A$2:$B$30,2,FALSE)</f>
        <v>julio.padilla1982@hostedoceri.co</v>
      </c>
      <c r="L270" s="13">
        <v>8</v>
      </c>
      <c r="M270">
        <f>VLOOKUP(L270,Celulares!$A$2:$B$30,2,FALSE)</f>
        <v>3115060091</v>
      </c>
    </row>
    <row r="271" spans="1:13" ht="15.75" customHeight="1" x14ac:dyDescent="0.25">
      <c r="A271" t="s">
        <v>2248</v>
      </c>
      <c r="B271" s="2" t="s">
        <v>866</v>
      </c>
      <c r="C271" s="2" t="s">
        <v>426</v>
      </c>
      <c r="D271" s="2" t="s">
        <v>793</v>
      </c>
      <c r="E271" s="2" t="s">
        <v>721</v>
      </c>
      <c r="F271" s="6">
        <v>27245</v>
      </c>
      <c r="G271" s="16">
        <f t="shared" ca="1" si="4"/>
        <v>46.945205479452056</v>
      </c>
      <c r="H271" s="2" t="s">
        <v>578</v>
      </c>
      <c r="I271" t="str" cm="1">
        <f t="array" ref="I271">ADAPTAR(B271)&amp;ADAPTAR(C271)&amp;"_"&amp;ADAPTAR(E271)&amp;F271</f>
        <v>omaraugusto_aguilar27245</v>
      </c>
      <c r="J271" s="13">
        <v>9</v>
      </c>
      <c r="K271" t="str" cm="1">
        <f t="array" ref="K271">ADAPTAR(B271)&amp;"."&amp;ADAPTAR(D271)&amp;YEAR(F271)&amp;"@"&amp;VLOOKUP(J271,Dominios!$A$2:$B$30,2,FALSE)</f>
        <v>omar.ramos1974@libertas.com.co</v>
      </c>
      <c r="L271" s="13">
        <v>9</v>
      </c>
      <c r="M271">
        <f>VLOOKUP(L271,Celulares!$A$2:$B$30,2,FALSE)</f>
        <v>3115060080</v>
      </c>
    </row>
    <row r="272" spans="1:13" ht="15.75" customHeight="1" x14ac:dyDescent="0.25">
      <c r="A272" t="s">
        <v>2249</v>
      </c>
      <c r="B272" s="2" t="s">
        <v>1109</v>
      </c>
      <c r="C272" s="2" t="s">
        <v>491</v>
      </c>
      <c r="D272" s="2" t="s">
        <v>710</v>
      </c>
      <c r="E272" s="2" t="s">
        <v>832</v>
      </c>
      <c r="F272" s="6">
        <v>21211</v>
      </c>
      <c r="G272" s="16">
        <f t="shared" ca="1" si="4"/>
        <v>63.476712328767121</v>
      </c>
      <c r="H272" s="2" t="s">
        <v>1382</v>
      </c>
      <c r="I272" t="str" cm="1">
        <f t="array" ref="I272">ADAPTAR(B272)&amp;ADAPTAR(C272)&amp;"_"&amp;ADAPTAR(E272)&amp;F272</f>
        <v>brianstiven_cardenas21211</v>
      </c>
      <c r="J272" s="13">
        <v>10</v>
      </c>
      <c r="K272" t="str" cm="1">
        <f t="array" ref="K272">ADAPTAR(B272)&amp;"."&amp;ADAPTAR(D272)&amp;YEAR(F272)&amp;"@"&amp;VLOOKUP(J272,Dominios!$A$2:$B$30,2,FALSE)</f>
        <v>brian.franco1958@nascitur.com.co</v>
      </c>
      <c r="L272" s="13">
        <v>10</v>
      </c>
      <c r="M272">
        <f>VLOOKUP(L272,Celulares!$A$2:$B$30,2,FALSE)</f>
        <v>3115114385</v>
      </c>
    </row>
    <row r="273" spans="1:13" ht="15.75" customHeight="1" x14ac:dyDescent="0.25">
      <c r="A273" t="s">
        <v>2250</v>
      </c>
      <c r="B273" s="2" t="s">
        <v>1110</v>
      </c>
      <c r="C273" s="2" t="s">
        <v>349</v>
      </c>
      <c r="D273" s="2" t="s">
        <v>829</v>
      </c>
      <c r="E273" s="2" t="s">
        <v>780</v>
      </c>
      <c r="F273" s="6">
        <v>26326</v>
      </c>
      <c r="G273" s="16">
        <f t="shared" ca="1" si="4"/>
        <v>49.463013698630135</v>
      </c>
      <c r="H273" s="2" t="s">
        <v>542</v>
      </c>
      <c r="I273" t="str" cm="1">
        <f t="array" ref="I273">ADAPTAR(B273)&amp;ADAPTAR(C273)&amp;"_"&amp;ADAPTAR(E273)&amp;F273</f>
        <v>matiascamilo_amaya26326</v>
      </c>
      <c r="J273" s="13">
        <v>11</v>
      </c>
      <c r="K273" t="str" cm="1">
        <f t="array" ref="K273">ADAPTAR(B273)&amp;"."&amp;ADAPTAR(D273)&amp;YEAR(F273)&amp;"@"&amp;VLOOKUP(J273,Dominios!$A$2:$B$30,2,FALSE)</f>
        <v>matias.palacio1972@nemesis.ml</v>
      </c>
      <c r="L273" s="13">
        <v>11</v>
      </c>
      <c r="M273">
        <f>VLOOKUP(L273,Celulares!$A$2:$B$30,2,FALSE)</f>
        <v>3115114360</v>
      </c>
    </row>
    <row r="274" spans="1:13" ht="15.75" customHeight="1" x14ac:dyDescent="0.25">
      <c r="A274" t="s">
        <v>2251</v>
      </c>
      <c r="B274" s="2" t="s">
        <v>359</v>
      </c>
      <c r="C274" s="2" t="s">
        <v>330</v>
      </c>
      <c r="D274" s="2" t="s">
        <v>769</v>
      </c>
      <c r="E274" s="2" t="s">
        <v>719</v>
      </c>
      <c r="F274" s="6">
        <v>29440</v>
      </c>
      <c r="G274" s="16">
        <f t="shared" ca="1" si="4"/>
        <v>40.93150684931507</v>
      </c>
      <c r="H274" s="2" t="s">
        <v>564</v>
      </c>
      <c r="I274" t="str" cm="1">
        <f t="array" ref="I274">ADAPTAR(B274)&amp;ADAPTAR(C274)&amp;"_"&amp;ADAPTAR(E274)&amp;F274</f>
        <v>sergioandres_suarez29440</v>
      </c>
      <c r="J274" s="13">
        <v>12</v>
      </c>
      <c r="K274" t="str" cm="1">
        <f t="array" ref="K274">ADAPTAR(B274)&amp;"."&amp;ADAPTAR(D274)&amp;YEAR(F274)&amp;"@"&amp;VLOOKUP(J274,Dominios!$A$2:$B$30,2,FALSE)</f>
        <v>sergio.angulo1980@nunquam.com.co</v>
      </c>
      <c r="L274" s="13">
        <v>12</v>
      </c>
      <c r="M274">
        <f>VLOOKUP(L274,Celulares!$A$2:$B$30,2,FALSE)</f>
        <v>3115093653</v>
      </c>
    </row>
    <row r="275" spans="1:13" ht="15.75" customHeight="1" x14ac:dyDescent="0.25">
      <c r="A275" t="s">
        <v>2252</v>
      </c>
      <c r="B275" s="2" t="s">
        <v>335</v>
      </c>
      <c r="C275" s="2" t="s">
        <v>1111</v>
      </c>
      <c r="D275" s="2" t="s">
        <v>221</v>
      </c>
      <c r="E275" s="2" t="s">
        <v>824</v>
      </c>
      <c r="F275" s="6">
        <v>30049</v>
      </c>
      <c r="G275" s="16">
        <f t="shared" ca="1" si="4"/>
        <v>39.263013698630139</v>
      </c>
      <c r="H275" s="2" t="s">
        <v>1284</v>
      </c>
      <c r="I275" t="str" cm="1">
        <f t="array" ref="I275">ADAPTAR(B275)&amp;ADAPTAR(C275)&amp;"_"&amp;ADAPTAR(E275)&amp;F275</f>
        <v>sebastiantomas_jaramillo30049</v>
      </c>
      <c r="J275" s="13">
        <v>13</v>
      </c>
      <c r="K275" t="str" cm="1">
        <f t="array" ref="K275">ADAPTAR(B275)&amp;"."&amp;ADAPTAR(D275)&amp;YEAR(F275)&amp;"@"&amp;VLOOKUP(J275,Dominios!$A$2:$B$30,2,FALSE)</f>
        <v>sebastian.silva1982@sempiternam.co</v>
      </c>
      <c r="L275" s="13">
        <v>13</v>
      </c>
      <c r="M275">
        <f>VLOOKUP(L275,Celulares!$A$2:$B$30,2,FALSE)</f>
        <v>3115093598</v>
      </c>
    </row>
    <row r="276" spans="1:13" ht="15.75" customHeight="1" x14ac:dyDescent="0.25">
      <c r="A276" t="s">
        <v>2253</v>
      </c>
      <c r="B276" s="2" t="s">
        <v>431</v>
      </c>
      <c r="C276" s="2" t="s">
        <v>402</v>
      </c>
      <c r="D276" s="2" t="s">
        <v>800</v>
      </c>
      <c r="E276" s="2" t="s">
        <v>745</v>
      </c>
      <c r="F276" s="6">
        <v>32745</v>
      </c>
      <c r="G276" s="16">
        <f t="shared" ca="1" si="4"/>
        <v>31.876712328767123</v>
      </c>
      <c r="H276" s="2" t="s">
        <v>544</v>
      </c>
      <c r="I276" t="str" cm="1">
        <f t="array" ref="I276">ADAPTAR(B276)&amp;ADAPTAR(C276)&amp;"_"&amp;ADAPTAR(E276)&amp;F276</f>
        <v>luisalberto_zambrano32745</v>
      </c>
      <c r="J276" s="13">
        <v>14</v>
      </c>
      <c r="K276" t="str" cm="1">
        <f t="array" ref="K276">ADAPTAR(B276)&amp;"."&amp;ADAPTAR(D276)&amp;YEAR(F276)&amp;"@"&amp;VLOOKUP(J276,Dominios!$A$2:$B$30,2,FALSE)</f>
        <v>luis.carrillo1989@sk9.co</v>
      </c>
      <c r="L276" s="13">
        <v>14</v>
      </c>
      <c r="M276">
        <f>VLOOKUP(L276,Celulares!$A$2:$B$30,2,FALSE)</f>
        <v>3115093583</v>
      </c>
    </row>
    <row r="277" spans="1:13" ht="15.75" customHeight="1" x14ac:dyDescent="0.25">
      <c r="A277" t="s">
        <v>2254</v>
      </c>
      <c r="B277" s="2" t="s">
        <v>880</v>
      </c>
      <c r="C277" s="2" t="s">
        <v>656</v>
      </c>
      <c r="D277" s="2" t="s">
        <v>717</v>
      </c>
      <c r="E277" s="2" t="s">
        <v>692</v>
      </c>
      <c r="F277" s="6">
        <v>34293</v>
      </c>
      <c r="G277" s="16">
        <f t="shared" ca="1" si="4"/>
        <v>27.635616438356163</v>
      </c>
      <c r="H277" s="2" t="s">
        <v>1383</v>
      </c>
      <c r="I277" t="str" cm="1">
        <f t="array" ref="I277">ADAPTAR(B277)&amp;ADAPTAR(C277)&amp;"_"&amp;ADAPTAR(E277)&amp;F277</f>
        <v>miguelangel_hurtado34293</v>
      </c>
      <c r="J277" s="13">
        <v>15</v>
      </c>
      <c r="K277" t="str" cm="1">
        <f t="array" ref="K277">ADAPTAR(B277)&amp;"."&amp;ADAPTAR(D277)&amp;YEAR(F277)&amp;"@"&amp;VLOOKUP(J277,Dominios!$A$2:$B$30,2,FALSE)</f>
        <v>miguel.vasquez1993@socialmediacolombia.com.co</v>
      </c>
      <c r="L277" s="13">
        <v>15</v>
      </c>
      <c r="M277">
        <f>VLOOKUP(L277,Celulares!$A$2:$B$30,2,FALSE)</f>
        <v>3115092386</v>
      </c>
    </row>
    <row r="278" spans="1:13" ht="15.75" customHeight="1" x14ac:dyDescent="0.25">
      <c r="A278" t="s">
        <v>2255</v>
      </c>
      <c r="B278" s="2" t="s">
        <v>342</v>
      </c>
      <c r="C278" s="2" t="s">
        <v>402</v>
      </c>
      <c r="D278" s="2" t="s">
        <v>767</v>
      </c>
      <c r="E278" s="2" t="s">
        <v>736</v>
      </c>
      <c r="F278" s="6">
        <v>33322</v>
      </c>
      <c r="G278" s="16">
        <f t="shared" ca="1" si="4"/>
        <v>30.295890410958904</v>
      </c>
      <c r="H278" s="2" t="s">
        <v>1384</v>
      </c>
      <c r="I278" t="str" cm="1">
        <f t="array" ref="I278">ADAPTAR(B278)&amp;ADAPTAR(C278)&amp;"_"&amp;ADAPTAR(E278)&amp;F278</f>
        <v>carlosalberto_bohorquez33322</v>
      </c>
      <c r="J278" s="13">
        <v>16</v>
      </c>
      <c r="K278" t="str" cm="1">
        <f t="array" ref="K278">ADAPTAR(B278)&amp;"."&amp;ADAPTAR(D278)&amp;YEAR(F278)&amp;"@"&amp;VLOOKUP(J278,Dominios!$A$2:$B$30,2,FALSE)</f>
        <v>carlos.toro1991@tecnicoensistemas.com.co</v>
      </c>
      <c r="L278" s="13">
        <v>16</v>
      </c>
      <c r="M278">
        <f>VLOOKUP(L278,Celulares!$A$2:$B$30,2,FALSE)</f>
        <v>3115092375</v>
      </c>
    </row>
    <row r="279" spans="1:13" ht="15.75" customHeight="1" x14ac:dyDescent="0.25">
      <c r="A279" t="s">
        <v>2256</v>
      </c>
      <c r="B279" s="2" t="s">
        <v>341</v>
      </c>
      <c r="C279" s="2" t="s">
        <v>342</v>
      </c>
      <c r="D279" s="2" t="s">
        <v>750</v>
      </c>
      <c r="E279" s="2" t="s">
        <v>829</v>
      </c>
      <c r="F279" s="6">
        <v>24751</v>
      </c>
      <c r="G279" s="16">
        <f t="shared" ca="1" si="4"/>
        <v>53.778082191780825</v>
      </c>
      <c r="H279" s="2" t="s">
        <v>1385</v>
      </c>
      <c r="I279" t="str" cm="1">
        <f t="array" ref="I279">ADAPTAR(B279)&amp;ADAPTAR(C279)&amp;"_"&amp;ADAPTAR(E279)&amp;F279</f>
        <v>juancarlos_palacio24751</v>
      </c>
      <c r="J279" s="13">
        <v>17</v>
      </c>
      <c r="K279" t="str" cm="1">
        <f t="array" ref="K279">ADAPTAR(B279)&amp;"."&amp;ADAPTAR(D279)&amp;YEAR(F279)&amp;"@"&amp;VLOOKUP(J279,Dominios!$A$2:$B$30,2,FALSE)</f>
        <v>juan.cardona1967@totum.com.co</v>
      </c>
      <c r="L279" s="13">
        <v>17</v>
      </c>
      <c r="M279">
        <f>VLOOKUP(L279,Celulares!$A$2:$B$30,2,FALSE)</f>
        <v>3115092369</v>
      </c>
    </row>
    <row r="280" spans="1:13" ht="15.75" customHeight="1" x14ac:dyDescent="0.25">
      <c r="A280" t="s">
        <v>2257</v>
      </c>
      <c r="B280" s="2" t="s">
        <v>341</v>
      </c>
      <c r="C280" s="2" t="s">
        <v>483</v>
      </c>
      <c r="D280" s="2" t="s">
        <v>755</v>
      </c>
      <c r="E280" s="2" t="s">
        <v>673</v>
      </c>
      <c r="F280" s="6">
        <v>28132</v>
      </c>
      <c r="G280" s="16">
        <f t="shared" ca="1" si="4"/>
        <v>44.515068493150686</v>
      </c>
      <c r="H280" s="2" t="s">
        <v>568</v>
      </c>
      <c r="I280" t="str" cm="1">
        <f t="array" ref="I280">ADAPTAR(B280)&amp;ADAPTAR(C280)&amp;"_"&amp;ADAPTAR(E280)&amp;F280</f>
        <v>juanjose_molina28132</v>
      </c>
      <c r="J280" s="13">
        <v>18</v>
      </c>
      <c r="K280" t="str" cm="1">
        <f t="array" ref="K280">ADAPTAR(B280)&amp;"."&amp;ADAPTAR(D280)&amp;YEAR(F280)&amp;"@"&amp;VLOOKUP(J280,Dominios!$A$2:$B$30,2,FALSE)</f>
        <v>juan.bolanos1977@voipcolombia.co</v>
      </c>
      <c r="L280" s="13">
        <v>18</v>
      </c>
      <c r="M280">
        <f>VLOOKUP(L280,Celulares!$A$2:$B$30,2,FALSE)</f>
        <v>3115092360</v>
      </c>
    </row>
    <row r="281" spans="1:13" ht="15.75" customHeight="1" x14ac:dyDescent="0.25">
      <c r="A281" t="s">
        <v>2258</v>
      </c>
      <c r="B281" s="2" t="s">
        <v>483</v>
      </c>
      <c r="C281" s="2" t="s">
        <v>880</v>
      </c>
      <c r="D281" s="2" t="s">
        <v>845</v>
      </c>
      <c r="E281" s="2" t="s">
        <v>688</v>
      </c>
      <c r="F281" s="6">
        <v>34032</v>
      </c>
      <c r="G281" s="16">
        <f t="shared" ca="1" si="4"/>
        <v>28.350684931506848</v>
      </c>
      <c r="H281" s="2" t="s">
        <v>537</v>
      </c>
      <c r="I281" t="str" cm="1">
        <f t="array" ref="I281">ADAPTAR(B281)&amp;ADAPTAR(C281)&amp;"_"&amp;ADAPTAR(E281)&amp;F281</f>
        <v>josemiguel_escobar34032</v>
      </c>
      <c r="J281" s="13">
        <v>19</v>
      </c>
      <c r="K281" t="str" cm="1">
        <f t="array" ref="K281">ADAPTAR(B281)&amp;"."&amp;ADAPTAR(D281)&amp;YEAR(F281)&amp;"@"&amp;VLOOKUP(J281,Dominios!$A$2:$B$30,2,FALSE)</f>
        <v>jose.zuniga1993@vpncolombia.com.co</v>
      </c>
      <c r="L281" s="13">
        <v>19</v>
      </c>
      <c r="M281">
        <f>VLOOKUP(L281,Celulares!$A$2:$B$30,2,FALSE)</f>
        <v>3115092352</v>
      </c>
    </row>
    <row r="282" spans="1:13" ht="15.75" customHeight="1" x14ac:dyDescent="0.25">
      <c r="A282" t="s">
        <v>2259</v>
      </c>
      <c r="B282" s="2" t="s">
        <v>483</v>
      </c>
      <c r="C282" s="2" t="s">
        <v>369</v>
      </c>
      <c r="D282" s="2" t="s">
        <v>699</v>
      </c>
      <c r="E282" s="2" t="s">
        <v>831</v>
      </c>
      <c r="F282" s="6">
        <v>23065</v>
      </c>
      <c r="G282" s="16">
        <f t="shared" ca="1" si="4"/>
        <v>58.397260273972606</v>
      </c>
      <c r="H282" s="2" t="s">
        <v>1386</v>
      </c>
      <c r="I282" t="str" cm="1">
        <f t="array" ref="I282">ADAPTAR(B282)&amp;ADAPTAR(C282)&amp;"_"&amp;ADAPTAR(E282)&amp;F282</f>
        <v>josepablo_arrieta23065</v>
      </c>
      <c r="J282" s="13">
        <v>0</v>
      </c>
      <c r="K282" t="str" cm="1">
        <f t="array" ref="K282">ADAPTAR(B282)&amp;"."&amp;ADAPTAR(D282)&amp;YEAR(F282)&amp;"@"&amp;VLOOKUP(J282,Dominios!$A$2:$B$30,2,FALSE)</f>
        <v>jose.murillo1963@auribus.com.co</v>
      </c>
      <c r="L282" s="13">
        <v>0</v>
      </c>
      <c r="M282">
        <f>VLOOKUP(L282,Celulares!$A$2:$B$30,2,FALSE)</f>
        <v>3115114930</v>
      </c>
    </row>
    <row r="283" spans="1:13" ht="15.75" customHeight="1" x14ac:dyDescent="0.25">
      <c r="A283" t="s">
        <v>2260</v>
      </c>
      <c r="B283" s="2" t="s">
        <v>654</v>
      </c>
      <c r="C283" s="2" t="s">
        <v>511</v>
      </c>
      <c r="D283" s="2" t="s">
        <v>713</v>
      </c>
      <c r="E283" s="2" t="s">
        <v>795</v>
      </c>
      <c r="F283" s="6">
        <v>21051</v>
      </c>
      <c r="G283" s="16">
        <f t="shared" ca="1" si="4"/>
        <v>63.915068493150685</v>
      </c>
      <c r="H283" s="2" t="s">
        <v>1165</v>
      </c>
      <c r="I283" t="str" cm="1">
        <f t="array" ref="I283">ADAPTAR(B283)&amp;ADAPTAR(C283)&amp;"_"&amp;ADAPTAR(E283)&amp;F283</f>
        <v>franciscojavier_hoyos21051</v>
      </c>
      <c r="J283" s="13">
        <v>1</v>
      </c>
      <c r="K283" t="str" cm="1">
        <f t="array" ref="K283">ADAPTAR(B283)&amp;"."&amp;ADAPTAR(D283)&amp;YEAR(F283)&amp;"@"&amp;VLOOKUP(J283,Dominios!$A$2:$B$30,2,FALSE)</f>
        <v>francisco.betancur1957@colamus.co</v>
      </c>
      <c r="L283" s="13">
        <v>1</v>
      </c>
      <c r="M283">
        <f>VLOOKUP(L283,Celulares!$A$2:$B$30,2,FALSE)</f>
        <v>3115114916</v>
      </c>
    </row>
    <row r="284" spans="1:13" ht="15.75" customHeight="1" x14ac:dyDescent="0.25">
      <c r="A284" t="s">
        <v>2261</v>
      </c>
      <c r="B284" s="2" t="s">
        <v>431</v>
      </c>
      <c r="C284" s="2" t="s">
        <v>339</v>
      </c>
      <c r="D284" s="2" t="s">
        <v>702</v>
      </c>
      <c r="E284" s="2" t="s">
        <v>675</v>
      </c>
      <c r="F284" s="6">
        <v>25172</v>
      </c>
      <c r="G284" s="16">
        <f t="shared" ca="1" si="4"/>
        <v>52.624657534246573</v>
      </c>
      <c r="H284" s="2" t="s">
        <v>1313</v>
      </c>
      <c r="I284" t="str" cm="1">
        <f t="array" ref="I284">ADAPTAR(B284)&amp;ADAPTAR(C284)&amp;"_"&amp;ADAPTAR(E284)&amp;F284</f>
        <v>luisfernando_rincon25172</v>
      </c>
      <c r="J284" s="13">
        <v>2</v>
      </c>
      <c r="K284" t="str" cm="1">
        <f t="array" ref="K284">ADAPTAR(B284)&amp;"."&amp;ADAPTAR(D284)&amp;YEAR(F284)&amp;"@"&amp;VLOOKUP(J284,Dominios!$A$2:$B$30,2,FALSE)</f>
        <v>luis.mendez1968@colombiamail.co</v>
      </c>
      <c r="L284" s="13">
        <v>2</v>
      </c>
      <c r="M284">
        <f>VLOOKUP(L284,Celulares!$A$2:$B$30,2,FALSE)</f>
        <v>3115114911</v>
      </c>
    </row>
    <row r="285" spans="1:13" ht="15.75" customHeight="1" x14ac:dyDescent="0.25">
      <c r="A285" t="s">
        <v>2262</v>
      </c>
      <c r="B285" s="2" t="s">
        <v>342</v>
      </c>
      <c r="C285" s="2" t="s">
        <v>402</v>
      </c>
      <c r="D285" s="2" t="s">
        <v>832</v>
      </c>
      <c r="E285" s="2" t="s">
        <v>815</v>
      </c>
      <c r="F285" s="6">
        <v>37499</v>
      </c>
      <c r="G285" s="16">
        <f t="shared" ca="1" si="4"/>
        <v>18.852054794520548</v>
      </c>
      <c r="H285" s="2" t="s">
        <v>533</v>
      </c>
      <c r="I285" t="str" cm="1">
        <f t="array" ref="I285">ADAPTAR(B285)&amp;ADAPTAR(C285)&amp;"_"&amp;ADAPTAR(E285)&amp;F285</f>
        <v>carlosalberto_palacios37499</v>
      </c>
      <c r="J285" s="13">
        <v>3</v>
      </c>
      <c r="K285" t="str" cm="1">
        <f t="array" ref="K285">ADAPTAR(B285)&amp;"."&amp;ADAPTAR(D285)&amp;YEAR(F285)&amp;"@"&amp;VLOOKUP(J285,Dominios!$A$2:$B$30,2,FALSE)</f>
        <v>carlos.cardenas2002@diabunter.co</v>
      </c>
      <c r="L285" s="13">
        <v>3</v>
      </c>
      <c r="M285">
        <f>VLOOKUP(L285,Celulares!$A$2:$B$30,2,FALSE)</f>
        <v>3115114910</v>
      </c>
    </row>
    <row r="286" spans="1:13" ht="15.75" customHeight="1" x14ac:dyDescent="0.25">
      <c r="A286" t="s">
        <v>2263</v>
      </c>
      <c r="B286" s="2" t="s">
        <v>492</v>
      </c>
      <c r="C286" s="2" t="s">
        <v>50</v>
      </c>
      <c r="D286" s="2" t="s">
        <v>811</v>
      </c>
      <c r="E286" s="2" t="s">
        <v>845</v>
      </c>
      <c r="F286" s="6">
        <v>37097</v>
      </c>
      <c r="G286" s="16">
        <f t="shared" ca="1" si="4"/>
        <v>19.953424657534246</v>
      </c>
      <c r="H286" s="2" t="s">
        <v>593</v>
      </c>
      <c r="I286" t="str" cm="1">
        <f t="array" ref="I286">ADAPTAR(B286)&amp;ADAPTAR(C286)&amp;"_"&amp;ADAPTAR(E286)&amp;F286</f>
        <v>jesusmaria_zuniga37097</v>
      </c>
      <c r="J286" s="13">
        <v>4</v>
      </c>
      <c r="K286" t="str" cm="1">
        <f t="array" ref="K286">ADAPTAR(B286)&amp;"."&amp;ADAPTAR(D286)&amp;YEAR(F286)&amp;"@"&amp;VLOOKUP(J286,Dominios!$A$2:$B$30,2,FALSE)</f>
        <v>jesus.rodriguez2001@ebrietas.co</v>
      </c>
      <c r="L286" s="13">
        <v>4</v>
      </c>
      <c r="M286">
        <f>VLOOKUP(L286,Celulares!$A$2:$B$30,2,FALSE)</f>
        <v>3115114909</v>
      </c>
    </row>
    <row r="287" spans="1:13" ht="15.75" customHeight="1" x14ac:dyDescent="0.25">
      <c r="A287" t="s">
        <v>2264</v>
      </c>
      <c r="B287" s="2" t="s">
        <v>371</v>
      </c>
      <c r="C287" s="2" t="s">
        <v>391</v>
      </c>
      <c r="D287" s="2" t="s">
        <v>733</v>
      </c>
      <c r="E287" s="2" t="s">
        <v>701</v>
      </c>
      <c r="F287" s="6">
        <v>31873</v>
      </c>
      <c r="G287" s="16">
        <f t="shared" ca="1" si="4"/>
        <v>34.265753424657532</v>
      </c>
      <c r="H287" s="2" t="s">
        <v>589</v>
      </c>
      <c r="I287" t="str" cm="1">
        <f t="array" ref="I287">ADAPTAR(B287)&amp;ADAPTAR(C287)&amp;"_"&amp;ADAPTAR(E287)&amp;F287</f>
        <v>juliocesar_vega31873</v>
      </c>
      <c r="J287" s="13">
        <v>5</v>
      </c>
      <c r="K287" t="str" cm="1">
        <f t="array" ref="K287">ADAPTAR(B287)&amp;"."&amp;ADAPTAR(D287)&amp;YEAR(F287)&amp;"@"&amp;VLOOKUP(J287,Dominios!$A$2:$B$30,2,FALSE)</f>
        <v>julio.meneses1987@elsinsonte.co</v>
      </c>
      <c r="L287" s="13">
        <v>5</v>
      </c>
      <c r="M287">
        <f>VLOOKUP(L287,Celulares!$A$2:$B$30,2,FALSE)</f>
        <v>3115060130</v>
      </c>
    </row>
    <row r="288" spans="1:13" ht="15.75" customHeight="1" x14ac:dyDescent="0.25">
      <c r="A288" t="s">
        <v>2265</v>
      </c>
      <c r="B288" s="2" t="s">
        <v>873</v>
      </c>
      <c r="C288" s="2" t="s">
        <v>431</v>
      </c>
      <c r="D288" s="2" t="s">
        <v>471</v>
      </c>
      <c r="E288" s="2" t="s">
        <v>731</v>
      </c>
      <c r="F288" s="6">
        <v>24985</v>
      </c>
      <c r="G288" s="16">
        <f t="shared" ca="1" si="4"/>
        <v>53.136986301369866</v>
      </c>
      <c r="H288" s="2" t="s">
        <v>585</v>
      </c>
      <c r="I288" t="str" cm="1">
        <f t="array" ref="I288">ADAPTAR(B288)&amp;ADAPTAR(C288)&amp;"_"&amp;ADAPTAR(E288)&amp;F288</f>
        <v>jorgeluis_meza24985</v>
      </c>
      <c r="J288" s="13">
        <v>6</v>
      </c>
      <c r="K288" t="str" cm="1">
        <f t="array" ref="K288">ADAPTAR(B288)&amp;"."&amp;ADAPTAR(D288)&amp;YEAR(F288)&amp;"@"&amp;VLOOKUP(J288,Dominios!$A$2:$B$30,2,FALSE)</f>
        <v>jorge.fernandez1968@enigmaserver.co</v>
      </c>
      <c r="L288" s="13">
        <v>6</v>
      </c>
      <c r="M288">
        <f>VLOOKUP(L288,Celulares!$A$2:$B$30,2,FALSE)</f>
        <v>3115060125</v>
      </c>
    </row>
    <row r="289" spans="1:13" ht="15.75" customHeight="1" x14ac:dyDescent="0.25">
      <c r="A289" t="s">
        <v>2266</v>
      </c>
      <c r="B289" s="2" t="s">
        <v>431</v>
      </c>
      <c r="C289" s="2" t="s">
        <v>339</v>
      </c>
      <c r="D289" s="2" t="s">
        <v>698</v>
      </c>
      <c r="E289" s="2" t="s">
        <v>797</v>
      </c>
      <c r="F289" s="6">
        <v>33972</v>
      </c>
      <c r="G289" s="16">
        <f t="shared" ca="1" si="4"/>
        <v>28.515068493150686</v>
      </c>
      <c r="H289" s="2" t="s">
        <v>1252</v>
      </c>
      <c r="I289" t="str" cm="1">
        <f t="array" ref="I289">ADAPTAR(B289)&amp;ADAPTAR(C289)&amp;"_"&amp;ADAPTAR(E289)&amp;F289</f>
        <v>luisfernando_ayala33972</v>
      </c>
      <c r="J289" s="13">
        <v>7</v>
      </c>
      <c r="K289" t="str" cm="1">
        <f t="array" ref="K289">ADAPTAR(B289)&amp;"."&amp;ADAPTAR(D289)&amp;YEAR(F289)&amp;"@"&amp;VLOOKUP(J289,Dominios!$A$2:$B$30,2,FALSE)</f>
        <v>luis.calderon1993@hocknas.co</v>
      </c>
      <c r="L289" s="13">
        <v>7</v>
      </c>
      <c r="M289">
        <f>VLOOKUP(L289,Celulares!$A$2:$B$30,2,FALSE)</f>
        <v>3115060110</v>
      </c>
    </row>
    <row r="290" spans="1:13" ht="15.75" customHeight="1" x14ac:dyDescent="0.25">
      <c r="A290" t="s">
        <v>2267</v>
      </c>
      <c r="B290" s="2" t="s">
        <v>374</v>
      </c>
      <c r="C290" s="2" t="s">
        <v>432</v>
      </c>
      <c r="D290" s="2" t="s">
        <v>776</v>
      </c>
      <c r="E290" s="2" t="s">
        <v>686</v>
      </c>
      <c r="F290" s="6">
        <v>29331</v>
      </c>
      <c r="G290" s="16">
        <f t="shared" ca="1" si="4"/>
        <v>41.230136986301368</v>
      </c>
      <c r="H290" s="2" t="s">
        <v>561</v>
      </c>
      <c r="I290" t="str" cm="1">
        <f t="array" ref="I290">ADAPTAR(B290)&amp;ADAPTAR(C290)&amp;"_"&amp;ADAPTAR(E290)&amp;F290</f>
        <v>marcoantonio_contreras29331</v>
      </c>
      <c r="J290" s="13">
        <v>8</v>
      </c>
      <c r="K290" t="str" cm="1">
        <f t="array" ref="K290">ADAPTAR(B290)&amp;"."&amp;ADAPTAR(D290)&amp;YEAR(F290)&amp;"@"&amp;VLOOKUP(J290,Dominios!$A$2:$B$30,2,FALSE)</f>
        <v>marco.cifuentes1980@hostedoceri.co</v>
      </c>
      <c r="L290" s="13">
        <v>8</v>
      </c>
      <c r="M290">
        <f>VLOOKUP(L290,Celulares!$A$2:$B$30,2,FALSE)</f>
        <v>3115060091</v>
      </c>
    </row>
    <row r="291" spans="1:13" ht="15.75" customHeight="1" x14ac:dyDescent="0.25">
      <c r="A291" t="s">
        <v>2268</v>
      </c>
      <c r="B291" s="2" t="s">
        <v>507</v>
      </c>
      <c r="C291" s="2" t="s">
        <v>886</v>
      </c>
      <c r="D291" s="2" t="s">
        <v>817</v>
      </c>
      <c r="E291" s="2" t="s">
        <v>782</v>
      </c>
      <c r="F291" s="6">
        <v>30890</v>
      </c>
      <c r="G291" s="16">
        <f t="shared" ca="1" si="4"/>
        <v>36.958904109589042</v>
      </c>
      <c r="H291" s="2" t="s">
        <v>551</v>
      </c>
      <c r="I291" t="str" cm="1">
        <f t="array" ref="I291">ADAPTAR(B291)&amp;ADAPTAR(C291)&amp;"_"&amp;ADAPTAR(E291)&amp;F291</f>
        <v>victorhugo_forero30890</v>
      </c>
      <c r="J291" s="13">
        <v>9</v>
      </c>
      <c r="K291" t="str" cm="1">
        <f t="array" ref="K291">ADAPTAR(B291)&amp;"."&amp;ADAPTAR(D291)&amp;YEAR(F291)&amp;"@"&amp;VLOOKUP(J291,Dominios!$A$2:$B$30,2,FALSE)</f>
        <v>victor.castillo1984@libertas.com.co</v>
      </c>
      <c r="L291" s="13">
        <v>9</v>
      </c>
      <c r="M291">
        <f>VLOOKUP(L291,Celulares!$A$2:$B$30,2,FALSE)</f>
        <v>3115060080</v>
      </c>
    </row>
    <row r="292" spans="1:13" ht="15.75" customHeight="1" x14ac:dyDescent="0.25">
      <c r="A292" t="s">
        <v>2269</v>
      </c>
      <c r="B292" s="2" t="s">
        <v>481</v>
      </c>
      <c r="C292" s="2" t="s">
        <v>483</v>
      </c>
      <c r="D292" s="2" t="s">
        <v>786</v>
      </c>
      <c r="E292" s="2" t="s">
        <v>805</v>
      </c>
      <c r="F292" s="6">
        <v>37217</v>
      </c>
      <c r="G292" s="16">
        <f t="shared" ca="1" si="4"/>
        <v>19.624657534246577</v>
      </c>
      <c r="H292" s="2" t="s">
        <v>549</v>
      </c>
      <c r="I292" t="str" cm="1">
        <f t="array" ref="I292">ADAPTAR(B292)&amp;ADAPTAR(C292)&amp;"_"&amp;ADAPTAR(E292)&amp;F292</f>
        <v>manueljose_narvaez37217</v>
      </c>
      <c r="J292" s="13">
        <v>10</v>
      </c>
      <c r="K292" t="str" cm="1">
        <f t="array" ref="K292">ADAPTAR(B292)&amp;"."&amp;ADAPTAR(D292)&amp;YEAR(F292)&amp;"@"&amp;VLOOKUP(J292,Dominios!$A$2:$B$30,2,FALSE)</f>
        <v>manuel.aguirre2001@nascitur.com.co</v>
      </c>
      <c r="L292" s="13">
        <v>10</v>
      </c>
      <c r="M292">
        <f>VLOOKUP(L292,Celulares!$A$2:$B$30,2,FALSE)</f>
        <v>3115114385</v>
      </c>
    </row>
    <row r="293" spans="1:13" ht="15.75" customHeight="1" x14ac:dyDescent="0.25">
      <c r="A293" t="s">
        <v>2270</v>
      </c>
      <c r="B293" s="2" t="s">
        <v>356</v>
      </c>
      <c r="C293" s="2" t="s">
        <v>498</v>
      </c>
      <c r="D293" s="2" t="s">
        <v>728</v>
      </c>
      <c r="E293" s="2" t="s">
        <v>834</v>
      </c>
      <c r="F293" s="6">
        <v>28831</v>
      </c>
      <c r="G293" s="16">
        <f t="shared" ca="1" si="4"/>
        <v>42.6</v>
      </c>
      <c r="H293" s="2" t="s">
        <v>1387</v>
      </c>
      <c r="I293" t="str" cm="1">
        <f t="array" ref="I293">ADAPTAR(B293)&amp;ADAPTAR(C293)&amp;"_"&amp;ADAPTAR(E293)&amp;F293</f>
        <v>gustavoalfonso_rosero28831</v>
      </c>
      <c r="J293" s="13">
        <v>11</v>
      </c>
      <c r="K293" t="str" cm="1">
        <f t="array" ref="K293">ADAPTAR(B293)&amp;"."&amp;ADAPTAR(D293)&amp;YEAR(F293)&amp;"@"&amp;VLOOKUP(J293,Dominios!$A$2:$B$30,2,FALSE)</f>
        <v>gustavo.gonzales1978@nemesis.ml</v>
      </c>
      <c r="L293" s="13">
        <v>11</v>
      </c>
      <c r="M293">
        <f>VLOOKUP(L293,Celulares!$A$2:$B$30,2,FALSE)</f>
        <v>3115114360</v>
      </c>
    </row>
    <row r="294" spans="1:13" ht="15.75" customHeight="1" x14ac:dyDescent="0.25">
      <c r="A294" t="s">
        <v>2271</v>
      </c>
      <c r="B294" s="2" t="s">
        <v>429</v>
      </c>
      <c r="C294" s="2" t="s">
        <v>483</v>
      </c>
      <c r="D294" s="2" t="s">
        <v>818</v>
      </c>
      <c r="E294" s="2" t="s">
        <v>818</v>
      </c>
      <c r="F294" s="6">
        <v>30541</v>
      </c>
      <c r="G294" s="16">
        <f t="shared" ca="1" si="4"/>
        <v>37.915068493150685</v>
      </c>
      <c r="H294" s="2" t="s">
        <v>532</v>
      </c>
      <c r="I294" t="str" cm="1">
        <f t="array" ref="I294">ADAPTAR(B294)&amp;ADAPTAR(C294)&amp;"_"&amp;ADAPTAR(E294)&amp;F294</f>
        <v>gabrieljose_castano30541</v>
      </c>
      <c r="J294" s="13">
        <v>12</v>
      </c>
      <c r="K294" t="str" cm="1">
        <f t="array" ref="K294">ADAPTAR(B294)&amp;"."&amp;ADAPTAR(D294)&amp;YEAR(F294)&amp;"@"&amp;VLOOKUP(J294,Dominios!$A$2:$B$30,2,FALSE)</f>
        <v>gabriel.castano1983@nunquam.com.co</v>
      </c>
      <c r="L294" s="13">
        <v>12</v>
      </c>
      <c r="M294">
        <f>VLOOKUP(L294,Celulares!$A$2:$B$30,2,FALSE)</f>
        <v>3115093653</v>
      </c>
    </row>
    <row r="295" spans="1:13" ht="15.75" customHeight="1" x14ac:dyDescent="0.25">
      <c r="A295" t="s">
        <v>2272</v>
      </c>
      <c r="B295" s="2" t="s">
        <v>483</v>
      </c>
      <c r="C295" s="2" t="s">
        <v>431</v>
      </c>
      <c r="D295" s="2" t="s">
        <v>768</v>
      </c>
      <c r="E295" s="2" t="s">
        <v>278</v>
      </c>
      <c r="F295" s="6">
        <v>25877</v>
      </c>
      <c r="G295" s="16">
        <f t="shared" ca="1" si="4"/>
        <v>50.69315068493151</v>
      </c>
      <c r="H295" s="2" t="s">
        <v>1388</v>
      </c>
      <c r="I295" t="str" cm="1">
        <f t="array" ref="I295">ADAPTAR(B295)&amp;ADAPTAR(C295)&amp;"_"&amp;ADAPTAR(E295)&amp;F295</f>
        <v>joseluis_cruz25877</v>
      </c>
      <c r="J295" s="13">
        <v>13</v>
      </c>
      <c r="K295" t="str" cm="1">
        <f t="array" ref="K295">ADAPTAR(B295)&amp;"."&amp;ADAPTAR(D295)&amp;YEAR(F295)&amp;"@"&amp;VLOOKUP(J295,Dominios!$A$2:$B$30,2,FALSE)</f>
        <v>jose.medina1970@sempiternam.co</v>
      </c>
      <c r="L295" s="13">
        <v>13</v>
      </c>
      <c r="M295">
        <f>VLOOKUP(L295,Celulares!$A$2:$B$30,2,FALSE)</f>
        <v>3115093598</v>
      </c>
    </row>
    <row r="296" spans="1:13" ht="15.75" customHeight="1" x14ac:dyDescent="0.25">
      <c r="A296" t="s">
        <v>2273</v>
      </c>
      <c r="B296" s="2" t="s">
        <v>341</v>
      </c>
      <c r="C296" s="2" t="s">
        <v>483</v>
      </c>
      <c r="D296" s="2" t="s">
        <v>740</v>
      </c>
      <c r="E296" s="2" t="s">
        <v>298</v>
      </c>
      <c r="F296" s="6">
        <v>27727</v>
      </c>
      <c r="G296" s="16">
        <f t="shared" ca="1" si="4"/>
        <v>45.624657534246573</v>
      </c>
      <c r="H296" s="2" t="s">
        <v>571</v>
      </c>
      <c r="I296" t="str" cm="1">
        <f t="array" ref="I296">ADAPTAR(B296)&amp;ADAPTAR(C296)&amp;"_"&amp;ADAPTAR(E296)&amp;F296</f>
        <v>juanjose_jaimes27727</v>
      </c>
      <c r="J296" s="13">
        <v>14</v>
      </c>
      <c r="K296" t="str" cm="1">
        <f t="array" ref="K296">ADAPTAR(B296)&amp;"."&amp;ADAPTAR(D296)&amp;YEAR(F296)&amp;"@"&amp;VLOOKUP(J296,Dominios!$A$2:$B$30,2,FALSE)</f>
        <v>juan.ortega1975@sk9.co</v>
      </c>
      <c r="L296" s="13">
        <v>14</v>
      </c>
      <c r="M296">
        <f>VLOOKUP(L296,Celulares!$A$2:$B$30,2,FALSE)</f>
        <v>3115093583</v>
      </c>
    </row>
    <row r="297" spans="1:13" ht="15.75" customHeight="1" x14ac:dyDescent="0.25">
      <c r="A297" t="s">
        <v>2274</v>
      </c>
      <c r="B297" s="2" t="s">
        <v>1112</v>
      </c>
      <c r="C297" s="2" t="s">
        <v>479</v>
      </c>
      <c r="D297" s="2" t="s">
        <v>830</v>
      </c>
      <c r="E297" s="2" t="s">
        <v>816</v>
      </c>
      <c r="F297" s="6">
        <v>28794</v>
      </c>
      <c r="G297" s="16">
        <f t="shared" ca="1" si="4"/>
        <v>42.701369863013696</v>
      </c>
      <c r="H297" s="2" t="s">
        <v>538</v>
      </c>
      <c r="I297" t="str" cm="1">
        <f t="array" ref="I297">ADAPTAR(B297)&amp;ADAPTAR(C297)&amp;"_"&amp;ADAPTAR(E297)&amp;F297</f>
        <v>ramonguillermo_camargo28794</v>
      </c>
      <c r="J297" s="13">
        <v>15</v>
      </c>
      <c r="K297" t="str" cm="1">
        <f t="array" ref="K297">ADAPTAR(B297)&amp;"."&amp;ADAPTAR(D297)&amp;YEAR(F297)&amp;"@"&amp;VLOOKUP(J297,Dominios!$A$2:$B$30,2,FALSE)</f>
        <v>ramon.camacho1978@socialmediacolombia.com.co</v>
      </c>
      <c r="L297" s="13">
        <v>15</v>
      </c>
      <c r="M297">
        <f>VLOOKUP(L297,Celulares!$A$2:$B$30,2,FALSE)</f>
        <v>3115092386</v>
      </c>
    </row>
    <row r="298" spans="1:13" ht="15.75" customHeight="1" x14ac:dyDescent="0.25">
      <c r="A298" t="s">
        <v>2275</v>
      </c>
      <c r="B298" s="2" t="s">
        <v>345</v>
      </c>
      <c r="C298" s="2" t="s">
        <v>654</v>
      </c>
      <c r="D298" s="2" t="s">
        <v>746</v>
      </c>
      <c r="E298" s="2" t="s">
        <v>779</v>
      </c>
      <c r="F298" s="6">
        <v>26206</v>
      </c>
      <c r="G298" s="16">
        <f t="shared" ca="1" si="4"/>
        <v>49.791780821917811</v>
      </c>
      <c r="H298" s="2" t="s">
        <v>1389</v>
      </c>
      <c r="I298" t="str" cm="1">
        <f t="array" ref="I298">ADAPTAR(B298)&amp;ADAPTAR(C298)&amp;"_"&amp;ADAPTAR(E298)&amp;F298</f>
        <v>alvarofrancisco_valencia26206</v>
      </c>
      <c r="J298" s="13">
        <v>16</v>
      </c>
      <c r="K298" t="str" cm="1">
        <f t="array" ref="K298">ADAPTAR(B298)&amp;"."&amp;ADAPTAR(D298)&amp;YEAR(F298)&amp;"@"&amp;VLOOKUP(J298,Dominios!$A$2:$B$30,2,FALSE)</f>
        <v>alvaro.arenas1971@tecnicoensistemas.com.co</v>
      </c>
      <c r="L298" s="13">
        <v>16</v>
      </c>
      <c r="M298">
        <f>VLOOKUP(L298,Celulares!$A$2:$B$30,2,FALSE)</f>
        <v>3115092375</v>
      </c>
    </row>
    <row r="299" spans="1:13" ht="15.75" customHeight="1" x14ac:dyDescent="0.25">
      <c r="A299" t="s">
        <v>2276</v>
      </c>
      <c r="B299" s="2" t="s">
        <v>342</v>
      </c>
      <c r="C299" s="2" t="s">
        <v>1113</v>
      </c>
      <c r="D299" s="2" t="s">
        <v>705</v>
      </c>
      <c r="E299" s="2" t="s">
        <v>475</v>
      </c>
      <c r="F299" s="6">
        <v>33005</v>
      </c>
      <c r="G299" s="16">
        <f t="shared" ca="1" si="4"/>
        <v>31.164383561643834</v>
      </c>
      <c r="H299" s="2" t="s">
        <v>1390</v>
      </c>
      <c r="I299" t="str" cm="1">
        <f t="array" ref="I299">ADAPTAR(B299)&amp;ADAPTAR(C299)&amp;"_"&amp;ADAPTAR(E299)&amp;F299</f>
        <v>carloshernan_caicedo33005</v>
      </c>
      <c r="J299" s="13">
        <v>17</v>
      </c>
      <c r="K299" t="str" cm="1">
        <f t="array" ref="K299">ADAPTAR(B299)&amp;"."&amp;ADAPTAR(D299)&amp;YEAR(F299)&amp;"@"&amp;VLOOKUP(J299,Dominios!$A$2:$B$30,2,FALSE)</f>
        <v>carlos.cordoba1990@totum.com.co</v>
      </c>
      <c r="L299" s="13">
        <v>17</v>
      </c>
      <c r="M299">
        <f>VLOOKUP(L299,Celulares!$A$2:$B$30,2,FALSE)</f>
        <v>3115092369</v>
      </c>
    </row>
    <row r="300" spans="1:13" ht="15.75" customHeight="1" x14ac:dyDescent="0.25">
      <c r="A300" t="s">
        <v>2277</v>
      </c>
      <c r="B300" s="2" t="s">
        <v>332</v>
      </c>
      <c r="C300" s="2" t="s">
        <v>658</v>
      </c>
      <c r="D300" s="2" t="s">
        <v>708</v>
      </c>
      <c r="E300" s="2" t="s">
        <v>680</v>
      </c>
      <c r="F300" s="6">
        <v>25626</v>
      </c>
      <c r="G300" s="16">
        <f t="shared" ca="1" si="4"/>
        <v>51.38082191780822</v>
      </c>
      <c r="H300" s="2" t="s">
        <v>604</v>
      </c>
      <c r="I300" t="str" cm="1">
        <f t="array" ref="I300">ADAPTAR(B300)&amp;ADAPTAR(C300)&amp;"_"&amp;ADAPTAR(E300)&amp;F300</f>
        <v>danieladrian_garzon25626</v>
      </c>
      <c r="J300" s="13">
        <v>18</v>
      </c>
      <c r="K300" t="str" cm="1">
        <f t="array" ref="K300">ADAPTAR(B300)&amp;"."&amp;ADAPTAR(D300)&amp;YEAR(F300)&amp;"@"&amp;VLOOKUP(J300,Dominios!$A$2:$B$30,2,FALSE)</f>
        <v>daniel.arango1970@voipcolombia.co</v>
      </c>
      <c r="L300" s="13">
        <v>18</v>
      </c>
      <c r="M300">
        <f>VLOOKUP(L300,Celulares!$A$2:$B$30,2,FALSE)</f>
        <v>3115092360</v>
      </c>
    </row>
    <row r="301" spans="1:13" ht="15.75" customHeight="1" x14ac:dyDescent="0.25">
      <c r="A301" t="s">
        <v>2278</v>
      </c>
      <c r="B301" s="2" t="s">
        <v>860</v>
      </c>
      <c r="C301" s="2" t="s">
        <v>498</v>
      </c>
      <c r="D301" s="2" t="s">
        <v>777</v>
      </c>
      <c r="E301" s="2" t="s">
        <v>727</v>
      </c>
      <c r="F301" s="6">
        <v>20852</v>
      </c>
      <c r="G301" s="16">
        <f t="shared" ca="1" si="4"/>
        <v>64.460273972602735</v>
      </c>
      <c r="H301" s="2" t="s">
        <v>1391</v>
      </c>
      <c r="I301" t="str" cm="1">
        <f t="array" ref="I301">ADAPTAR(B301)&amp;ADAPTAR(C301)&amp;"_"&amp;ADAPTAR(E301)&amp;F301</f>
        <v>edgaralfonso_nunez20852</v>
      </c>
      <c r="J301" s="13">
        <v>19</v>
      </c>
      <c r="K301" t="str" cm="1">
        <f t="array" ref="K301">ADAPTAR(B301)&amp;"."&amp;ADAPTAR(D301)&amp;YEAR(F301)&amp;"@"&amp;VLOOKUP(J301,Dominios!$A$2:$B$30,2,FALSE)</f>
        <v>edgar.gallego1957@vpncolombia.com.co</v>
      </c>
      <c r="L301" s="13">
        <v>19</v>
      </c>
      <c r="M301">
        <f>VLOOKUP(L301,Celulares!$A$2:$B$30,2,FALSE)</f>
        <v>3115092352</v>
      </c>
    </row>
    <row r="302" spans="1:13" ht="15.75" customHeight="1" x14ac:dyDescent="0.25">
      <c r="A302" t="s">
        <v>2279</v>
      </c>
      <c r="B302" s="2" t="s">
        <v>448</v>
      </c>
      <c r="C302" s="2" t="s">
        <v>333</v>
      </c>
      <c r="D302" s="2" t="s">
        <v>749</v>
      </c>
      <c r="E302" s="2" t="s">
        <v>683</v>
      </c>
      <c r="F302" s="6">
        <v>31700</v>
      </c>
      <c r="G302" s="16">
        <f t="shared" ca="1" si="4"/>
        <v>34.739726027397261</v>
      </c>
      <c r="H302" s="2" t="s">
        <v>1392</v>
      </c>
      <c r="I302" t="str" cm="1">
        <f t="array" ref="I302">ADAPTAR(B302)&amp;ADAPTAR(C302)&amp;"_"&amp;ADAPTAR(E302)&amp;F302</f>
        <v>ivanalejandro_agudelo31700</v>
      </c>
      <c r="J302" s="13">
        <v>0</v>
      </c>
      <c r="K302" t="str" cm="1">
        <f t="array" ref="K302">ADAPTAR(B302)&amp;"."&amp;ADAPTAR(D302)&amp;YEAR(F302)&amp;"@"&amp;VLOOKUP(J302,Dominios!$A$2:$B$30,2,FALSE)</f>
        <v>ivan.lopez1986@auribus.com.co</v>
      </c>
      <c r="L302" s="13">
        <v>0</v>
      </c>
      <c r="M302">
        <f>VLOOKUP(L302,Celulares!$A$2:$B$30,2,FALSE)</f>
        <v>3115114930</v>
      </c>
    </row>
    <row r="303" spans="1:13" ht="15.75" customHeight="1" x14ac:dyDescent="0.25">
      <c r="A303" t="s">
        <v>2280</v>
      </c>
      <c r="B303" s="2" t="s">
        <v>873</v>
      </c>
      <c r="C303" s="2" t="s">
        <v>365</v>
      </c>
      <c r="D303" s="2" t="s">
        <v>701</v>
      </c>
      <c r="E303" s="2" t="s">
        <v>837</v>
      </c>
      <c r="F303" s="6">
        <v>20851</v>
      </c>
      <c r="G303" s="16">
        <f t="shared" ca="1" si="4"/>
        <v>64.463013698630135</v>
      </c>
      <c r="H303" s="2" t="s">
        <v>597</v>
      </c>
      <c r="I303" t="str" cm="1">
        <f t="array" ref="I303">ADAPTAR(B303)&amp;ADAPTAR(C303)&amp;"_"&amp;ADAPTAR(E303)&amp;F303</f>
        <v>jorgeesteban_sanchez20851</v>
      </c>
      <c r="J303" s="13">
        <v>1</v>
      </c>
      <c r="K303" t="str" cm="1">
        <f t="array" ref="K303">ADAPTAR(B303)&amp;"."&amp;ADAPTAR(D303)&amp;YEAR(F303)&amp;"@"&amp;VLOOKUP(J303,Dominios!$A$2:$B$30,2,FALSE)</f>
        <v>jorge.vega1957@colamus.co</v>
      </c>
      <c r="L303" s="13">
        <v>1</v>
      </c>
      <c r="M303">
        <f>VLOOKUP(L303,Celulares!$A$2:$B$30,2,FALSE)</f>
        <v>3115114916</v>
      </c>
    </row>
    <row r="304" spans="1:13" ht="15.75" customHeight="1" x14ac:dyDescent="0.25">
      <c r="A304" t="s">
        <v>2281</v>
      </c>
      <c r="B304" s="2" t="s">
        <v>1114</v>
      </c>
      <c r="C304" s="2" t="s">
        <v>503</v>
      </c>
      <c r="D304" s="2" t="s">
        <v>729</v>
      </c>
      <c r="E304" s="2" t="s">
        <v>838</v>
      </c>
      <c r="F304" s="6">
        <v>29272</v>
      </c>
      <c r="G304" s="16">
        <f t="shared" ca="1" si="4"/>
        <v>41.391780821917806</v>
      </c>
      <c r="H304" s="2" t="s">
        <v>1393</v>
      </c>
      <c r="I304" t="str" cm="1">
        <f t="array" ref="I304">ADAPTAR(B304)&amp;ADAPTAR(C304)&amp;"_"&amp;ADAPTAR(E304)&amp;F304</f>
        <v>rubenernesto_tovar29272</v>
      </c>
      <c r="J304" s="13">
        <v>2</v>
      </c>
      <c r="K304" t="str" cm="1">
        <f t="array" ref="K304">ADAPTAR(B304)&amp;"."&amp;ADAPTAR(D304)&amp;YEAR(F304)&amp;"@"&amp;VLOOKUP(J304,Dominios!$A$2:$B$30,2,FALSE)</f>
        <v>ruben.fonseca1980@colombiamail.co</v>
      </c>
      <c r="L304" s="13">
        <v>2</v>
      </c>
      <c r="M304">
        <f>VLOOKUP(L304,Celulares!$A$2:$B$30,2,FALSE)</f>
        <v>3115114911</v>
      </c>
    </row>
    <row r="305" spans="1:13" ht="15.75" customHeight="1" x14ac:dyDescent="0.25">
      <c r="A305" t="s">
        <v>2282</v>
      </c>
      <c r="B305" s="2" t="s">
        <v>401</v>
      </c>
      <c r="C305" s="2" t="s">
        <v>332</v>
      </c>
      <c r="D305" s="2" t="s">
        <v>846</v>
      </c>
      <c r="E305" s="2" t="s">
        <v>755</v>
      </c>
      <c r="F305" s="6">
        <v>28300</v>
      </c>
      <c r="G305" s="16">
        <f t="shared" ca="1" si="4"/>
        <v>44.054794520547944</v>
      </c>
      <c r="H305" s="2" t="s">
        <v>611</v>
      </c>
      <c r="I305" t="str" cm="1">
        <f t="array" ref="I305">ADAPTAR(B305)&amp;ADAPTAR(C305)&amp;"_"&amp;ADAPTAR(E305)&amp;F305</f>
        <v>oscardaniel_bolanos28300</v>
      </c>
      <c r="J305" s="13">
        <v>3</v>
      </c>
      <c r="K305" t="str" cm="1">
        <f t="array" ref="K305">ADAPTAR(B305)&amp;"."&amp;ADAPTAR(D305)&amp;YEAR(F305)&amp;"@"&amp;VLOOKUP(J305,Dominios!$A$2:$B$30,2,FALSE)</f>
        <v>oscar.navarro1977@diabunter.co</v>
      </c>
      <c r="L305" s="13">
        <v>3</v>
      </c>
      <c r="M305">
        <f>VLOOKUP(L305,Celulares!$A$2:$B$30,2,FALSE)</f>
        <v>3115114910</v>
      </c>
    </row>
    <row r="306" spans="1:13" ht="15.75" customHeight="1" x14ac:dyDescent="0.25">
      <c r="A306" t="s">
        <v>2283</v>
      </c>
      <c r="B306" s="2" t="s">
        <v>507</v>
      </c>
      <c r="C306" s="2" t="s">
        <v>1115</v>
      </c>
      <c r="D306" s="2" t="s">
        <v>687</v>
      </c>
      <c r="E306" s="2" t="s">
        <v>747</v>
      </c>
      <c r="F306" s="6">
        <v>29719</v>
      </c>
      <c r="G306" s="16">
        <f t="shared" ca="1" si="4"/>
        <v>40.167123287671231</v>
      </c>
      <c r="H306" s="2" t="s">
        <v>1394</v>
      </c>
      <c r="I306" t="str" cm="1">
        <f t="array" ref="I306">ADAPTAR(B306)&amp;ADAPTAR(C306)&amp;"_"&amp;ADAPTAR(E306)&amp;F306</f>
        <v>victoremiliano_rojas29719</v>
      </c>
      <c r="J306" s="13">
        <v>4</v>
      </c>
      <c r="K306" t="str" cm="1">
        <f t="array" ref="K306">ADAPTAR(B306)&amp;"."&amp;ADAPTAR(D306)&amp;YEAR(F306)&amp;"@"&amp;VLOOKUP(J306,Dominios!$A$2:$B$30,2,FALSE)</f>
        <v>victor.leon1981@ebrietas.co</v>
      </c>
      <c r="L306" s="13">
        <v>4</v>
      </c>
      <c r="M306">
        <f>VLOOKUP(L306,Celulares!$A$2:$B$30,2,FALSE)</f>
        <v>3115114909</v>
      </c>
    </row>
    <row r="307" spans="1:13" ht="15.75" customHeight="1" x14ac:dyDescent="0.25">
      <c r="A307" t="s">
        <v>2284</v>
      </c>
      <c r="B307" s="2" t="s">
        <v>341</v>
      </c>
      <c r="C307" s="2" t="s">
        <v>429</v>
      </c>
      <c r="D307" s="2" t="s">
        <v>243</v>
      </c>
      <c r="E307" s="2" t="s">
        <v>682</v>
      </c>
      <c r="F307" s="6">
        <v>25137</v>
      </c>
      <c r="G307" s="16">
        <f t="shared" ca="1" si="4"/>
        <v>52.720547945205482</v>
      </c>
      <c r="H307" s="2" t="s">
        <v>591</v>
      </c>
      <c r="I307" t="str" cm="1">
        <f t="array" ref="I307">ADAPTAR(B307)&amp;ADAPTAR(C307)&amp;"_"&amp;ADAPTAR(E307)&amp;F307</f>
        <v>juangabriel_orozco25137</v>
      </c>
      <c r="J307" s="13">
        <v>5</v>
      </c>
      <c r="K307" t="str" cm="1">
        <f t="array" ref="K307">ADAPTAR(B307)&amp;"."&amp;ADAPTAR(D307)&amp;YEAR(F307)&amp;"@"&amp;VLOOKUP(J307,Dominios!$A$2:$B$30,2,FALSE)</f>
        <v>juan.cortes1968@elsinsonte.co</v>
      </c>
      <c r="L307" s="13">
        <v>5</v>
      </c>
      <c r="M307">
        <f>VLOOKUP(L307,Celulares!$A$2:$B$30,2,FALSE)</f>
        <v>3115060130</v>
      </c>
    </row>
    <row r="308" spans="1:13" ht="15.75" customHeight="1" x14ac:dyDescent="0.25">
      <c r="A308" t="s">
        <v>2285</v>
      </c>
      <c r="B308" s="2" t="s">
        <v>431</v>
      </c>
      <c r="C308" s="2" t="s">
        <v>1116</v>
      </c>
      <c r="D308" s="2" t="s">
        <v>677</v>
      </c>
      <c r="E308" s="2" t="s">
        <v>297</v>
      </c>
      <c r="F308" s="6">
        <v>30685</v>
      </c>
      <c r="G308" s="16">
        <f t="shared" ca="1" si="4"/>
        <v>37.520547945205479</v>
      </c>
      <c r="H308" s="2" t="s">
        <v>1332</v>
      </c>
      <c r="I308" t="str" cm="1">
        <f t="array" ref="I308">ADAPTAR(B308)&amp;ADAPTAR(C308)&amp;"_"&amp;ADAPTAR(E308)&amp;F308</f>
        <v>luismiguel_trujillo30685</v>
      </c>
      <c r="J308" s="13">
        <v>6</v>
      </c>
      <c r="K308" t="str" cm="1">
        <f t="array" ref="K308">ADAPTAR(B308)&amp;"."&amp;ADAPTAR(D308)&amp;YEAR(F308)&amp;"@"&amp;VLOOKUP(J308,Dominios!$A$2:$B$30,2,FALSE)</f>
        <v>luis.sierra1984@enigmaserver.co</v>
      </c>
      <c r="L308" s="13">
        <v>6</v>
      </c>
      <c r="M308">
        <f>VLOOKUP(L308,Celulares!$A$2:$B$30,2,FALSE)</f>
        <v>3115060125</v>
      </c>
    </row>
    <row r="309" spans="1:13" ht="15.75" customHeight="1" x14ac:dyDescent="0.25">
      <c r="A309" t="s">
        <v>2286</v>
      </c>
      <c r="B309" s="2" t="s">
        <v>341</v>
      </c>
      <c r="C309" s="2" t="s">
        <v>369</v>
      </c>
      <c r="D309" s="2" t="s">
        <v>745</v>
      </c>
      <c r="E309" s="2" t="s">
        <v>244</v>
      </c>
      <c r="F309" s="6">
        <v>28943</v>
      </c>
      <c r="G309" s="16">
        <f t="shared" ca="1" si="4"/>
        <v>42.293150684931504</v>
      </c>
      <c r="H309" s="2" t="s">
        <v>531</v>
      </c>
      <c r="I309" t="str" cm="1">
        <f t="array" ref="I309">ADAPTAR(B309)&amp;ADAPTAR(C309)&amp;"_"&amp;ADAPTAR(E309)&amp;F309</f>
        <v>juanpablo_correa28943</v>
      </c>
      <c r="J309" s="13">
        <v>7</v>
      </c>
      <c r="K309" t="str" cm="1">
        <f t="array" ref="K309">ADAPTAR(B309)&amp;"."&amp;ADAPTAR(D309)&amp;YEAR(F309)&amp;"@"&amp;VLOOKUP(J309,Dominios!$A$2:$B$30,2,FALSE)</f>
        <v>juan.zambrano1979@hocknas.co</v>
      </c>
      <c r="L309" s="13">
        <v>7</v>
      </c>
      <c r="M309">
        <f>VLOOKUP(L309,Celulares!$A$2:$B$30,2,FALSE)</f>
        <v>3115060110</v>
      </c>
    </row>
    <row r="310" spans="1:13" ht="15.75" customHeight="1" x14ac:dyDescent="0.25">
      <c r="A310" t="s">
        <v>2287</v>
      </c>
      <c r="B310" s="2" t="s">
        <v>341</v>
      </c>
      <c r="C310" s="2" t="s">
        <v>1099</v>
      </c>
      <c r="D310" s="2" t="s">
        <v>470</v>
      </c>
      <c r="E310" s="2" t="s">
        <v>42</v>
      </c>
      <c r="F310" s="6">
        <v>37162</v>
      </c>
      <c r="G310" s="16">
        <f t="shared" ca="1" si="4"/>
        <v>19.775342465753425</v>
      </c>
      <c r="H310" s="2" t="s">
        <v>1395</v>
      </c>
      <c r="I310" t="str" cm="1">
        <f t="array" ref="I310">ADAPTAR(B310)&amp;ADAPTAR(C310)&amp;"_"&amp;ADAPTAR(E310)&amp;F310</f>
        <v>juanmartin_buitrago37162</v>
      </c>
      <c r="J310" s="13">
        <v>8</v>
      </c>
      <c r="K310" t="str" cm="1">
        <f t="array" ref="K310">ADAPTAR(B310)&amp;"."&amp;ADAPTAR(D310)&amp;YEAR(F310)&amp;"@"&amp;VLOOKUP(J310,Dominios!$A$2:$B$30,2,FALSE)</f>
        <v>juan.ocampo2001@hostedoceri.co</v>
      </c>
      <c r="L310" s="13">
        <v>8</v>
      </c>
      <c r="M310">
        <f>VLOOKUP(L310,Celulares!$A$2:$B$30,2,FALSE)</f>
        <v>3115060091</v>
      </c>
    </row>
    <row r="311" spans="1:13" ht="15.75" customHeight="1" x14ac:dyDescent="0.25">
      <c r="A311" t="s">
        <v>2288</v>
      </c>
      <c r="B311" s="2" t="s">
        <v>394</v>
      </c>
      <c r="C311" s="2" t="s">
        <v>333</v>
      </c>
      <c r="D311" s="2" t="s">
        <v>715</v>
      </c>
      <c r="E311" s="2" t="s">
        <v>474</v>
      </c>
      <c r="F311" s="6">
        <v>34842</v>
      </c>
      <c r="G311" s="16">
        <f t="shared" ca="1" si="4"/>
        <v>26.13150684931507</v>
      </c>
      <c r="H311" s="2" t="s">
        <v>553</v>
      </c>
      <c r="I311" t="str" cm="1">
        <f t="array" ref="I311">ADAPTAR(B311)&amp;ADAPTAR(C311)&amp;"_"&amp;ADAPTAR(E311)&amp;F311</f>
        <v>diegoalejandro_villa34842</v>
      </c>
      <c r="J311" s="13">
        <v>9</v>
      </c>
      <c r="K311" t="str" cm="1">
        <f t="array" ref="K311">ADAPTAR(B311)&amp;"."&amp;ADAPTAR(D311)&amp;YEAR(F311)&amp;"@"&amp;VLOOKUP(J311,Dominios!$A$2:$B$30,2,FALSE)</f>
        <v>diego.garcia1995@libertas.com.co</v>
      </c>
      <c r="L311" s="13">
        <v>9</v>
      </c>
      <c r="M311">
        <f>VLOOKUP(L311,Celulares!$A$2:$B$30,2,FALSE)</f>
        <v>3115060080</v>
      </c>
    </row>
    <row r="312" spans="1:13" ht="15.75" customHeight="1" x14ac:dyDescent="0.25">
      <c r="A312" t="s">
        <v>2289</v>
      </c>
      <c r="B312" s="2" t="s">
        <v>374</v>
      </c>
      <c r="C312" s="2" t="s">
        <v>432</v>
      </c>
      <c r="D312" s="2" t="s">
        <v>685</v>
      </c>
      <c r="E312" s="2" t="s">
        <v>817</v>
      </c>
      <c r="F312" s="6">
        <v>23509</v>
      </c>
      <c r="G312" s="16">
        <f t="shared" ca="1" si="4"/>
        <v>57.180821917808217</v>
      </c>
      <c r="H312" s="2" t="s">
        <v>922</v>
      </c>
      <c r="I312" t="str" cm="1">
        <f t="array" ref="I312">ADAPTAR(B312)&amp;ADAPTAR(C312)&amp;"_"&amp;ADAPTAR(E312)&amp;F312</f>
        <v>marcoantonio_castillo23509</v>
      </c>
      <c r="J312" s="13">
        <v>10</v>
      </c>
      <c r="K312" t="str" cm="1">
        <f t="array" ref="K312">ADAPTAR(B312)&amp;"."&amp;ADAPTAR(D312)&amp;YEAR(F312)&amp;"@"&amp;VLOOKUP(J312,Dominios!$A$2:$B$30,2,FALSE)</f>
        <v>marco.beltran1964@nascitur.com.co</v>
      </c>
      <c r="L312" s="13">
        <v>10</v>
      </c>
      <c r="M312">
        <f>VLOOKUP(L312,Celulares!$A$2:$B$30,2,FALSE)</f>
        <v>3115114385</v>
      </c>
    </row>
    <row r="313" spans="1:13" ht="15.75" customHeight="1" x14ac:dyDescent="0.25">
      <c r="A313" t="s">
        <v>2290</v>
      </c>
      <c r="B313" s="2" t="s">
        <v>387</v>
      </c>
      <c r="C313" s="2" t="s">
        <v>353</v>
      </c>
      <c r="D313" s="2" t="s">
        <v>785</v>
      </c>
      <c r="E313" s="2" t="s">
        <v>766</v>
      </c>
      <c r="F313" s="6">
        <v>27583</v>
      </c>
      <c r="G313" s="16">
        <f t="shared" ca="1" si="4"/>
        <v>46.019178082191779</v>
      </c>
      <c r="H313" s="2" t="s">
        <v>1396</v>
      </c>
      <c r="I313" t="str" cm="1">
        <f t="array" ref="I313">ADAPTAR(B313)&amp;ADAPTAR(C313)&amp;"_"&amp;ADAPTAR(E313)&amp;F313</f>
        <v>davidsantiago_melo27583</v>
      </c>
      <c r="J313" s="13">
        <v>11</v>
      </c>
      <c r="K313" t="str" cm="1">
        <f t="array" ref="K313">ADAPTAR(B313)&amp;"."&amp;ADAPTAR(D313)&amp;YEAR(F313)&amp;"@"&amp;VLOOKUP(J313,Dominios!$A$2:$B$30,2,FALSE)</f>
        <v>david.cano1975@nemesis.ml</v>
      </c>
      <c r="L313" s="13">
        <v>11</v>
      </c>
      <c r="M313">
        <f>VLOOKUP(L313,Celulares!$A$2:$B$30,2,FALSE)</f>
        <v>3115114360</v>
      </c>
    </row>
    <row r="314" spans="1:13" ht="15.75" customHeight="1" x14ac:dyDescent="0.25">
      <c r="A314" t="s">
        <v>2291</v>
      </c>
      <c r="B314" s="2" t="s">
        <v>431</v>
      </c>
      <c r="C314" s="2" t="s">
        <v>656</v>
      </c>
      <c r="D314" s="2" t="s">
        <v>803</v>
      </c>
      <c r="E314" s="2" t="s">
        <v>807</v>
      </c>
      <c r="F314" s="6">
        <v>24393</v>
      </c>
      <c r="G314" s="16">
        <f t="shared" ca="1" si="4"/>
        <v>54.758904109589039</v>
      </c>
      <c r="H314" s="2" t="s">
        <v>593</v>
      </c>
      <c r="I314" t="str" cm="1">
        <f t="array" ref="I314">ADAPTAR(B314)&amp;ADAPTAR(C314)&amp;"_"&amp;ADAPTAR(E314)&amp;F314</f>
        <v>luisangel_ariza24393</v>
      </c>
      <c r="J314" s="13">
        <v>12</v>
      </c>
      <c r="K314" t="str" cm="1">
        <f t="array" ref="K314">ADAPTAR(B314)&amp;"."&amp;ADAPTAR(D314)&amp;YEAR(F314)&amp;"@"&amp;VLOOKUP(J314,Dominios!$A$2:$B$30,2,FALSE)</f>
        <v>luis.marin1966@nunquam.com.co</v>
      </c>
      <c r="L314" s="13">
        <v>12</v>
      </c>
      <c r="M314">
        <f>VLOOKUP(L314,Celulares!$A$2:$B$30,2,FALSE)</f>
        <v>3115093653</v>
      </c>
    </row>
    <row r="315" spans="1:13" ht="15.75" customHeight="1" x14ac:dyDescent="0.25">
      <c r="A315" t="s">
        <v>2292</v>
      </c>
      <c r="B315" s="2" t="s">
        <v>483</v>
      </c>
      <c r="C315" s="2" t="s">
        <v>1111</v>
      </c>
      <c r="D315" s="2" t="s">
        <v>809</v>
      </c>
      <c r="E315" s="2" t="s">
        <v>710</v>
      </c>
      <c r="F315" s="6">
        <v>31040</v>
      </c>
      <c r="G315" s="16">
        <f t="shared" ca="1" si="4"/>
        <v>36.547945205479451</v>
      </c>
      <c r="H315" s="2" t="s">
        <v>583</v>
      </c>
      <c r="I315" t="str" cm="1">
        <f t="array" ref="I315">ADAPTAR(B315)&amp;ADAPTAR(C315)&amp;"_"&amp;ADAPTAR(E315)&amp;F315</f>
        <v>josetomas_franco31040</v>
      </c>
      <c r="J315" s="13">
        <v>13</v>
      </c>
      <c r="K315" t="str" cm="1">
        <f t="array" ref="K315">ADAPTAR(B315)&amp;"."&amp;ADAPTAR(D315)&amp;YEAR(F315)&amp;"@"&amp;VLOOKUP(J315,Dominios!$A$2:$B$30,2,FALSE)</f>
        <v>jose.ardila1984@sempiternam.co</v>
      </c>
      <c r="L315" s="13">
        <v>13</v>
      </c>
      <c r="M315">
        <f>VLOOKUP(L315,Celulares!$A$2:$B$30,2,FALSE)</f>
        <v>3115093598</v>
      </c>
    </row>
    <row r="316" spans="1:13" ht="15.75" customHeight="1" x14ac:dyDescent="0.25">
      <c r="A316" t="s">
        <v>2293</v>
      </c>
      <c r="B316" s="2" t="s">
        <v>1117</v>
      </c>
      <c r="C316" s="2" t="s">
        <v>330</v>
      </c>
      <c r="D316" s="2" t="s">
        <v>730</v>
      </c>
      <c r="E316" s="2" t="s">
        <v>763</v>
      </c>
      <c r="F316" s="6">
        <v>31096</v>
      </c>
      <c r="G316" s="16">
        <f t="shared" ca="1" si="4"/>
        <v>36.394520547945206</v>
      </c>
      <c r="H316" s="2" t="s">
        <v>1397</v>
      </c>
      <c r="I316" t="str" cm="1">
        <f t="array" ref="I316">ADAPTAR(B316)&amp;ADAPTAR(C316)&amp;"_"&amp;ADAPTAR(E316)&amp;F316</f>
        <v>joanandres_munoz31096</v>
      </c>
      <c r="J316" s="13">
        <v>14</v>
      </c>
      <c r="K316" t="str" cm="1">
        <f t="array" ref="K316">ADAPTAR(B316)&amp;"."&amp;ADAPTAR(D316)&amp;YEAR(F316)&amp;"@"&amp;VLOOKUP(J316,Dominios!$A$2:$B$30,2,FALSE)</f>
        <v>joan.perez1985@sk9.co</v>
      </c>
      <c r="L316" s="13">
        <v>14</v>
      </c>
      <c r="M316">
        <f>VLOOKUP(L316,Celulares!$A$2:$B$30,2,FALSE)</f>
        <v>3115093583</v>
      </c>
    </row>
    <row r="317" spans="1:13" ht="15.75" customHeight="1" x14ac:dyDescent="0.25">
      <c r="A317" t="s">
        <v>2294</v>
      </c>
      <c r="B317" s="2" t="s">
        <v>349</v>
      </c>
      <c r="C317" s="2" t="s">
        <v>649</v>
      </c>
      <c r="D317" s="2" t="s">
        <v>519</v>
      </c>
      <c r="E317" s="2" t="s">
        <v>753</v>
      </c>
      <c r="F317" s="6">
        <v>22450</v>
      </c>
      <c r="G317" s="16">
        <f t="shared" ca="1" si="4"/>
        <v>60.082191780821915</v>
      </c>
      <c r="H317" s="2" t="s">
        <v>582</v>
      </c>
      <c r="I317" t="str" cm="1">
        <f t="array" ref="I317">ADAPTAR(B317)&amp;ADAPTAR(C317)&amp;"_"&amp;ADAPTAR(E317)&amp;F317</f>
        <v>camiloarturo_guevara22450</v>
      </c>
      <c r="J317" s="13">
        <v>15</v>
      </c>
      <c r="K317" t="str" cm="1">
        <f t="array" ref="K317">ADAPTAR(B317)&amp;"."&amp;ADAPTAR(D317)&amp;YEAR(F317)&amp;"@"&amp;VLOOKUP(J317,Dominios!$A$2:$B$30,2,FALSE)</f>
        <v>camilo.pulido1961@socialmediacolombia.com.co</v>
      </c>
      <c r="L317" s="13">
        <v>15</v>
      </c>
      <c r="M317">
        <f>VLOOKUP(L317,Celulares!$A$2:$B$30,2,FALSE)</f>
        <v>3115092386</v>
      </c>
    </row>
    <row r="318" spans="1:13" ht="15.75" customHeight="1" x14ac:dyDescent="0.25">
      <c r="A318" t="s">
        <v>2295</v>
      </c>
      <c r="B318" s="2" t="s">
        <v>491</v>
      </c>
      <c r="C318" s="2" t="s">
        <v>332</v>
      </c>
      <c r="D318" s="2" t="s">
        <v>779</v>
      </c>
      <c r="E318" s="2" t="s">
        <v>757</v>
      </c>
      <c r="F318" s="6">
        <v>28019</v>
      </c>
      <c r="G318" s="16">
        <f t="shared" ca="1" si="4"/>
        <v>44.824657534246576</v>
      </c>
      <c r="H318" s="2" t="s">
        <v>1398</v>
      </c>
      <c r="I318" t="str" cm="1">
        <f t="array" ref="I318">ADAPTAR(B318)&amp;ADAPTAR(C318)&amp;"_"&amp;ADAPTAR(E318)&amp;F318</f>
        <v>stivendaniel_arias28019</v>
      </c>
      <c r="J318" s="13">
        <v>16</v>
      </c>
      <c r="K318" t="str" cm="1">
        <f t="array" ref="K318">ADAPTAR(B318)&amp;"."&amp;ADAPTAR(D318)&amp;YEAR(F318)&amp;"@"&amp;VLOOKUP(J318,Dominios!$A$2:$B$30,2,FALSE)</f>
        <v>stiven.valencia1976@tecnicoensistemas.com.co</v>
      </c>
      <c r="L318" s="13">
        <v>16</v>
      </c>
      <c r="M318">
        <f>VLOOKUP(L318,Celulares!$A$2:$B$30,2,FALSE)</f>
        <v>3115092375</v>
      </c>
    </row>
    <row r="319" spans="1:13" ht="15.75" customHeight="1" x14ac:dyDescent="0.25">
      <c r="A319" t="s">
        <v>2296</v>
      </c>
      <c r="B319" s="2" t="s">
        <v>353</v>
      </c>
      <c r="C319" s="2" t="s">
        <v>333</v>
      </c>
      <c r="D319" s="2" t="s">
        <v>675</v>
      </c>
      <c r="E319" s="2" t="s">
        <v>743</v>
      </c>
      <c r="F319" s="6">
        <v>25254</v>
      </c>
      <c r="G319" s="16">
        <f t="shared" ca="1" si="4"/>
        <v>52.4</v>
      </c>
      <c r="H319" s="2" t="s">
        <v>602</v>
      </c>
      <c r="I319" t="str" cm="1">
        <f t="array" ref="I319">ADAPTAR(B319)&amp;ADAPTAR(C319)&amp;"_"&amp;ADAPTAR(E319)&amp;F319</f>
        <v>santiagoalejandro_salcedo25254</v>
      </c>
      <c r="J319" s="13">
        <v>17</v>
      </c>
      <c r="K319" t="str" cm="1">
        <f t="array" ref="K319">ADAPTAR(B319)&amp;"."&amp;ADAPTAR(D319)&amp;YEAR(F319)&amp;"@"&amp;VLOOKUP(J319,Dominios!$A$2:$B$30,2,FALSE)</f>
        <v>santiago.rincon1969@totum.com.co</v>
      </c>
      <c r="L319" s="13">
        <v>17</v>
      </c>
      <c r="M319">
        <f>VLOOKUP(L319,Celulares!$A$2:$B$30,2,FALSE)</f>
        <v>3115092369</v>
      </c>
    </row>
    <row r="320" spans="1:13" ht="15.75" customHeight="1" x14ac:dyDescent="0.25">
      <c r="A320" t="s">
        <v>2297</v>
      </c>
      <c r="B320" s="2" t="s">
        <v>1118</v>
      </c>
      <c r="C320" s="2" t="s">
        <v>1119</v>
      </c>
      <c r="D320" s="2" t="s">
        <v>736</v>
      </c>
      <c r="E320" s="2" t="s">
        <v>770</v>
      </c>
      <c r="F320" s="6">
        <v>36034</v>
      </c>
      <c r="G320" s="16">
        <f t="shared" ca="1" si="4"/>
        <v>22.865753424657534</v>
      </c>
      <c r="H320" s="2" t="s">
        <v>1399</v>
      </c>
      <c r="I320" t="str" cm="1">
        <f t="array" ref="I320">ADAPTAR(B320)&amp;ADAPTAR(C320)&amp;"_"&amp;ADAPTAR(E320)&amp;F320</f>
        <v>ianalexaner_daza36034</v>
      </c>
      <c r="J320" s="13">
        <v>18</v>
      </c>
      <c r="K320" t="str" cm="1">
        <f t="array" ref="K320">ADAPTAR(B320)&amp;"."&amp;ADAPTAR(D320)&amp;YEAR(F320)&amp;"@"&amp;VLOOKUP(J320,Dominios!$A$2:$B$30,2,FALSE)</f>
        <v>ian.bohorquez1998@voipcolombia.co</v>
      </c>
      <c r="L320" s="13">
        <v>18</v>
      </c>
      <c r="M320">
        <f>VLOOKUP(L320,Celulares!$A$2:$B$30,2,FALSE)</f>
        <v>3115092360</v>
      </c>
    </row>
    <row r="321" spans="1:13" ht="15.75" customHeight="1" x14ac:dyDescent="0.25">
      <c r="A321" t="s">
        <v>2298</v>
      </c>
      <c r="B321" s="2" t="s">
        <v>485</v>
      </c>
      <c r="C321" s="2" t="s">
        <v>349</v>
      </c>
      <c r="D321" s="2" t="s">
        <v>475</v>
      </c>
      <c r="E321" s="2" t="s">
        <v>726</v>
      </c>
      <c r="F321" s="6">
        <v>26329</v>
      </c>
      <c r="G321" s="16">
        <f t="shared" ca="1" si="4"/>
        <v>49.454794520547942</v>
      </c>
      <c r="H321" s="2" t="s">
        <v>575</v>
      </c>
      <c r="I321" t="str" cm="1">
        <f t="array" ref="I321">ADAPTAR(B321)&amp;ADAPTAR(C321)&amp;"_"&amp;ADAPTAR(E321)&amp;F321</f>
        <v>sneidercamilo_espinosa26329</v>
      </c>
      <c r="J321" s="13">
        <v>19</v>
      </c>
      <c r="K321" t="str" cm="1">
        <f t="array" ref="K321">ADAPTAR(B321)&amp;"."&amp;ADAPTAR(D321)&amp;YEAR(F321)&amp;"@"&amp;VLOOKUP(J321,Dominios!$A$2:$B$30,2,FALSE)</f>
        <v>sneider.caicedo1972@vpncolombia.com.co</v>
      </c>
      <c r="L321" s="13">
        <v>19</v>
      </c>
      <c r="M321">
        <f>VLOOKUP(L321,Celulares!$A$2:$B$30,2,FALSE)</f>
        <v>3115092352</v>
      </c>
    </row>
    <row r="322" spans="1:13" ht="15.75" customHeight="1" x14ac:dyDescent="0.25">
      <c r="A322" t="s">
        <v>2299</v>
      </c>
      <c r="B322" s="2" t="s">
        <v>1120</v>
      </c>
      <c r="C322" s="2" t="s">
        <v>1121</v>
      </c>
      <c r="D322" s="2" t="s">
        <v>852</v>
      </c>
      <c r="E322" s="2" t="s">
        <v>712</v>
      </c>
      <c r="F322" s="6">
        <v>34030</v>
      </c>
      <c r="G322" s="16">
        <f t="shared" ref="G322:G385" ca="1" si="5">(TODAY()-F322)/365</f>
        <v>28.356164383561644</v>
      </c>
      <c r="H322" s="2" t="s">
        <v>1400</v>
      </c>
      <c r="I322" t="str" cm="1">
        <f t="array" ref="I322">ADAPTAR(B322)&amp;ADAPTAR(C322)&amp;"_"&amp;ADAPTAR(E322)&amp;F322</f>
        <v>eliasleon_padilla34030</v>
      </c>
      <c r="J322" s="13">
        <v>0</v>
      </c>
      <c r="K322" t="str" cm="1">
        <f t="array" ref="K322">ADAPTAR(B322)&amp;"."&amp;ADAPTAR(D322)&amp;YEAR(F322)&amp;"@"&amp;VLOOKUP(J322,Dominios!$A$2:$B$30,2,FALSE)</f>
        <v>elias.hernandez1993@auribus.com.co</v>
      </c>
      <c r="L322" s="13">
        <v>0</v>
      </c>
      <c r="M322">
        <f>VLOOKUP(L322,Celulares!$A$2:$B$30,2,FALSE)</f>
        <v>3115114930</v>
      </c>
    </row>
    <row r="323" spans="1:13" ht="15.75" customHeight="1" x14ac:dyDescent="0.25">
      <c r="A323" t="s">
        <v>2300</v>
      </c>
      <c r="B323" s="2" t="s">
        <v>1122</v>
      </c>
      <c r="C323" s="2" t="s">
        <v>1123</v>
      </c>
      <c r="D323" s="2" t="s">
        <v>789</v>
      </c>
      <c r="E323" s="2" t="s">
        <v>793</v>
      </c>
      <c r="F323" s="6">
        <v>32071</v>
      </c>
      <c r="G323" s="16">
        <f t="shared" ca="1" si="5"/>
        <v>33.723287671232875</v>
      </c>
      <c r="H323" s="2" t="s">
        <v>1317</v>
      </c>
      <c r="I323" t="str" cm="1">
        <f t="array" ref="I323">ADAPTAR(B323)&amp;ADAPTAR(C323)&amp;"_"&amp;ADAPTAR(E323)&amp;F323</f>
        <v>ethanmateo_ramos32071</v>
      </c>
      <c r="J323" s="13">
        <v>1</v>
      </c>
      <c r="K323" t="str" cm="1">
        <f t="array" ref="K323">ADAPTAR(B323)&amp;"."&amp;ADAPTAR(D323)&amp;YEAR(F323)&amp;"@"&amp;VLOOKUP(J323,Dominios!$A$2:$B$30,2,FALSE)</f>
        <v>ethan.carmona1987@colamus.co</v>
      </c>
      <c r="L323" s="13">
        <v>1</v>
      </c>
      <c r="M323">
        <f>VLOOKUP(L323,Celulares!$A$2:$B$30,2,FALSE)</f>
        <v>3115114916</v>
      </c>
    </row>
    <row r="324" spans="1:13" ht="15.75" customHeight="1" x14ac:dyDescent="0.25">
      <c r="A324" t="s">
        <v>2301</v>
      </c>
      <c r="B324" s="2" t="s">
        <v>1124</v>
      </c>
      <c r="C324" s="2" t="s">
        <v>333</v>
      </c>
      <c r="D324" s="2" t="s">
        <v>841</v>
      </c>
      <c r="E324" s="2" t="s">
        <v>810</v>
      </c>
      <c r="F324" s="6">
        <v>34795</v>
      </c>
      <c r="G324" s="16">
        <f t="shared" ca="1" si="5"/>
        <v>26.260273972602739</v>
      </c>
      <c r="H324" s="2" t="s">
        <v>533</v>
      </c>
      <c r="I324" t="str" cm="1">
        <f t="array" ref="I324">ADAPTAR(B324)&amp;ADAPTAR(C324)&amp;"_"&amp;ADAPTAR(E324)&amp;F324</f>
        <v>gregorioalejandro_gonzalez34795</v>
      </c>
      <c r="J324" s="13">
        <v>2</v>
      </c>
      <c r="K324" t="str" cm="1">
        <f t="array" ref="K324">ADAPTAR(B324)&amp;"."&amp;ADAPTAR(D324)&amp;YEAR(F324)&amp;"@"&amp;VLOOKUP(J324,Dominios!$A$2:$B$30,2,FALSE)</f>
        <v>gregorio.galvis1995@colombiamail.co</v>
      </c>
      <c r="L324" s="13">
        <v>2</v>
      </c>
      <c r="M324">
        <f>VLOOKUP(L324,Celulares!$A$2:$B$30,2,FALSE)</f>
        <v>3115114911</v>
      </c>
    </row>
    <row r="325" spans="1:13" ht="15.75" customHeight="1" x14ac:dyDescent="0.25">
      <c r="A325" t="s">
        <v>2302</v>
      </c>
      <c r="B325" s="2" t="s">
        <v>53</v>
      </c>
      <c r="C325" s="2" t="s">
        <v>335</v>
      </c>
      <c r="D325" s="2" t="s">
        <v>720</v>
      </c>
      <c r="E325" s="2" t="s">
        <v>61</v>
      </c>
      <c r="F325" s="6">
        <v>21771</v>
      </c>
      <c r="G325" s="16">
        <f t="shared" ca="1" si="5"/>
        <v>61.942465753424656</v>
      </c>
      <c r="H325" s="2" t="s">
        <v>582</v>
      </c>
      <c r="I325" t="str" cm="1">
        <f t="array" ref="I325">ADAPTAR(B325)&amp;ADAPTAR(C325)&amp;"_"&amp;ADAPTAR(E325)&amp;F325</f>
        <v>francosebastian_ruiz21771</v>
      </c>
      <c r="J325" s="13">
        <v>3</v>
      </c>
      <c r="K325" t="str" cm="1">
        <f t="array" ref="K325">ADAPTAR(B325)&amp;"."&amp;ADAPTAR(D325)&amp;YEAR(F325)&amp;"@"&amp;VLOOKUP(J325,Dominios!$A$2:$B$30,2,FALSE)</f>
        <v>franco.herrera1959@diabunter.co</v>
      </c>
      <c r="L325" s="13">
        <v>3</v>
      </c>
      <c r="M325">
        <f>VLOOKUP(L325,Celulares!$A$2:$B$30,2,FALSE)</f>
        <v>3115114910</v>
      </c>
    </row>
    <row r="326" spans="1:13" ht="15.75" customHeight="1" x14ac:dyDescent="0.25">
      <c r="A326" t="s">
        <v>2303</v>
      </c>
      <c r="B326" s="2" t="s">
        <v>1125</v>
      </c>
      <c r="C326" s="2" t="s">
        <v>1126</v>
      </c>
      <c r="D326" s="2" t="s">
        <v>763</v>
      </c>
      <c r="E326" s="2" t="s">
        <v>470</v>
      </c>
      <c r="F326" s="6">
        <v>23245</v>
      </c>
      <c r="G326" s="16">
        <f t="shared" ca="1" si="5"/>
        <v>57.904109589041099</v>
      </c>
      <c r="H326" s="2" t="s">
        <v>613</v>
      </c>
      <c r="I326" t="str" cm="1">
        <f t="array" ref="I326">ADAPTAR(B326)&amp;ADAPTAR(C326)&amp;"_"&amp;ADAPTAR(E326)&amp;F326</f>
        <v>chriselian_ocampo23245</v>
      </c>
      <c r="J326" s="13">
        <v>4</v>
      </c>
      <c r="K326" t="str" cm="1">
        <f t="array" ref="K326">ADAPTAR(B326)&amp;"."&amp;ADAPTAR(D326)&amp;YEAR(F326)&amp;"@"&amp;VLOOKUP(J326,Dominios!$A$2:$B$30,2,FALSE)</f>
        <v>chris.munoz1963@ebrietas.co</v>
      </c>
      <c r="L326" s="13">
        <v>4</v>
      </c>
      <c r="M326">
        <f>VLOOKUP(L326,Celulares!$A$2:$B$30,2,FALSE)</f>
        <v>3115114909</v>
      </c>
    </row>
    <row r="327" spans="1:13" ht="15.75" customHeight="1" x14ac:dyDescent="0.25">
      <c r="A327" t="s">
        <v>2304</v>
      </c>
      <c r="B327" s="2" t="s">
        <v>1127</v>
      </c>
      <c r="C327" s="2" t="s">
        <v>429</v>
      </c>
      <c r="D327" s="2" t="s">
        <v>225</v>
      </c>
      <c r="E327" s="2" t="s">
        <v>704</v>
      </c>
      <c r="F327" s="6">
        <v>34668</v>
      </c>
      <c r="G327" s="16">
        <f t="shared" ca="1" si="5"/>
        <v>26.608219178082191</v>
      </c>
      <c r="H327" s="2" t="s">
        <v>563</v>
      </c>
      <c r="I327" t="str" cm="1">
        <f t="array" ref="I327">ADAPTAR(B327)&amp;ADAPTAR(C327)&amp;"_"&amp;ADAPTAR(E327)&amp;F327</f>
        <v>noahgabriel_patino34668</v>
      </c>
      <c r="J327" s="13">
        <v>5</v>
      </c>
      <c r="K327" t="str" cm="1">
        <f t="array" ref="K327">ADAPTAR(B327)&amp;"."&amp;ADAPTAR(D327)&amp;YEAR(F327)&amp;"@"&amp;VLOOKUP(J327,Dominios!$A$2:$B$30,2,FALSE)</f>
        <v>noah.vargas1994@elsinsonte.co</v>
      </c>
      <c r="L327" s="13">
        <v>5</v>
      </c>
      <c r="M327">
        <f>VLOOKUP(L327,Celulares!$A$2:$B$30,2,FALSE)</f>
        <v>3115060130</v>
      </c>
    </row>
    <row r="328" spans="1:13" ht="15.75" customHeight="1" x14ac:dyDescent="0.25">
      <c r="A328" t="s">
        <v>2305</v>
      </c>
      <c r="B328" s="2" t="s">
        <v>1128</v>
      </c>
      <c r="C328" s="2" t="s">
        <v>1129</v>
      </c>
      <c r="D328" s="2" t="s">
        <v>828</v>
      </c>
      <c r="E328" s="2" t="s">
        <v>823</v>
      </c>
      <c r="F328" s="6">
        <v>32001</v>
      </c>
      <c r="G328" s="16">
        <f t="shared" ca="1" si="5"/>
        <v>33.915068493150685</v>
      </c>
      <c r="H328" s="2" t="s">
        <v>545</v>
      </c>
      <c r="I328" t="str" cm="1">
        <f t="array" ref="I328">ADAPTAR(B328)&amp;ADAPTAR(C328)&amp;"_"&amp;ADAPTAR(E328)&amp;F328</f>
        <v>danteemanuel_rivera32001</v>
      </c>
      <c r="J328" s="13">
        <v>6</v>
      </c>
      <c r="K328" t="str" cm="1">
        <f t="array" ref="K328">ADAPTAR(B328)&amp;"."&amp;ADAPTAR(D328)&amp;YEAR(F328)&amp;"@"&amp;VLOOKUP(J328,Dominios!$A$2:$B$30,2,FALSE)</f>
        <v>dante.barrios1987@enigmaserver.co</v>
      </c>
      <c r="L328" s="13">
        <v>6</v>
      </c>
      <c r="M328">
        <f>VLOOKUP(L328,Celulares!$A$2:$B$30,2,FALSE)</f>
        <v>3115060125</v>
      </c>
    </row>
    <row r="329" spans="1:13" ht="15.75" customHeight="1" x14ac:dyDescent="0.25">
      <c r="A329" t="s">
        <v>2306</v>
      </c>
      <c r="B329" s="2" t="s">
        <v>1130</v>
      </c>
      <c r="C329" s="2" t="s">
        <v>491</v>
      </c>
      <c r="D329" s="2" t="s">
        <v>298</v>
      </c>
      <c r="E329" s="2" t="s">
        <v>734</v>
      </c>
      <c r="F329" s="6">
        <v>24067</v>
      </c>
      <c r="G329" s="16">
        <f t="shared" ca="1" si="5"/>
        <v>55.652054794520545</v>
      </c>
      <c r="H329" s="2" t="s">
        <v>1401</v>
      </c>
      <c r="I329" t="str" cm="1">
        <f t="array" ref="I329">ADAPTAR(B329)&amp;ADAPTAR(C329)&amp;"_"&amp;ADAPTAR(E329)&amp;F329</f>
        <v>dilanstiven_ramirez24067</v>
      </c>
      <c r="J329" s="13">
        <v>7</v>
      </c>
      <c r="K329" t="str" cm="1">
        <f t="array" ref="K329">ADAPTAR(B329)&amp;"."&amp;ADAPTAR(D329)&amp;YEAR(F329)&amp;"@"&amp;VLOOKUP(J329,Dominios!$A$2:$B$30,2,FALSE)</f>
        <v>dilan.jaimes1965@hocknas.co</v>
      </c>
      <c r="L329" s="13">
        <v>7</v>
      </c>
      <c r="M329">
        <f>VLOOKUP(L329,Celulares!$A$2:$B$30,2,FALSE)</f>
        <v>3115060110</v>
      </c>
    </row>
    <row r="330" spans="1:13" ht="15.75" customHeight="1" x14ac:dyDescent="0.25">
      <c r="A330" t="s">
        <v>2307</v>
      </c>
      <c r="B330" s="2" t="s">
        <v>341</v>
      </c>
      <c r="C330" s="2" t="s">
        <v>421</v>
      </c>
      <c r="D330" s="2" t="s">
        <v>842</v>
      </c>
      <c r="E330" s="2" t="s">
        <v>720</v>
      </c>
      <c r="F330" s="6">
        <v>24419</v>
      </c>
      <c r="G330" s="16">
        <f t="shared" ca="1" si="5"/>
        <v>54.68767123287671</v>
      </c>
      <c r="H330" s="2" t="s">
        <v>1275</v>
      </c>
      <c r="I330" t="str" cm="1">
        <f t="array" ref="I330">ADAPTAR(B330)&amp;ADAPTAR(C330)&amp;"_"&amp;ADAPTAR(E330)&amp;F330</f>
        <v>juannicolas_herrera24419</v>
      </c>
      <c r="J330" s="13">
        <v>8</v>
      </c>
      <c r="K330" t="str" cm="1">
        <f t="array" ref="K330">ADAPTAR(B330)&amp;"."&amp;ADAPTAR(D330)&amp;YEAR(F330)&amp;"@"&amp;VLOOKUP(J330,Dominios!$A$2:$B$30,2,FALSE)</f>
        <v>juan.fuentes1966@hostedoceri.co</v>
      </c>
      <c r="L330" s="13">
        <v>8</v>
      </c>
      <c r="M330">
        <f>VLOOKUP(L330,Celulares!$A$2:$B$30,2,FALSE)</f>
        <v>3115060091</v>
      </c>
    </row>
    <row r="331" spans="1:13" ht="15.75" customHeight="1" x14ac:dyDescent="0.25">
      <c r="A331" t="s">
        <v>2308</v>
      </c>
      <c r="B331" s="2" t="s">
        <v>1131</v>
      </c>
      <c r="C331" s="2" t="s">
        <v>665</v>
      </c>
      <c r="D331" s="2" t="s">
        <v>727</v>
      </c>
      <c r="E331" s="2" t="s">
        <v>798</v>
      </c>
      <c r="F331" s="6">
        <v>23054</v>
      </c>
      <c r="G331" s="16">
        <f t="shared" ca="1" si="5"/>
        <v>58.42739726027397</v>
      </c>
      <c r="H331" s="2" t="s">
        <v>532</v>
      </c>
      <c r="I331" t="str" cm="1">
        <f t="array" ref="I331">ADAPTAR(B331)&amp;ADAPTAR(C331)&amp;"_"&amp;ADAPTAR(E331)&amp;F331</f>
        <v>simonagustin_mendoza23054</v>
      </c>
      <c r="J331" s="13">
        <v>9</v>
      </c>
      <c r="K331" t="str" cm="1">
        <f t="array" ref="K331">ADAPTAR(B331)&amp;"."&amp;ADAPTAR(D331)&amp;YEAR(F331)&amp;"@"&amp;VLOOKUP(J331,Dominios!$A$2:$B$30,2,FALSE)</f>
        <v>simon.nunez1963@libertas.com.co</v>
      </c>
      <c r="L331" s="13">
        <v>9</v>
      </c>
      <c r="M331">
        <f>VLOOKUP(L331,Celulares!$A$2:$B$30,2,FALSE)</f>
        <v>3115060080</v>
      </c>
    </row>
    <row r="332" spans="1:13" ht="15.75" customHeight="1" x14ac:dyDescent="0.25">
      <c r="A332" t="s">
        <v>2309</v>
      </c>
      <c r="B332" s="2" t="s">
        <v>1132</v>
      </c>
      <c r="C332" s="2" t="s">
        <v>330</v>
      </c>
      <c r="D332" s="2" t="s">
        <v>765</v>
      </c>
      <c r="E332" s="2" t="s">
        <v>772</v>
      </c>
      <c r="F332" s="6">
        <v>34135</v>
      </c>
      <c r="G332" s="16">
        <f t="shared" ca="1" si="5"/>
        <v>28.068493150684933</v>
      </c>
      <c r="H332" s="2" t="s">
        <v>543</v>
      </c>
      <c r="I332" t="str" cm="1">
        <f t="array" ref="I332">ADAPTAR(B332)&amp;ADAPTAR(C332)&amp;"_"&amp;ADAPTAR(E332)&amp;F332</f>
        <v>federicoandres_morales34135</v>
      </c>
      <c r="J332" s="13">
        <v>10</v>
      </c>
      <c r="K332" t="str" cm="1">
        <f t="array" ref="K332">ADAPTAR(B332)&amp;"."&amp;ADAPTAR(D332)&amp;YEAR(F332)&amp;"@"&amp;VLOOKUP(J332,Dominios!$A$2:$B$30,2,FALSE)</f>
        <v>federico.estrada1993@nascitur.com.co</v>
      </c>
      <c r="L332" s="13">
        <v>10</v>
      </c>
      <c r="M332">
        <f>VLOOKUP(L332,Celulares!$A$2:$B$30,2,FALSE)</f>
        <v>3115114385</v>
      </c>
    </row>
    <row r="333" spans="1:13" ht="15.75" customHeight="1" x14ac:dyDescent="0.25">
      <c r="A333" t="s">
        <v>2310</v>
      </c>
      <c r="B333" s="2" t="s">
        <v>480</v>
      </c>
      <c r="C333" s="2" t="s">
        <v>446</v>
      </c>
      <c r="D333" s="2" t="s">
        <v>827</v>
      </c>
      <c r="E333" s="2" t="s">
        <v>519</v>
      </c>
      <c r="F333" s="6">
        <v>31258</v>
      </c>
      <c r="G333" s="16">
        <f t="shared" ca="1" si="5"/>
        <v>35.950684931506849</v>
      </c>
      <c r="H333" s="2" t="s">
        <v>600</v>
      </c>
      <c r="I333" t="str" cm="1">
        <f t="array" ref="I333">ADAPTAR(B333)&amp;ADAPTAR(C333)&amp;"_"&amp;ADAPTAR(E333)&amp;F333</f>
        <v>johanfelipe_pulido31258</v>
      </c>
      <c r="J333" s="13">
        <v>11</v>
      </c>
      <c r="K333" t="str" cm="1">
        <f t="array" ref="K333">ADAPTAR(B333)&amp;"."&amp;ADAPTAR(D333)&amp;YEAR(F333)&amp;"@"&amp;VLOOKUP(J333,Dominios!$A$2:$B$30,2,FALSE)</f>
        <v>johan.martinez1985@nemesis.ml</v>
      </c>
      <c r="L333" s="13">
        <v>11</v>
      </c>
      <c r="M333">
        <f>VLOOKUP(L333,Celulares!$A$2:$B$30,2,FALSE)</f>
        <v>3115114360</v>
      </c>
    </row>
    <row r="334" spans="1:13" ht="15.75" customHeight="1" x14ac:dyDescent="0.25">
      <c r="A334" t="s">
        <v>2311</v>
      </c>
      <c r="B334" s="2" t="s">
        <v>342</v>
      </c>
      <c r="C334" s="2" t="s">
        <v>426</v>
      </c>
      <c r="D334" s="2" t="s">
        <v>851</v>
      </c>
      <c r="E334" s="2" t="s">
        <v>718</v>
      </c>
      <c r="F334" s="6">
        <v>31280</v>
      </c>
      <c r="G334" s="16">
        <f t="shared" ca="1" si="5"/>
        <v>35.890410958904113</v>
      </c>
      <c r="H334" s="2" t="s">
        <v>562</v>
      </c>
      <c r="I334" t="str" cm="1">
        <f t="array" ref="I334">ADAPTAR(B334)&amp;ADAPTAR(C334)&amp;"_"&amp;ADAPTAR(E334)&amp;F334</f>
        <v>carlosaugusto_mercado31280</v>
      </c>
      <c r="J334" s="13">
        <v>12</v>
      </c>
      <c r="K334" t="str" cm="1">
        <f t="array" ref="K334">ADAPTAR(B334)&amp;"."&amp;ADAPTAR(D334)&amp;YEAR(F334)&amp;"@"&amp;VLOOKUP(J334,Dominios!$A$2:$B$30,2,FALSE)</f>
        <v>carlos.benitez1985@nunquam.com.co</v>
      </c>
      <c r="L334" s="13">
        <v>12</v>
      </c>
      <c r="M334">
        <f>VLOOKUP(L334,Celulares!$A$2:$B$30,2,FALSE)</f>
        <v>3115093653</v>
      </c>
    </row>
    <row r="335" spans="1:13" ht="15.75" customHeight="1" x14ac:dyDescent="0.25">
      <c r="A335" t="s">
        <v>2312</v>
      </c>
      <c r="B335" s="2" t="s">
        <v>399</v>
      </c>
      <c r="C335" s="2" t="s">
        <v>483</v>
      </c>
      <c r="D335" s="2" t="s">
        <v>676</v>
      </c>
      <c r="E335" s="2" t="s">
        <v>742</v>
      </c>
      <c r="F335" s="6">
        <v>21324</v>
      </c>
      <c r="G335" s="16">
        <f t="shared" ca="1" si="5"/>
        <v>63.167123287671231</v>
      </c>
      <c r="H335" s="2" t="s">
        <v>590</v>
      </c>
      <c r="I335" t="str" cm="1">
        <f t="array" ref="I335">ADAPTAR(B335)&amp;ADAPTAR(C335)&amp;"_"&amp;ADAPTAR(E335)&amp;F335</f>
        <v>pedrojose_florez21324</v>
      </c>
      <c r="J335" s="13">
        <v>13</v>
      </c>
      <c r="K335" t="str" cm="1">
        <f t="array" ref="K335">ADAPTAR(B335)&amp;"."&amp;ADAPTAR(D335)&amp;YEAR(F335)&amp;"@"&amp;VLOOKUP(J335,Dominios!$A$2:$B$30,2,FALSE)</f>
        <v>pedro.rios1958@sempiternam.co</v>
      </c>
      <c r="L335" s="13">
        <v>13</v>
      </c>
      <c r="M335">
        <f>VLOOKUP(L335,Celulares!$A$2:$B$30,2,FALSE)</f>
        <v>3115093598</v>
      </c>
    </row>
    <row r="336" spans="1:13" ht="15.75" customHeight="1" x14ac:dyDescent="0.25">
      <c r="A336" t="s">
        <v>2313</v>
      </c>
      <c r="B336" s="2" t="s">
        <v>887</v>
      </c>
      <c r="C336" s="2" t="s">
        <v>1133</v>
      </c>
      <c r="D336" s="2" t="s">
        <v>781</v>
      </c>
      <c r="E336" s="2" t="s">
        <v>800</v>
      </c>
      <c r="F336" s="6">
        <v>26700</v>
      </c>
      <c r="G336" s="16">
        <f t="shared" ca="1" si="5"/>
        <v>48.438356164383563</v>
      </c>
      <c r="H336" s="2" t="s">
        <v>549</v>
      </c>
      <c r="I336" t="str" cm="1">
        <f t="array" ref="I336">ADAPTAR(B336)&amp;ADAPTAR(C336)&amp;"_"&amp;ADAPTAR(E336)&amp;F336</f>
        <v>josephestiven_carrillo26700</v>
      </c>
      <c r="J336" s="13">
        <v>14</v>
      </c>
      <c r="K336" t="str" cm="1">
        <f t="array" ref="K336">ADAPTAR(B336)&amp;"."&amp;ADAPTAR(D336)&amp;YEAR(F336)&amp;"@"&amp;VLOOKUP(J336,Dominios!$A$2:$B$30,2,FALSE)</f>
        <v>joseph.guerra1973@sk9.co</v>
      </c>
      <c r="L336" s="13">
        <v>14</v>
      </c>
      <c r="M336">
        <f>VLOOKUP(L336,Celulares!$A$2:$B$30,2,FALSE)</f>
        <v>3115093583</v>
      </c>
    </row>
    <row r="337" spans="1:13" ht="15.75" customHeight="1" x14ac:dyDescent="0.25">
      <c r="A337" t="s">
        <v>2314</v>
      </c>
      <c r="B337" s="2" t="s">
        <v>1134</v>
      </c>
      <c r="C337" s="2" t="s">
        <v>483</v>
      </c>
      <c r="D337" s="2" t="s">
        <v>758</v>
      </c>
      <c r="E337" s="2" t="s">
        <v>740</v>
      </c>
      <c r="F337" s="6">
        <v>24686</v>
      </c>
      <c r="G337" s="16">
        <f t="shared" ca="1" si="5"/>
        <v>53.956164383561642</v>
      </c>
      <c r="H337" s="2" t="s">
        <v>1402</v>
      </c>
      <c r="I337" t="str" cm="1">
        <f t="array" ref="I337">ADAPTAR(B337)&amp;ADAPTAR(C337)&amp;"_"&amp;ADAPTAR(E337)&amp;F337</f>
        <v>maximilianojose_ortega24686</v>
      </c>
      <c r="J337" s="13">
        <v>15</v>
      </c>
      <c r="K337" t="str" cm="1">
        <f t="array" ref="K337">ADAPTAR(B337)&amp;"."&amp;ADAPTAR(D337)&amp;YEAR(F337)&amp;"@"&amp;VLOOKUP(J337,Dominios!$A$2:$B$30,2,FALSE)</f>
        <v>maximiliano.castellanos1967@socialmediacolombia.com.co</v>
      </c>
      <c r="L337" s="13">
        <v>15</v>
      </c>
      <c r="M337">
        <f>VLOOKUP(L337,Celulares!$A$2:$B$30,2,FALSE)</f>
        <v>3115092386</v>
      </c>
    </row>
    <row r="338" spans="1:13" ht="15.75" customHeight="1" x14ac:dyDescent="0.25">
      <c r="A338" t="s">
        <v>2315</v>
      </c>
      <c r="B338" s="2" t="s">
        <v>503</v>
      </c>
      <c r="C338" s="2" t="s">
        <v>1135</v>
      </c>
      <c r="D338" s="2" t="s">
        <v>760</v>
      </c>
      <c r="E338" s="2" t="s">
        <v>522</v>
      </c>
      <c r="F338" s="6">
        <v>26116</v>
      </c>
      <c r="G338" s="16">
        <f t="shared" ca="1" si="5"/>
        <v>50.038356164383565</v>
      </c>
      <c r="H338" s="2" t="s">
        <v>579</v>
      </c>
      <c r="I338" t="str" cm="1">
        <f t="array" ref="I338">ADAPTAR(B338)&amp;ADAPTAR(C338)&amp;"_"&amp;ADAPTAR(E338)&amp;F338</f>
        <v>ernestoazael_bonilla26116</v>
      </c>
      <c r="J338" s="13">
        <v>16</v>
      </c>
      <c r="K338" t="str" cm="1">
        <f t="array" ref="K338">ADAPTAR(B338)&amp;"."&amp;ADAPTAR(D338)&amp;YEAR(F338)&amp;"@"&amp;VLOOKUP(J338,Dominios!$A$2:$B$30,2,FALSE)</f>
        <v>ernesto.alzate1971@tecnicoensistemas.com.co</v>
      </c>
      <c r="L338" s="13">
        <v>16</v>
      </c>
      <c r="M338">
        <f>VLOOKUP(L338,Celulares!$A$2:$B$30,2,FALSE)</f>
        <v>3115092375</v>
      </c>
    </row>
    <row r="339" spans="1:13" ht="15.75" customHeight="1" x14ac:dyDescent="0.25">
      <c r="A339" t="s">
        <v>2316</v>
      </c>
      <c r="B339" s="2" t="s">
        <v>333</v>
      </c>
      <c r="C339" s="2" t="s">
        <v>1136</v>
      </c>
      <c r="D339" s="2" t="s">
        <v>754</v>
      </c>
      <c r="E339" s="2" t="s">
        <v>840</v>
      </c>
      <c r="F339" s="6">
        <v>30536</v>
      </c>
      <c r="G339" s="16">
        <f t="shared" ca="1" si="5"/>
        <v>37.92876712328767</v>
      </c>
      <c r="H339" s="2" t="s">
        <v>1403</v>
      </c>
      <c r="I339" t="str" cm="1">
        <f t="array" ref="I339">ADAPTAR(B339)&amp;ADAPTAR(C339)&amp;"_"&amp;ADAPTAR(E339)&amp;F339</f>
        <v>alejandrosamuel_duque30536</v>
      </c>
      <c r="J339" s="13">
        <v>17</v>
      </c>
      <c r="K339" t="str" cm="1">
        <f t="array" ref="K339">ADAPTAR(B339)&amp;"."&amp;ADAPTAR(D339)&amp;YEAR(F339)&amp;"@"&amp;VLOOKUP(J339,Dominios!$A$2:$B$30,2,FALSE)</f>
        <v>alejandro.soto1983@totum.com.co</v>
      </c>
      <c r="L339" s="13">
        <v>17</v>
      </c>
      <c r="M339">
        <f>VLOOKUP(L339,Celulares!$A$2:$B$30,2,FALSE)</f>
        <v>3115092369</v>
      </c>
    </row>
    <row r="340" spans="1:13" ht="15.75" customHeight="1" x14ac:dyDescent="0.25">
      <c r="A340" t="s">
        <v>2317</v>
      </c>
      <c r="B340" s="2" t="s">
        <v>860</v>
      </c>
      <c r="C340" s="2" t="s">
        <v>1137</v>
      </c>
      <c r="D340" s="2" t="s">
        <v>688</v>
      </c>
      <c r="E340" s="2" t="s">
        <v>677</v>
      </c>
      <c r="F340" s="6">
        <v>20501</v>
      </c>
      <c r="G340" s="16">
        <f t="shared" ca="1" si="5"/>
        <v>65.421917808219177</v>
      </c>
      <c r="H340" s="2" t="s">
        <v>1404</v>
      </c>
      <c r="I340" t="str" cm="1">
        <f t="array" ref="I340">ADAPTAR(B340)&amp;ADAPTAR(C340)&amp;"_"&amp;ADAPTAR(E340)&amp;F340</f>
        <v>edgarefrain_sierra20501</v>
      </c>
      <c r="J340" s="13">
        <v>18</v>
      </c>
      <c r="K340" t="str" cm="1">
        <f t="array" ref="K340">ADAPTAR(B340)&amp;"."&amp;ADAPTAR(D340)&amp;YEAR(F340)&amp;"@"&amp;VLOOKUP(J340,Dominios!$A$2:$B$30,2,FALSE)</f>
        <v>edgar.escobar1956@voipcolombia.co</v>
      </c>
      <c r="L340" s="13">
        <v>18</v>
      </c>
      <c r="M340">
        <f>VLOOKUP(L340,Celulares!$A$2:$B$30,2,FALSE)</f>
        <v>3115092360</v>
      </c>
    </row>
    <row r="341" spans="1:13" ht="15.75" customHeight="1" x14ac:dyDescent="0.25">
      <c r="A341" t="s">
        <v>2318</v>
      </c>
      <c r="B341" s="2" t="s">
        <v>379</v>
      </c>
      <c r="C341" s="2" t="s">
        <v>330</v>
      </c>
      <c r="D341" s="2" t="s">
        <v>759</v>
      </c>
      <c r="E341" s="2" t="s">
        <v>713</v>
      </c>
      <c r="F341" s="6">
        <v>34942</v>
      </c>
      <c r="G341" s="16">
        <f t="shared" ca="1" si="5"/>
        <v>25.857534246575341</v>
      </c>
      <c r="H341" s="2" t="s">
        <v>1405</v>
      </c>
      <c r="I341" t="str" cm="1">
        <f t="array" ref="I341">ADAPTAR(B341)&amp;ADAPTAR(C341)&amp;"_"&amp;ADAPTAR(E341)&amp;F341</f>
        <v>jairoandres_betancur34942</v>
      </c>
      <c r="J341" s="13">
        <v>19</v>
      </c>
      <c r="K341" t="str" cm="1">
        <f t="array" ref="K341">ADAPTAR(B341)&amp;"."&amp;ADAPTAR(D341)&amp;YEAR(F341)&amp;"@"&amp;VLOOKUP(J341,Dominios!$A$2:$B$30,2,FALSE)</f>
        <v>jairo.ortiz1995@vpncolombia.com.co</v>
      </c>
      <c r="L341" s="13">
        <v>19</v>
      </c>
      <c r="M341">
        <f>VLOOKUP(L341,Celulares!$A$2:$B$30,2,FALSE)</f>
        <v>3115092352</v>
      </c>
    </row>
    <row r="342" spans="1:13" ht="15.75" customHeight="1" x14ac:dyDescent="0.25">
      <c r="A342" t="s">
        <v>2319</v>
      </c>
      <c r="B342" s="2" t="s">
        <v>1138</v>
      </c>
      <c r="C342" s="2" t="s">
        <v>1139</v>
      </c>
      <c r="D342" s="2" t="s">
        <v>833</v>
      </c>
      <c r="E342" s="2" t="s">
        <v>852</v>
      </c>
      <c r="F342" s="6">
        <v>29584</v>
      </c>
      <c r="G342" s="16">
        <f t="shared" ca="1" si="5"/>
        <v>40.536986301369865</v>
      </c>
      <c r="H342" s="2" t="s">
        <v>568</v>
      </c>
      <c r="I342" t="str" cm="1">
        <f t="array" ref="I342">ADAPTAR(B342)&amp;ADAPTAR(C342)&amp;"_"&amp;ADAPTAR(E342)&amp;F342</f>
        <v>neilsamir_hernandez29584</v>
      </c>
      <c r="J342" s="13">
        <v>0</v>
      </c>
      <c r="K342" t="str" cm="1">
        <f t="array" ref="K342">ADAPTAR(B342)&amp;"."&amp;ADAPTAR(D342)&amp;YEAR(F342)&amp;"@"&amp;VLOOKUP(J342,Dominios!$A$2:$B$30,2,FALSE)</f>
        <v>neil.loaiza1980@auribus.com.co</v>
      </c>
      <c r="L342" s="13">
        <v>0</v>
      </c>
      <c r="M342">
        <f>VLOOKUP(L342,Celulares!$A$2:$B$30,2,FALSE)</f>
        <v>3115114930</v>
      </c>
    </row>
    <row r="343" spans="1:13" ht="15.75" customHeight="1" x14ac:dyDescent="0.25">
      <c r="A343" t="s">
        <v>2320</v>
      </c>
      <c r="B343" s="2" t="s">
        <v>1140</v>
      </c>
      <c r="C343" s="2" t="s">
        <v>649</v>
      </c>
      <c r="D343" s="2" t="s">
        <v>787</v>
      </c>
      <c r="E343" s="2" t="s">
        <v>705</v>
      </c>
      <c r="F343" s="6">
        <v>27812</v>
      </c>
      <c r="G343" s="16">
        <f t="shared" ca="1" si="5"/>
        <v>45.391780821917806</v>
      </c>
      <c r="H343" s="2" t="s">
        <v>562</v>
      </c>
      <c r="I343" t="str" cm="1">
        <f t="array" ref="I343">ADAPTAR(B343)&amp;ADAPTAR(C343)&amp;"_"&amp;ADAPTAR(E343)&amp;F343</f>
        <v>saularturo_cordoba27812</v>
      </c>
      <c r="J343" s="13">
        <v>1</v>
      </c>
      <c r="K343" t="str" cm="1">
        <f t="array" ref="K343">ADAPTAR(B343)&amp;"."&amp;ADAPTAR(D343)&amp;YEAR(F343)&amp;"@"&amp;VLOOKUP(J343,Dominios!$A$2:$B$30,2,FALSE)</f>
        <v>saul.duran1976@colamus.co</v>
      </c>
      <c r="L343" s="13">
        <v>1</v>
      </c>
      <c r="M343">
        <f>VLOOKUP(L343,Celulares!$A$2:$B$30,2,FALSE)</f>
        <v>3115114916</v>
      </c>
    </row>
    <row r="344" spans="1:13" ht="15.75" customHeight="1" x14ac:dyDescent="0.25">
      <c r="A344" t="s">
        <v>2321</v>
      </c>
      <c r="B344" s="2" t="s">
        <v>341</v>
      </c>
      <c r="C344" s="2" t="s">
        <v>483</v>
      </c>
      <c r="D344" s="2" t="s">
        <v>799</v>
      </c>
      <c r="E344" s="2" t="s">
        <v>738</v>
      </c>
      <c r="F344" s="6">
        <v>21071</v>
      </c>
      <c r="G344" s="16">
        <f t="shared" ca="1" si="5"/>
        <v>63.860273972602741</v>
      </c>
      <c r="H344" s="2" t="s">
        <v>554</v>
      </c>
      <c r="I344" t="str" cm="1">
        <f t="array" ref="I344">ADAPTAR(B344)&amp;ADAPTAR(C344)&amp;"_"&amp;ADAPTAR(E344)&amp;F344</f>
        <v>juanjose_polo21071</v>
      </c>
      <c r="J344" s="13">
        <v>2</v>
      </c>
      <c r="K344" t="str" cm="1">
        <f t="array" ref="K344">ADAPTAR(B344)&amp;"."&amp;ADAPTAR(D344)&amp;YEAR(F344)&amp;"@"&amp;VLOOKUP(J344,Dominios!$A$2:$B$30,2,FALSE)</f>
        <v>juan.benavides1957@colombiamail.co</v>
      </c>
      <c r="L344" s="13">
        <v>2</v>
      </c>
      <c r="M344">
        <f>VLOOKUP(L344,Celulares!$A$2:$B$30,2,FALSE)</f>
        <v>3115114911</v>
      </c>
    </row>
    <row r="345" spans="1:13" ht="15.75" customHeight="1" x14ac:dyDescent="0.25">
      <c r="A345" t="s">
        <v>2322</v>
      </c>
      <c r="B345" s="2" t="s">
        <v>431</v>
      </c>
      <c r="C345" s="2" t="s">
        <v>508</v>
      </c>
      <c r="D345" s="2" t="s">
        <v>834</v>
      </c>
      <c r="E345" s="2" t="s">
        <v>806</v>
      </c>
      <c r="F345" s="6">
        <v>25700</v>
      </c>
      <c r="G345" s="16">
        <f t="shared" ca="1" si="5"/>
        <v>51.178082191780824</v>
      </c>
      <c r="H345" s="2" t="s">
        <v>571</v>
      </c>
      <c r="I345" t="str" cm="1">
        <f t="array" ref="I345">ADAPTAR(B345)&amp;ADAPTAR(C345)&amp;"_"&amp;ADAPTAR(E345)&amp;F345</f>
        <v>luisalexander_vanegas25700</v>
      </c>
      <c r="J345" s="13">
        <v>3</v>
      </c>
      <c r="K345" t="str" cm="1">
        <f t="array" ref="K345">ADAPTAR(B345)&amp;"."&amp;ADAPTAR(D345)&amp;YEAR(F345)&amp;"@"&amp;VLOOKUP(J345,Dominios!$A$2:$B$30,2,FALSE)</f>
        <v>luis.rosero1970@diabunter.co</v>
      </c>
      <c r="L345" s="13">
        <v>3</v>
      </c>
      <c r="M345">
        <f>VLOOKUP(L345,Celulares!$A$2:$B$30,2,FALSE)</f>
        <v>3115114910</v>
      </c>
    </row>
    <row r="346" spans="1:13" ht="15.75" customHeight="1" x14ac:dyDescent="0.25">
      <c r="A346" t="s">
        <v>2323</v>
      </c>
      <c r="B346" s="2" t="s">
        <v>662</v>
      </c>
      <c r="C346" s="2" t="s">
        <v>448</v>
      </c>
      <c r="D346" s="2" t="s">
        <v>804</v>
      </c>
      <c r="E346" s="2" t="s">
        <v>826</v>
      </c>
      <c r="F346" s="6">
        <v>20761</v>
      </c>
      <c r="G346" s="16">
        <f t="shared" ca="1" si="5"/>
        <v>64.709589041095896</v>
      </c>
      <c r="H346" s="2" t="s">
        <v>1320</v>
      </c>
      <c r="I346" t="str" cm="1">
        <f t="array" ref="I346">ADAPTAR(B346)&amp;ADAPTAR(C346)&amp;"_"&amp;ADAPTAR(E346)&amp;F346</f>
        <v>marioivan_mejia20761</v>
      </c>
      <c r="J346" s="13">
        <v>4</v>
      </c>
      <c r="K346" t="str" cm="1">
        <f t="array" ref="K346">ADAPTAR(B346)&amp;"."&amp;ADAPTAR(D346)&amp;YEAR(F346)&amp;"@"&amp;VLOOKUP(J346,Dominios!$A$2:$B$30,2,FALSE)</f>
        <v>mario.miranda1956@ebrietas.co</v>
      </c>
      <c r="L346" s="13">
        <v>4</v>
      </c>
      <c r="M346">
        <f>VLOOKUP(L346,Celulares!$A$2:$B$30,2,FALSE)</f>
        <v>3115114909</v>
      </c>
    </row>
    <row r="347" spans="1:13" ht="15.75" customHeight="1" x14ac:dyDescent="0.25">
      <c r="A347" t="s">
        <v>2324</v>
      </c>
      <c r="B347" s="2" t="s">
        <v>1099</v>
      </c>
      <c r="C347" s="2" t="s">
        <v>330</v>
      </c>
      <c r="D347" s="2" t="s">
        <v>752</v>
      </c>
      <c r="E347" s="2" t="s">
        <v>221</v>
      </c>
      <c r="F347" s="6">
        <v>27564</v>
      </c>
      <c r="G347" s="16">
        <f t="shared" ca="1" si="5"/>
        <v>46.07123287671233</v>
      </c>
      <c r="H347" s="2" t="s">
        <v>555</v>
      </c>
      <c r="I347" t="str" cm="1">
        <f t="array" ref="I347">ADAPTAR(B347)&amp;ADAPTAR(C347)&amp;"_"&amp;ADAPTAR(E347)&amp;F347</f>
        <v>martinandres_silva27564</v>
      </c>
      <c r="J347" s="13">
        <v>5</v>
      </c>
      <c r="K347" t="str" cm="1">
        <f t="array" ref="K347">ADAPTAR(B347)&amp;"."&amp;ADAPTAR(D347)&amp;YEAR(F347)&amp;"@"&amp;VLOOKUP(J347,Dominios!$A$2:$B$30,2,FALSE)</f>
        <v>martin.serna1975@elsinsonte.co</v>
      </c>
      <c r="L347" s="13">
        <v>5</v>
      </c>
      <c r="M347">
        <f>VLOOKUP(L347,Celulares!$A$2:$B$30,2,FALSE)</f>
        <v>3115060130</v>
      </c>
    </row>
    <row r="348" spans="1:13" ht="15.75" customHeight="1" x14ac:dyDescent="0.25">
      <c r="A348" t="s">
        <v>2325</v>
      </c>
      <c r="B348" s="2" t="s">
        <v>1141</v>
      </c>
      <c r="C348" s="2" t="s">
        <v>491</v>
      </c>
      <c r="D348" s="2" t="s">
        <v>792</v>
      </c>
      <c r="E348" s="2" t="s">
        <v>768</v>
      </c>
      <c r="F348" s="6">
        <v>25868</v>
      </c>
      <c r="G348" s="16">
        <f t="shared" ca="1" si="5"/>
        <v>50.717808219178082</v>
      </c>
      <c r="H348" s="2" t="s">
        <v>612</v>
      </c>
      <c r="I348" t="str" cm="1">
        <f t="array" ref="I348">ADAPTAR(B348)&amp;ADAPTAR(C348)&amp;"_"&amp;ADAPTAR(E348)&amp;F348</f>
        <v>larrystiven_medina25868</v>
      </c>
      <c r="J348" s="13">
        <v>6</v>
      </c>
      <c r="K348" t="str" cm="1">
        <f t="array" ref="K348">ADAPTAR(B348)&amp;"."&amp;ADAPTAR(D348)&amp;YEAR(F348)&amp;"@"&amp;VLOOKUP(J348,Dominios!$A$2:$B$30,2,FALSE)</f>
        <v>larry.blanco1970@enigmaserver.co</v>
      </c>
      <c r="L348" s="13">
        <v>6</v>
      </c>
      <c r="M348">
        <f>VLOOKUP(L348,Celulares!$A$2:$B$30,2,FALSE)</f>
        <v>3115060125</v>
      </c>
    </row>
    <row r="349" spans="1:13" ht="15.75" customHeight="1" x14ac:dyDescent="0.25">
      <c r="A349" t="s">
        <v>2326</v>
      </c>
      <c r="B349" s="2" t="s">
        <v>353</v>
      </c>
      <c r="C349" s="2" t="s">
        <v>1142</v>
      </c>
      <c r="D349" s="2" t="s">
        <v>723</v>
      </c>
      <c r="E349" s="2" t="s">
        <v>679</v>
      </c>
      <c r="F349" s="6">
        <v>24464</v>
      </c>
      <c r="G349" s="16">
        <f t="shared" ca="1" si="5"/>
        <v>54.564383561643837</v>
      </c>
      <c r="H349" s="2" t="s">
        <v>1277</v>
      </c>
      <c r="I349" t="str" cm="1">
        <f t="array" ref="I349">ADAPTAR(B349)&amp;ADAPTAR(C349)&amp;"_"&amp;ADAPTAR(E349)&amp;F349</f>
        <v>santiagogonzalo_ospina24464</v>
      </c>
      <c r="J349" s="13">
        <v>7</v>
      </c>
      <c r="K349" t="str" cm="1">
        <f t="array" ref="K349">ADAPTAR(B349)&amp;"."&amp;ADAPTAR(D349)&amp;YEAR(F349)&amp;"@"&amp;VLOOKUP(J349,Dominios!$A$2:$B$30,2,FALSE)</f>
        <v>santiago.paez1966@hocknas.co</v>
      </c>
      <c r="L349" s="13">
        <v>7</v>
      </c>
      <c r="M349">
        <f>VLOOKUP(L349,Celulares!$A$2:$B$30,2,FALSE)</f>
        <v>3115060110</v>
      </c>
    </row>
    <row r="350" spans="1:13" ht="15.75" customHeight="1" x14ac:dyDescent="0.25">
      <c r="A350" t="s">
        <v>2327</v>
      </c>
      <c r="B350" s="2" t="s">
        <v>418</v>
      </c>
      <c r="C350" s="2" t="s">
        <v>1143</v>
      </c>
      <c r="D350" s="2" t="s">
        <v>810</v>
      </c>
      <c r="E350" s="2" t="s">
        <v>225</v>
      </c>
      <c r="F350" s="6">
        <v>31555</v>
      </c>
      <c r="G350" s="16">
        <f t="shared" ca="1" si="5"/>
        <v>35.136986301369866</v>
      </c>
      <c r="H350" s="2" t="s">
        <v>1406</v>
      </c>
      <c r="I350" t="str" cm="1">
        <f t="array" ref="I350">ADAPTAR(B350)&amp;ADAPTAR(C350)&amp;"_"&amp;ADAPTAR(E350)&amp;F350</f>
        <v>germanlaureano_vargas31555</v>
      </c>
      <c r="J350" s="13">
        <v>8</v>
      </c>
      <c r="K350" t="str" cm="1">
        <f t="array" ref="K350">ADAPTAR(B350)&amp;"."&amp;ADAPTAR(D350)&amp;YEAR(F350)&amp;"@"&amp;VLOOKUP(J350,Dominios!$A$2:$B$30,2,FALSE)</f>
        <v>german.gonzalez1986@hostedoceri.co</v>
      </c>
      <c r="L350" s="13">
        <v>8</v>
      </c>
      <c r="M350">
        <f>VLOOKUP(L350,Celulares!$A$2:$B$30,2,FALSE)</f>
        <v>3115060091</v>
      </c>
    </row>
    <row r="351" spans="1:13" ht="15.75" customHeight="1" x14ac:dyDescent="0.25">
      <c r="A351" t="s">
        <v>2328</v>
      </c>
      <c r="B351" s="2" t="s">
        <v>387</v>
      </c>
      <c r="C351" s="2" t="s">
        <v>353</v>
      </c>
      <c r="D351" s="2" t="s">
        <v>751</v>
      </c>
      <c r="E351" s="2" t="s">
        <v>788</v>
      </c>
      <c r="F351" s="6">
        <v>34258</v>
      </c>
      <c r="G351" s="16">
        <f t="shared" ca="1" si="5"/>
        <v>27.731506849315068</v>
      </c>
      <c r="H351" s="2" t="s">
        <v>580</v>
      </c>
      <c r="I351" t="str" cm="1">
        <f t="array" ref="I351">ADAPTAR(B351)&amp;ADAPTAR(C351)&amp;"_"&amp;ADAPTAR(E351)&amp;F351</f>
        <v>davidsantiago_ordonez34258</v>
      </c>
      <c r="J351" s="13">
        <v>9</v>
      </c>
      <c r="K351" t="str" cm="1">
        <f t="array" ref="K351">ADAPTAR(B351)&amp;"."&amp;ADAPTAR(D351)&amp;YEAR(F351)&amp;"@"&amp;VLOOKUP(J351,Dominios!$A$2:$B$30,2,FALSE)</f>
        <v>david.figueroa1993@libertas.com.co</v>
      </c>
      <c r="L351" s="13">
        <v>9</v>
      </c>
      <c r="M351">
        <f>VLOOKUP(L351,Celulares!$A$2:$B$30,2,FALSE)</f>
        <v>3115060080</v>
      </c>
    </row>
    <row r="352" spans="1:13" ht="15.75" customHeight="1" x14ac:dyDescent="0.25">
      <c r="A352" t="s">
        <v>2329</v>
      </c>
      <c r="B352" s="2" t="s">
        <v>483</v>
      </c>
      <c r="C352" s="2" t="s">
        <v>1144</v>
      </c>
      <c r="D352" s="2" t="s">
        <v>848</v>
      </c>
      <c r="E352" s="2" t="s">
        <v>769</v>
      </c>
      <c r="F352" s="6">
        <v>37397</v>
      </c>
      <c r="G352" s="16">
        <f t="shared" ca="1" si="5"/>
        <v>19.13150684931507</v>
      </c>
      <c r="H352" s="2" t="s">
        <v>1407</v>
      </c>
      <c r="I352" t="str" cm="1">
        <f t="array" ref="I352">ADAPTAR(B352)&amp;ADAPTAR(C352)&amp;"_"&amp;ADAPTAR(E352)&amp;F352</f>
        <v>josevalentino_angulo37397</v>
      </c>
      <c r="J352" s="13">
        <v>10</v>
      </c>
      <c r="K352" t="str" cm="1">
        <f t="array" ref="K352">ADAPTAR(B352)&amp;"."&amp;ADAPTAR(D352)&amp;YEAR(F352)&amp;"@"&amp;VLOOKUP(J352,Dominios!$A$2:$B$30,2,FALSE)</f>
        <v>jose.marquez2002@nascitur.com.co</v>
      </c>
      <c r="L352" s="13">
        <v>10</v>
      </c>
      <c r="M352">
        <f>VLOOKUP(L352,Celulares!$A$2:$B$30,2,FALSE)</f>
        <v>3115114385</v>
      </c>
    </row>
    <row r="353" spans="1:13" ht="15.75" customHeight="1" x14ac:dyDescent="0.25">
      <c r="A353" t="s">
        <v>2330</v>
      </c>
      <c r="B353" s="2" t="s">
        <v>1123</v>
      </c>
      <c r="C353" s="2" t="s">
        <v>330</v>
      </c>
      <c r="D353" s="2" t="s">
        <v>682</v>
      </c>
      <c r="E353" s="2" t="s">
        <v>676</v>
      </c>
      <c r="F353" s="6">
        <v>37538</v>
      </c>
      <c r="G353" s="16">
        <f t="shared" ca="1" si="5"/>
        <v>18.745205479452054</v>
      </c>
      <c r="H353" s="2" t="s">
        <v>1408</v>
      </c>
      <c r="I353" t="str" cm="1">
        <f t="array" ref="I353">ADAPTAR(B353)&amp;ADAPTAR(C353)&amp;"_"&amp;ADAPTAR(E353)&amp;F353</f>
        <v>mateoandres_rios37538</v>
      </c>
      <c r="J353" s="13">
        <v>11</v>
      </c>
      <c r="K353" t="str" cm="1">
        <f t="array" ref="K353">ADAPTAR(B353)&amp;"."&amp;ADAPTAR(D353)&amp;YEAR(F353)&amp;"@"&amp;VLOOKUP(J353,Dominios!$A$2:$B$30,2,FALSE)</f>
        <v>mateo.orozco2002@nemesis.ml</v>
      </c>
      <c r="L353" s="13">
        <v>11</v>
      </c>
      <c r="M353">
        <f>VLOOKUP(L353,Celulares!$A$2:$B$30,2,FALSE)</f>
        <v>3115114360</v>
      </c>
    </row>
    <row r="354" spans="1:13" ht="15.75" customHeight="1" x14ac:dyDescent="0.25">
      <c r="A354" t="s">
        <v>2331</v>
      </c>
      <c r="B354" s="2" t="s">
        <v>341</v>
      </c>
      <c r="C354" s="2" t="s">
        <v>1132</v>
      </c>
      <c r="D354" s="2" t="s">
        <v>849</v>
      </c>
      <c r="E354" s="2" t="s">
        <v>796</v>
      </c>
      <c r="F354" s="6">
        <v>30176</v>
      </c>
      <c r="G354" s="16">
        <f t="shared" ca="1" si="5"/>
        <v>38.915068493150685</v>
      </c>
      <c r="H354" s="2" t="s">
        <v>1311</v>
      </c>
      <c r="I354" t="str" cm="1">
        <f t="array" ref="I354">ADAPTAR(B354)&amp;ADAPTAR(C354)&amp;"_"&amp;ADAPTAR(E354)&amp;F354</f>
        <v>juanfederico_arboleda30176</v>
      </c>
      <c r="J354" s="13">
        <v>12</v>
      </c>
      <c r="K354" t="str" cm="1">
        <f t="array" ref="K354">ADAPTAR(B354)&amp;"."&amp;ADAPTAR(D354)&amp;YEAR(F354)&amp;"@"&amp;VLOOKUP(J354,Dominios!$A$2:$B$30,2,FALSE)</f>
        <v>juan.guerrero1982@nunquam.com.co</v>
      </c>
      <c r="L354" s="13">
        <v>12</v>
      </c>
      <c r="M354">
        <f>VLOOKUP(L354,Celulares!$A$2:$B$30,2,FALSE)</f>
        <v>3115093653</v>
      </c>
    </row>
    <row r="355" spans="1:13" ht="15.75" customHeight="1" x14ac:dyDescent="0.25">
      <c r="A355" t="s">
        <v>2332</v>
      </c>
      <c r="B355" s="2" t="s">
        <v>371</v>
      </c>
      <c r="C355" s="2" t="s">
        <v>391</v>
      </c>
      <c r="D355" s="2" t="s">
        <v>797</v>
      </c>
      <c r="E355" s="2" t="s">
        <v>748</v>
      </c>
      <c r="F355" s="6">
        <v>33329</v>
      </c>
      <c r="G355" s="16">
        <f t="shared" ca="1" si="5"/>
        <v>30.276712328767122</v>
      </c>
      <c r="H355" s="2" t="s">
        <v>560</v>
      </c>
      <c r="I355" t="str" cm="1">
        <f t="array" ref="I355">ADAPTAR(B355)&amp;ADAPTAR(C355)&amp;"_"&amp;ADAPTAR(E355)&amp;F355</f>
        <v>juliocesar_gutierrez33329</v>
      </c>
      <c r="J355" s="13">
        <v>13</v>
      </c>
      <c r="K355" t="str" cm="1">
        <f t="array" ref="K355">ADAPTAR(B355)&amp;"."&amp;ADAPTAR(D355)&amp;YEAR(F355)&amp;"@"&amp;VLOOKUP(J355,Dominios!$A$2:$B$30,2,FALSE)</f>
        <v>julio.ayala1991@sempiternam.co</v>
      </c>
      <c r="L355" s="13">
        <v>13</v>
      </c>
      <c r="M355">
        <f>VLOOKUP(L355,Celulares!$A$2:$B$30,2,FALSE)</f>
        <v>3115093598</v>
      </c>
    </row>
    <row r="356" spans="1:13" ht="15.75" customHeight="1" x14ac:dyDescent="0.25">
      <c r="A356" t="s">
        <v>2333</v>
      </c>
      <c r="B356" s="2" t="s">
        <v>1145</v>
      </c>
      <c r="C356" s="2" t="s">
        <v>446</v>
      </c>
      <c r="D356" s="2" t="s">
        <v>743</v>
      </c>
      <c r="E356" s="2" t="s">
        <v>822</v>
      </c>
      <c r="F356" s="6">
        <v>30157</v>
      </c>
      <c r="G356" s="16">
        <f t="shared" ca="1" si="5"/>
        <v>38.967123287671235</v>
      </c>
      <c r="H356" s="2" t="s">
        <v>1409</v>
      </c>
      <c r="I356" t="str" cm="1">
        <f t="array" ref="I356">ADAPTAR(B356)&amp;ADAPTAR(C356)&amp;"_"&amp;ADAPTAR(E356)&amp;F356</f>
        <v>armandofelipe_monsalve30157</v>
      </c>
      <c r="J356" s="13">
        <v>14</v>
      </c>
      <c r="K356" t="str" cm="1">
        <f t="array" ref="K356">ADAPTAR(B356)&amp;"."&amp;ADAPTAR(D356)&amp;YEAR(F356)&amp;"@"&amp;VLOOKUP(J356,Dominios!$A$2:$B$30,2,FALSE)</f>
        <v>armando.salcedo1982@sk9.co</v>
      </c>
      <c r="L356" s="13">
        <v>14</v>
      </c>
      <c r="M356">
        <f>VLOOKUP(L356,Celulares!$A$2:$B$30,2,FALSE)</f>
        <v>3115093583</v>
      </c>
    </row>
    <row r="357" spans="1:13" ht="15.75" customHeight="1" x14ac:dyDescent="0.25">
      <c r="A357" t="s">
        <v>2334</v>
      </c>
      <c r="B357" s="2" t="s">
        <v>483</v>
      </c>
      <c r="C357" s="2" t="s">
        <v>481</v>
      </c>
      <c r="D357" s="2" t="s">
        <v>247</v>
      </c>
      <c r="E357" s="2" t="s">
        <v>471</v>
      </c>
      <c r="F357" s="6">
        <v>21323</v>
      </c>
      <c r="G357" s="16">
        <f t="shared" ca="1" si="5"/>
        <v>63.169863013698631</v>
      </c>
      <c r="H357" s="2" t="s">
        <v>548</v>
      </c>
      <c r="I357" t="str" cm="1">
        <f t="array" ref="I357">ADAPTAR(B357)&amp;ADAPTAR(C357)&amp;"_"&amp;ADAPTAR(E357)&amp;F357</f>
        <v>josemanuel_fernandez21323</v>
      </c>
      <c r="J357" s="13">
        <v>15</v>
      </c>
      <c r="K357" t="str" cm="1">
        <f t="array" ref="K357">ADAPTAR(B357)&amp;"."&amp;ADAPTAR(D357)&amp;YEAR(F357)&amp;"@"&amp;VLOOKUP(J357,Dominios!$A$2:$B$30,2,FALSE)</f>
        <v>jose.zapata1958@socialmediacolombia.com.co</v>
      </c>
      <c r="L357" s="13">
        <v>15</v>
      </c>
      <c r="M357">
        <f>VLOOKUP(L357,Celulares!$A$2:$B$30,2,FALSE)</f>
        <v>3115092386</v>
      </c>
    </row>
    <row r="358" spans="1:13" ht="15.75" customHeight="1" x14ac:dyDescent="0.25">
      <c r="A358" t="s">
        <v>2335</v>
      </c>
      <c r="B358" s="2" t="s">
        <v>431</v>
      </c>
      <c r="C358" s="2" t="s">
        <v>342</v>
      </c>
      <c r="D358" s="2" t="s">
        <v>244</v>
      </c>
      <c r="E358" s="2" t="s">
        <v>760</v>
      </c>
      <c r="F358" s="6">
        <v>36147</v>
      </c>
      <c r="G358" s="16">
        <f t="shared" ca="1" si="5"/>
        <v>22.556164383561644</v>
      </c>
      <c r="H358" s="2" t="s">
        <v>603</v>
      </c>
      <c r="I358" t="str" cm="1">
        <f t="array" ref="I358">ADAPTAR(B358)&amp;ADAPTAR(C358)&amp;"_"&amp;ADAPTAR(E358)&amp;F358</f>
        <v>luiscarlos_alzate36147</v>
      </c>
      <c r="J358" s="13">
        <v>16</v>
      </c>
      <c r="K358" t="str" cm="1">
        <f t="array" ref="K358">ADAPTAR(B358)&amp;"."&amp;ADAPTAR(D358)&amp;YEAR(F358)&amp;"@"&amp;VLOOKUP(J358,Dominios!$A$2:$B$30,2,FALSE)</f>
        <v>luis.correa1998@tecnicoensistemas.com.co</v>
      </c>
      <c r="L358" s="13">
        <v>16</v>
      </c>
      <c r="M358">
        <f>VLOOKUP(L358,Celulares!$A$2:$B$30,2,FALSE)</f>
        <v>3115092375</v>
      </c>
    </row>
    <row r="359" spans="1:13" ht="15.75" customHeight="1" x14ac:dyDescent="0.25">
      <c r="A359" t="s">
        <v>2336</v>
      </c>
      <c r="B359" s="2" t="s">
        <v>1146</v>
      </c>
      <c r="C359" s="2" t="s">
        <v>483</v>
      </c>
      <c r="D359" s="2" t="s">
        <v>742</v>
      </c>
      <c r="E359" s="2" t="s">
        <v>722</v>
      </c>
      <c r="F359" s="6">
        <v>28457</v>
      </c>
      <c r="G359" s="16">
        <f t="shared" ca="1" si="5"/>
        <v>43.624657534246573</v>
      </c>
      <c r="H359" s="2" t="s">
        <v>567</v>
      </c>
      <c r="I359" t="str" cm="1">
        <f t="array" ref="I359">ADAPTAR(B359)&amp;ADAPTAR(C359)&amp;"_"&amp;ADAPTAR(E359)&amp;F359</f>
        <v>dagobertojose_barrera28457</v>
      </c>
      <c r="J359" s="13">
        <v>17</v>
      </c>
      <c r="K359" t="str" cm="1">
        <f t="array" ref="K359">ADAPTAR(B359)&amp;"."&amp;ADAPTAR(D359)&amp;YEAR(F359)&amp;"@"&amp;VLOOKUP(J359,Dominios!$A$2:$B$30,2,FALSE)</f>
        <v>dagoberto.florez1977@totum.com.co</v>
      </c>
      <c r="L359" s="13">
        <v>17</v>
      </c>
      <c r="M359">
        <f>VLOOKUP(L359,Celulares!$A$2:$B$30,2,FALSE)</f>
        <v>3115092369</v>
      </c>
    </row>
    <row r="360" spans="1:13" ht="15.75" customHeight="1" x14ac:dyDescent="0.25">
      <c r="A360" t="s">
        <v>2337</v>
      </c>
      <c r="B360" s="2" t="s">
        <v>659</v>
      </c>
      <c r="C360" s="2" t="s">
        <v>402</v>
      </c>
      <c r="D360" s="2" t="s">
        <v>704</v>
      </c>
      <c r="E360" s="2" t="s">
        <v>476</v>
      </c>
      <c r="F360" s="6">
        <v>36423</v>
      </c>
      <c r="G360" s="16">
        <f t="shared" ca="1" si="5"/>
        <v>21.8</v>
      </c>
      <c r="H360" s="2" t="s">
        <v>569</v>
      </c>
      <c r="I360" t="str" cm="1">
        <f t="array" ref="I360">ADAPTAR(B360)&amp;ADAPTAR(C360)&amp;"_"&amp;ADAPTAR(E360)&amp;F360</f>
        <v>raulalberto_prieto36423</v>
      </c>
      <c r="J360" s="13">
        <v>18</v>
      </c>
      <c r="K360" t="str" cm="1">
        <f t="array" ref="K360">ADAPTAR(B360)&amp;"."&amp;ADAPTAR(D360)&amp;YEAR(F360)&amp;"@"&amp;VLOOKUP(J360,Dominios!$A$2:$B$30,2,FALSE)</f>
        <v>raul.patino1999@voipcolombia.co</v>
      </c>
      <c r="L360" s="13">
        <v>18</v>
      </c>
      <c r="M360">
        <f>VLOOKUP(L360,Celulares!$A$2:$B$30,2,FALSE)</f>
        <v>3115092360</v>
      </c>
    </row>
    <row r="361" spans="1:13" ht="15.75" customHeight="1" x14ac:dyDescent="0.25">
      <c r="A361" t="s">
        <v>2338</v>
      </c>
      <c r="B361" s="2" t="s">
        <v>341</v>
      </c>
      <c r="C361" s="2" t="s">
        <v>1147</v>
      </c>
      <c r="D361" s="2" t="s">
        <v>707</v>
      </c>
      <c r="E361" s="2" t="s">
        <v>850</v>
      </c>
      <c r="F361" s="6">
        <v>30275</v>
      </c>
      <c r="G361" s="16">
        <f t="shared" ca="1" si="5"/>
        <v>38.643835616438359</v>
      </c>
      <c r="H361" s="2" t="s">
        <v>564</v>
      </c>
      <c r="I361" t="str" cm="1">
        <f t="array" ref="I361">ADAPTAR(B361)&amp;ADAPTAR(C361)&amp;"_"&amp;ADAPTAR(E361)&amp;F361</f>
        <v>juanhumberto_nino30275</v>
      </c>
      <c r="J361" s="13">
        <v>19</v>
      </c>
      <c r="K361" t="str" cm="1">
        <f t="array" ref="K361">ADAPTAR(B361)&amp;"."&amp;ADAPTAR(D361)&amp;YEAR(F361)&amp;"@"&amp;VLOOKUP(J361,Dominios!$A$2:$B$30,2,FALSE)</f>
        <v>juan.pineda1982@vpncolombia.com.co</v>
      </c>
      <c r="L361" s="13">
        <v>19</v>
      </c>
      <c r="M361">
        <f>VLOOKUP(L361,Celulares!$A$2:$B$30,2,FALSE)</f>
        <v>3115092352</v>
      </c>
    </row>
    <row r="362" spans="1:13" ht="15.75" customHeight="1" x14ac:dyDescent="0.25">
      <c r="A362" t="s">
        <v>2339</v>
      </c>
      <c r="B362" s="2" t="s">
        <v>507</v>
      </c>
      <c r="C362" s="2" t="s">
        <v>886</v>
      </c>
      <c r="D362" s="2" t="s">
        <v>709</v>
      </c>
      <c r="E362" s="2" t="s">
        <v>843</v>
      </c>
      <c r="F362" s="6">
        <v>23868</v>
      </c>
      <c r="G362" s="16">
        <f t="shared" ca="1" si="5"/>
        <v>56.197260273972603</v>
      </c>
      <c r="H362" s="2" t="s">
        <v>530</v>
      </c>
      <c r="I362" t="str" cm="1">
        <f t="array" ref="I362">ADAPTAR(B362)&amp;ADAPTAR(C362)&amp;"_"&amp;ADAPTAR(E362)&amp;F362</f>
        <v>victorhugo_velasco23868</v>
      </c>
      <c r="J362" s="13">
        <v>0</v>
      </c>
      <c r="K362" t="str" cm="1">
        <f t="array" ref="K362">ADAPTAR(B362)&amp;"."&amp;ADAPTAR(D362)&amp;YEAR(F362)&amp;"@"&amp;VLOOKUP(J362,Dominios!$A$2:$B$30,2,FALSE)</f>
        <v>victor.bernal1965@auribus.com.co</v>
      </c>
      <c r="L362" s="13">
        <v>0</v>
      </c>
      <c r="M362">
        <f>VLOOKUP(L362,Celulares!$A$2:$B$30,2,FALSE)</f>
        <v>3115114930</v>
      </c>
    </row>
    <row r="363" spans="1:13" ht="15.75" customHeight="1" x14ac:dyDescent="0.25">
      <c r="A363" t="s">
        <v>2340</v>
      </c>
      <c r="B363" s="2" t="s">
        <v>1131</v>
      </c>
      <c r="C363" s="2" t="s">
        <v>1123</v>
      </c>
      <c r="D363" s="2" t="s">
        <v>739</v>
      </c>
      <c r="E363" s="2" t="s">
        <v>695</v>
      </c>
      <c r="F363" s="6">
        <v>21896</v>
      </c>
      <c r="G363" s="16">
        <f t="shared" ca="1" si="5"/>
        <v>61.6</v>
      </c>
      <c r="H363" s="2" t="s">
        <v>601</v>
      </c>
      <c r="I363" t="str" cm="1">
        <f t="array" ref="I363">ADAPTAR(B363)&amp;ADAPTAR(C363)&amp;"_"&amp;ADAPTAR(E363)&amp;F363</f>
        <v>simonmateo_lozano21896</v>
      </c>
      <c r="J363" s="13">
        <v>1</v>
      </c>
      <c r="K363" t="str" cm="1">
        <f t="array" ref="K363">ADAPTAR(B363)&amp;"."&amp;ADAPTAR(D363)&amp;YEAR(F363)&amp;"@"&amp;VLOOKUP(J363,Dominios!$A$2:$B$30,2,FALSE)</f>
        <v>simon.becerra1959@colamus.co</v>
      </c>
      <c r="L363" s="13">
        <v>1</v>
      </c>
      <c r="M363">
        <f>VLOOKUP(L363,Celulares!$A$2:$B$30,2,FALSE)</f>
        <v>3115114916</v>
      </c>
    </row>
    <row r="364" spans="1:13" ht="15.75" customHeight="1" x14ac:dyDescent="0.25">
      <c r="A364" t="s">
        <v>2341</v>
      </c>
      <c r="B364" s="2" t="s">
        <v>431</v>
      </c>
      <c r="C364" s="2" t="s">
        <v>387</v>
      </c>
      <c r="D364" s="2" t="s">
        <v>788</v>
      </c>
      <c r="E364" s="2" t="s">
        <v>811</v>
      </c>
      <c r="F364" s="6">
        <v>21563</v>
      </c>
      <c r="G364" s="16">
        <f t="shared" ca="1" si="5"/>
        <v>62.512328767123286</v>
      </c>
      <c r="H364" s="2" t="s">
        <v>538</v>
      </c>
      <c r="I364" t="str" cm="1">
        <f t="array" ref="I364">ADAPTAR(B364)&amp;ADAPTAR(C364)&amp;"_"&amp;ADAPTAR(E364)&amp;F364</f>
        <v>luisdavid_rodriguez21563</v>
      </c>
      <c r="J364" s="13">
        <v>2</v>
      </c>
      <c r="K364" t="str" cm="1">
        <f t="array" ref="K364">ADAPTAR(B364)&amp;"."&amp;ADAPTAR(D364)&amp;YEAR(F364)&amp;"@"&amp;VLOOKUP(J364,Dominios!$A$2:$B$30,2,FALSE)</f>
        <v>luis.ordonez1959@colombiamail.co</v>
      </c>
      <c r="L364" s="13">
        <v>2</v>
      </c>
      <c r="M364">
        <f>VLOOKUP(L364,Celulares!$A$2:$B$30,2,FALSE)</f>
        <v>3115114911</v>
      </c>
    </row>
    <row r="365" spans="1:13" ht="15.75" customHeight="1" x14ac:dyDescent="0.25">
      <c r="A365" t="s">
        <v>2342</v>
      </c>
      <c r="B365" s="2" t="s">
        <v>399</v>
      </c>
      <c r="C365" s="2" t="s">
        <v>365</v>
      </c>
      <c r="D365" s="2" t="s">
        <v>778</v>
      </c>
      <c r="E365" s="2" t="s">
        <v>819</v>
      </c>
      <c r="F365" s="6">
        <v>29091</v>
      </c>
      <c r="G365" s="16">
        <f t="shared" ca="1" si="5"/>
        <v>41.887671232876713</v>
      </c>
      <c r="H365" s="2" t="s">
        <v>1410</v>
      </c>
      <c r="I365" t="str" cm="1">
        <f t="array" ref="I365">ADAPTAR(B365)&amp;ADAPTAR(C365)&amp;"_"&amp;ADAPTAR(E365)&amp;F365</f>
        <v>pedroesteban_velasquez29091</v>
      </c>
      <c r="J365" s="13">
        <v>3</v>
      </c>
      <c r="K365" t="str" cm="1">
        <f t="array" ref="K365">ADAPTAR(B365)&amp;"."&amp;ADAPTAR(D365)&amp;YEAR(F365)&amp;"@"&amp;VLOOKUP(J365,Dominios!$A$2:$B$30,2,FALSE)</f>
        <v>pedro.arevalo1979@diabunter.co</v>
      </c>
      <c r="L365" s="13">
        <v>3</v>
      </c>
      <c r="M365">
        <f>VLOOKUP(L365,Celulares!$A$2:$B$30,2,FALSE)</f>
        <v>3115114910</v>
      </c>
    </row>
    <row r="366" spans="1:13" ht="15.75" customHeight="1" x14ac:dyDescent="0.25">
      <c r="A366" t="s">
        <v>2343</v>
      </c>
      <c r="B366" s="2" t="s">
        <v>1148</v>
      </c>
      <c r="C366" s="2" t="s">
        <v>491</v>
      </c>
      <c r="D366" s="2" t="s">
        <v>278</v>
      </c>
      <c r="E366" s="2" t="s">
        <v>758</v>
      </c>
      <c r="F366" s="6">
        <v>28160</v>
      </c>
      <c r="G366" s="16">
        <f t="shared" ca="1" si="5"/>
        <v>44.438356164383563</v>
      </c>
      <c r="H366" s="2" t="s">
        <v>572</v>
      </c>
      <c r="I366" t="str" cm="1">
        <f t="array" ref="I366">ADAPTAR(B366)&amp;ADAPTAR(C366)&amp;"_"&amp;ADAPTAR(E366)&amp;F366</f>
        <v>jeisonstiven_castellanos28160</v>
      </c>
      <c r="J366" s="13">
        <v>4</v>
      </c>
      <c r="K366" t="str" cm="1">
        <f t="array" ref="K366">ADAPTAR(B366)&amp;"."&amp;ADAPTAR(D366)&amp;YEAR(F366)&amp;"@"&amp;VLOOKUP(J366,Dominios!$A$2:$B$30,2,FALSE)</f>
        <v>jeison.cruz1977@ebrietas.co</v>
      </c>
      <c r="L366" s="13">
        <v>4</v>
      </c>
      <c r="M366">
        <f>VLOOKUP(L366,Celulares!$A$2:$B$30,2,FALSE)</f>
        <v>3115114909</v>
      </c>
    </row>
    <row r="367" spans="1:13" ht="15.75" customHeight="1" x14ac:dyDescent="0.25">
      <c r="A367" t="s">
        <v>2344</v>
      </c>
      <c r="B367" s="2" t="s">
        <v>1149</v>
      </c>
      <c r="C367" s="2" t="s">
        <v>892</v>
      </c>
      <c r="D367" s="2" t="s">
        <v>770</v>
      </c>
      <c r="E367" s="2" t="s">
        <v>693</v>
      </c>
      <c r="F367" s="6">
        <v>28495</v>
      </c>
      <c r="G367" s="16">
        <f t="shared" ca="1" si="5"/>
        <v>43.520547945205479</v>
      </c>
      <c r="H367" s="2" t="s">
        <v>540</v>
      </c>
      <c r="I367" t="str" cm="1">
        <f t="array" ref="I367">ADAPTAR(B367)&amp;ADAPTAR(C367)&amp;"_"&amp;ADAPTAR(E367)&amp;F367</f>
        <v>jeanpaul_delgado28495</v>
      </c>
      <c r="J367" s="13">
        <v>5</v>
      </c>
      <c r="K367" t="str" cm="1">
        <f t="array" ref="K367">ADAPTAR(B367)&amp;"."&amp;ADAPTAR(D367)&amp;YEAR(F367)&amp;"@"&amp;VLOOKUP(J367,Dominios!$A$2:$B$30,2,FALSE)</f>
        <v>jean.daza1978@elsinsonte.co</v>
      </c>
      <c r="L367" s="13">
        <v>5</v>
      </c>
      <c r="M367">
        <f>VLOOKUP(L367,Celulares!$A$2:$B$30,2,FALSE)</f>
        <v>3115060130</v>
      </c>
    </row>
    <row r="368" spans="1:13" ht="15.75" customHeight="1" x14ac:dyDescent="0.25">
      <c r="A368" t="s">
        <v>2345</v>
      </c>
      <c r="B368" s="2" t="s">
        <v>353</v>
      </c>
      <c r="C368" s="2" t="s">
        <v>889</v>
      </c>
      <c r="D368" s="2" t="s">
        <v>716</v>
      </c>
      <c r="E368" s="2" t="s">
        <v>787</v>
      </c>
      <c r="F368" s="6">
        <v>35872</v>
      </c>
      <c r="G368" s="16">
        <f t="shared" ca="1" si="5"/>
        <v>23.30958904109589</v>
      </c>
      <c r="H368" s="2" t="s">
        <v>1346</v>
      </c>
      <c r="I368" t="str" cm="1">
        <f t="array" ref="I368">ADAPTAR(B368)&amp;ADAPTAR(C368)&amp;"_"&amp;ADAPTAR(E368)&amp;F368</f>
        <v>santiagoalonso_duran35872</v>
      </c>
      <c r="J368" s="13">
        <v>6</v>
      </c>
      <c r="K368" t="str" cm="1">
        <f t="array" ref="K368">ADAPTAR(B368)&amp;"."&amp;ADAPTAR(D368)&amp;YEAR(F368)&amp;"@"&amp;VLOOKUP(J368,Dominios!$A$2:$B$30,2,FALSE)</f>
        <v>santiago.vergara1998@enigmaserver.co</v>
      </c>
      <c r="L368" s="13">
        <v>6</v>
      </c>
      <c r="M368">
        <f>VLOOKUP(L368,Celulares!$A$2:$B$30,2,FALSE)</f>
        <v>3115060125</v>
      </c>
    </row>
    <row r="369" spans="1:13" ht="15.75" customHeight="1" x14ac:dyDescent="0.25">
      <c r="A369" t="s">
        <v>2346</v>
      </c>
      <c r="B369" s="2" t="s">
        <v>880</v>
      </c>
      <c r="C369" s="2" t="s">
        <v>656</v>
      </c>
      <c r="D369" s="2" t="s">
        <v>844</v>
      </c>
      <c r="E369" s="2" t="s">
        <v>732</v>
      </c>
      <c r="F369" s="6">
        <v>20779</v>
      </c>
      <c r="G369" s="16">
        <f t="shared" ca="1" si="5"/>
        <v>64.660273972602738</v>
      </c>
      <c r="H369" s="2" t="s">
        <v>588</v>
      </c>
      <c r="I369" t="str" cm="1">
        <f t="array" ref="I369">ADAPTAR(B369)&amp;ADAPTAR(C369)&amp;"_"&amp;ADAPTAR(E369)&amp;F369</f>
        <v>miguelangel_pinzon20779</v>
      </c>
      <c r="J369" s="13">
        <v>7</v>
      </c>
      <c r="K369" t="str" cm="1">
        <f t="array" ref="K369">ADAPTAR(B369)&amp;"."&amp;ADAPTAR(D369)&amp;YEAR(F369)&amp;"@"&amp;VLOOKUP(J369,Dominios!$A$2:$B$30,2,FALSE)</f>
        <v>miguel.acevedo1956@hocknas.co</v>
      </c>
      <c r="L369" s="13">
        <v>7</v>
      </c>
      <c r="M369">
        <f>VLOOKUP(L369,Celulares!$A$2:$B$30,2,FALSE)</f>
        <v>3115060110</v>
      </c>
    </row>
    <row r="370" spans="1:13" ht="15.75" customHeight="1" x14ac:dyDescent="0.25">
      <c r="A370" t="s">
        <v>2347</v>
      </c>
      <c r="B370" s="2" t="s">
        <v>342</v>
      </c>
      <c r="C370" s="2" t="s">
        <v>402</v>
      </c>
      <c r="D370" s="2" t="s">
        <v>782</v>
      </c>
      <c r="E370" s="2" t="s">
        <v>786</v>
      </c>
      <c r="F370" s="6">
        <v>23398</v>
      </c>
      <c r="G370" s="16">
        <f t="shared" ca="1" si="5"/>
        <v>57.484931506849314</v>
      </c>
      <c r="H370" s="2" t="s">
        <v>1290</v>
      </c>
      <c r="I370" t="str" cm="1">
        <f t="array" ref="I370">ADAPTAR(B370)&amp;ADAPTAR(C370)&amp;"_"&amp;ADAPTAR(E370)&amp;F370</f>
        <v>carlosalberto_aguirre23398</v>
      </c>
      <c r="J370" s="13">
        <v>8</v>
      </c>
      <c r="K370" t="str" cm="1">
        <f t="array" ref="K370">ADAPTAR(B370)&amp;"."&amp;ADAPTAR(D370)&amp;YEAR(F370)&amp;"@"&amp;VLOOKUP(J370,Dominios!$A$2:$B$30,2,FALSE)</f>
        <v>carlos.forero1964@hostedoceri.co</v>
      </c>
      <c r="L370" s="13">
        <v>8</v>
      </c>
      <c r="M370">
        <f>VLOOKUP(L370,Celulares!$A$2:$B$30,2,FALSE)</f>
        <v>3115060091</v>
      </c>
    </row>
    <row r="371" spans="1:13" ht="15.75" customHeight="1" x14ac:dyDescent="0.25">
      <c r="A371" t="s">
        <v>2348</v>
      </c>
      <c r="B371" s="2" t="s">
        <v>1150</v>
      </c>
      <c r="C371" s="2" t="s">
        <v>50</v>
      </c>
      <c r="D371" s="2" t="s">
        <v>477</v>
      </c>
      <c r="E371" s="2" t="s">
        <v>839</v>
      </c>
      <c r="F371" s="6">
        <v>34895</v>
      </c>
      <c r="G371" s="16">
        <f t="shared" ca="1" si="5"/>
        <v>25.986301369863014</v>
      </c>
      <c r="H371" s="2" t="s">
        <v>1411</v>
      </c>
      <c r="I371" t="str" cm="1">
        <f t="array" ref="I371">ADAPTAR(B371)&amp;ADAPTAR(C371)&amp;"_"&amp;ADAPTAR(E371)&amp;F371</f>
        <v>joaemaria_parra34895</v>
      </c>
      <c r="J371" s="13">
        <v>9</v>
      </c>
      <c r="K371" t="str" cm="1">
        <f t="array" ref="K371">ADAPTAR(B371)&amp;"."&amp;ADAPTAR(D371)&amp;YEAR(F371)&amp;"@"&amp;VLOOKUP(J371,Dominios!$A$2:$B$30,2,FALSE)</f>
        <v>joae.bedoya1995@libertas.com.co</v>
      </c>
      <c r="L371" s="13">
        <v>9</v>
      </c>
      <c r="M371">
        <f>VLOOKUP(L371,Celulares!$A$2:$B$30,2,FALSE)</f>
        <v>3115060080</v>
      </c>
    </row>
    <row r="372" spans="1:13" ht="15.75" customHeight="1" x14ac:dyDescent="0.25">
      <c r="A372" t="s">
        <v>2349</v>
      </c>
      <c r="B372" s="2" t="s">
        <v>483</v>
      </c>
      <c r="C372" s="2" t="s">
        <v>1151</v>
      </c>
      <c r="D372" s="2" t="s">
        <v>680</v>
      </c>
      <c r="E372" s="2" t="s">
        <v>808</v>
      </c>
      <c r="F372" s="6">
        <v>31049</v>
      </c>
      <c r="G372" s="16">
        <f t="shared" ca="1" si="5"/>
        <v>36.523287671232879</v>
      </c>
      <c r="H372" s="2" t="s">
        <v>595</v>
      </c>
      <c r="I372" t="str" cm="1">
        <f t="array" ref="I372">ADAPTAR(B372)&amp;ADAPTAR(C372)&amp;"_"&amp;ADAPTAR(E372)&amp;F372</f>
        <v>josedel carmen_luna31049</v>
      </c>
      <c r="J372" s="13">
        <v>10</v>
      </c>
      <c r="K372" t="str" cm="1">
        <f t="array" ref="K372">ADAPTAR(B372)&amp;"."&amp;ADAPTAR(D372)&amp;YEAR(F372)&amp;"@"&amp;VLOOKUP(J372,Dominios!$A$2:$B$30,2,FALSE)</f>
        <v>jose.garzon1985@nascitur.com.co</v>
      </c>
      <c r="L372" s="13">
        <v>10</v>
      </c>
      <c r="M372">
        <f>VLOOKUP(L372,Celulares!$A$2:$B$30,2,FALSE)</f>
        <v>3115114385</v>
      </c>
    </row>
    <row r="373" spans="1:13" ht="15.75" customHeight="1" x14ac:dyDescent="0.25">
      <c r="A373" t="s">
        <v>2350</v>
      </c>
      <c r="B373" s="2" t="s">
        <v>483</v>
      </c>
      <c r="C373" s="2" t="s">
        <v>429</v>
      </c>
      <c r="D373" s="2" t="s">
        <v>756</v>
      </c>
      <c r="E373" s="2" t="s">
        <v>99</v>
      </c>
      <c r="F373" s="6">
        <v>33976</v>
      </c>
      <c r="G373" s="16">
        <f t="shared" ca="1" si="5"/>
        <v>28.504109589041096</v>
      </c>
      <c r="H373" s="2" t="s">
        <v>1412</v>
      </c>
      <c r="I373" t="str" cm="1">
        <f t="array" ref="I373">ADAPTAR(B373)&amp;ADAPTAR(C373)&amp;"_"&amp;ADAPTAR(E373)&amp;F373</f>
        <v>josegabriel_avila33976</v>
      </c>
      <c r="J373" s="13">
        <v>11</v>
      </c>
      <c r="K373" t="str" cm="1">
        <f t="array" ref="K373">ADAPTAR(B373)&amp;"."&amp;ADAPTAR(D373)&amp;YEAR(F373)&amp;"@"&amp;VLOOKUP(J373,Dominios!$A$2:$B$30,2,FALSE)</f>
        <v>jose.perdomo1993@nemesis.ml</v>
      </c>
      <c r="L373" s="13">
        <v>11</v>
      </c>
      <c r="M373">
        <f>VLOOKUP(L373,Celulares!$A$2:$B$30,2,FALSE)</f>
        <v>3115114360</v>
      </c>
    </row>
    <row r="374" spans="1:13" ht="15.75" customHeight="1" x14ac:dyDescent="0.25">
      <c r="A374" t="s">
        <v>2351</v>
      </c>
      <c r="B374" s="2" t="s">
        <v>330</v>
      </c>
      <c r="C374" s="2" t="s">
        <v>353</v>
      </c>
      <c r="D374" s="2" t="s">
        <v>774</v>
      </c>
      <c r="E374" s="2" t="s">
        <v>799</v>
      </c>
      <c r="F374" s="6">
        <v>26773</v>
      </c>
      <c r="G374" s="16">
        <f t="shared" ca="1" si="5"/>
        <v>48.238356164383561</v>
      </c>
      <c r="H374" s="2" t="s">
        <v>1279</v>
      </c>
      <c r="I374" t="str" cm="1">
        <f t="array" ref="I374">ADAPTAR(B374)&amp;ADAPTAR(C374)&amp;"_"&amp;ADAPTAR(E374)&amp;F374</f>
        <v>andressantiago_benavides26773</v>
      </c>
      <c r="J374" s="13">
        <v>12</v>
      </c>
      <c r="K374" t="str" cm="1">
        <f t="array" ref="K374">ADAPTAR(B374)&amp;"."&amp;ADAPTAR(D374)&amp;YEAR(F374)&amp;"@"&amp;VLOOKUP(J374,Dominios!$A$2:$B$30,2,FALSE)</f>
        <v>andres.rueda1973@nunquam.com.co</v>
      </c>
      <c r="L374" s="13">
        <v>12</v>
      </c>
      <c r="M374">
        <f>VLOOKUP(L374,Celulares!$A$2:$B$30,2,FALSE)</f>
        <v>3115093653</v>
      </c>
    </row>
    <row r="375" spans="1:13" ht="15.75" customHeight="1" x14ac:dyDescent="0.25">
      <c r="A375" t="s">
        <v>2352</v>
      </c>
      <c r="B375" s="2" t="s">
        <v>1108</v>
      </c>
      <c r="C375" s="2" t="s">
        <v>1124</v>
      </c>
      <c r="D375" s="2" t="s">
        <v>771</v>
      </c>
      <c r="E375" s="2" t="s">
        <v>776</v>
      </c>
      <c r="F375" s="6">
        <v>24099</v>
      </c>
      <c r="G375" s="16">
        <f t="shared" ca="1" si="5"/>
        <v>55.564383561643837</v>
      </c>
      <c r="H375" s="2" t="s">
        <v>589</v>
      </c>
      <c r="I375" t="str" cm="1">
        <f t="array" ref="I375">ADAPTAR(B375)&amp;ADAPTAR(C375)&amp;"_"&amp;ADAPTAR(E375)&amp;F375</f>
        <v>damiangregorio_cifuentes24099</v>
      </c>
      <c r="J375" s="13">
        <v>13</v>
      </c>
      <c r="K375" t="str" cm="1">
        <f t="array" ref="K375">ADAPTAR(B375)&amp;"."&amp;ADAPTAR(D375)&amp;YEAR(F375)&amp;"@"&amp;VLOOKUP(J375,Dominios!$A$2:$B$30,2,FALSE)</f>
        <v>damian.mosquera1965@sempiternam.co</v>
      </c>
      <c r="L375" s="13">
        <v>13</v>
      </c>
      <c r="M375">
        <f>VLOOKUP(L375,Celulares!$A$2:$B$30,2,FALSE)</f>
        <v>3115093598</v>
      </c>
    </row>
    <row r="376" spans="1:13" ht="15.75" customHeight="1" x14ac:dyDescent="0.25">
      <c r="A376" t="s">
        <v>2353</v>
      </c>
      <c r="B376" s="2" t="s">
        <v>1099</v>
      </c>
      <c r="C376" s="2" t="s">
        <v>1123</v>
      </c>
      <c r="D376" s="2" t="s">
        <v>42</v>
      </c>
      <c r="E376" s="2" t="s">
        <v>243</v>
      </c>
      <c r="F376" s="6">
        <v>35614</v>
      </c>
      <c r="G376" s="16">
        <f t="shared" ca="1" si="5"/>
        <v>24.016438356164382</v>
      </c>
      <c r="H376" s="2" t="s">
        <v>1413</v>
      </c>
      <c r="I376" t="str" cm="1">
        <f t="array" ref="I376">ADAPTAR(B376)&amp;ADAPTAR(C376)&amp;"_"&amp;ADAPTAR(E376)&amp;F376</f>
        <v>martinmateo_cortes35614</v>
      </c>
      <c r="J376" s="13">
        <v>14</v>
      </c>
      <c r="K376" t="str" cm="1">
        <f t="array" ref="K376">ADAPTAR(B376)&amp;"."&amp;ADAPTAR(D376)&amp;YEAR(F376)&amp;"@"&amp;VLOOKUP(J376,Dominios!$A$2:$B$30,2,FALSE)</f>
        <v>martin.buitrago1997@sk9.co</v>
      </c>
      <c r="L376" s="13">
        <v>14</v>
      </c>
      <c r="M376">
        <f>VLOOKUP(L376,Celulares!$A$2:$B$30,2,FALSE)</f>
        <v>3115093583</v>
      </c>
    </row>
    <row r="377" spans="1:13" ht="15.75" customHeight="1" x14ac:dyDescent="0.25">
      <c r="A377" t="s">
        <v>2354</v>
      </c>
      <c r="B377" s="2" t="s">
        <v>658</v>
      </c>
      <c r="C377" s="2" t="s">
        <v>483</v>
      </c>
      <c r="D377" s="2" t="s">
        <v>824</v>
      </c>
      <c r="E377" s="2" t="s">
        <v>699</v>
      </c>
      <c r="F377" s="6">
        <v>21816</v>
      </c>
      <c r="G377" s="16">
        <f t="shared" ca="1" si="5"/>
        <v>61.819178082191783</v>
      </c>
      <c r="H377" s="2" t="s">
        <v>610</v>
      </c>
      <c r="I377" t="str" cm="1">
        <f t="array" ref="I377">ADAPTAR(B377)&amp;ADAPTAR(C377)&amp;"_"&amp;ADAPTAR(E377)&amp;F377</f>
        <v>adrianjose_murillo21816</v>
      </c>
      <c r="J377" s="13">
        <v>15</v>
      </c>
      <c r="K377" t="str" cm="1">
        <f t="array" ref="K377">ADAPTAR(B377)&amp;"."&amp;ADAPTAR(D377)&amp;YEAR(F377)&amp;"@"&amp;VLOOKUP(J377,Dominios!$A$2:$B$30,2,FALSE)</f>
        <v>adrian.jaramillo1959@socialmediacolombia.com.co</v>
      </c>
      <c r="L377" s="13">
        <v>15</v>
      </c>
      <c r="M377">
        <f>VLOOKUP(L377,Celulares!$A$2:$B$30,2,FALSE)</f>
        <v>3115092386</v>
      </c>
    </row>
    <row r="378" spans="1:13" ht="15.75" customHeight="1" x14ac:dyDescent="0.25">
      <c r="A378" t="s">
        <v>2355</v>
      </c>
      <c r="B378" s="2" t="s">
        <v>399</v>
      </c>
      <c r="C378" s="2" t="s">
        <v>341</v>
      </c>
      <c r="D378" s="2" t="s">
        <v>791</v>
      </c>
      <c r="E378" s="2" t="s">
        <v>848</v>
      </c>
      <c r="F378" s="6">
        <v>28243</v>
      </c>
      <c r="G378" s="16">
        <f t="shared" ca="1" si="5"/>
        <v>44.210958904109589</v>
      </c>
      <c r="H378" s="2" t="s">
        <v>530</v>
      </c>
      <c r="I378" t="str" cm="1">
        <f t="array" ref="I378">ADAPTAR(B378)&amp;ADAPTAR(C378)&amp;"_"&amp;ADAPTAR(E378)&amp;F378</f>
        <v>pedrojuan_marquez28243</v>
      </c>
      <c r="J378" s="13">
        <v>16</v>
      </c>
      <c r="K378" t="str" cm="1">
        <f t="array" ref="K378">ADAPTAR(B378)&amp;"."&amp;ADAPTAR(D378)&amp;YEAR(F378)&amp;"@"&amp;VLOOKUP(J378,Dominios!$A$2:$B$30,2,FALSE)</f>
        <v>pedro.gomez1977@tecnicoensistemas.com.co</v>
      </c>
      <c r="L378" s="13">
        <v>16</v>
      </c>
      <c r="M378">
        <f>VLOOKUP(L378,Celulares!$A$2:$B$30,2,FALSE)</f>
        <v>3115092375</v>
      </c>
    </row>
    <row r="379" spans="1:13" ht="15.75" customHeight="1" x14ac:dyDescent="0.25">
      <c r="A379" t="s">
        <v>2356</v>
      </c>
      <c r="B379" s="2" t="s">
        <v>345</v>
      </c>
      <c r="C379" s="2" t="s">
        <v>483</v>
      </c>
      <c r="D379" s="2" t="s">
        <v>522</v>
      </c>
      <c r="E379" s="2" t="s">
        <v>709</v>
      </c>
      <c r="F379" s="6">
        <v>21654</v>
      </c>
      <c r="G379" s="16">
        <f t="shared" ca="1" si="5"/>
        <v>62.263013698630139</v>
      </c>
      <c r="H379" s="2" t="s">
        <v>555</v>
      </c>
      <c r="I379" t="str" cm="1">
        <f t="array" ref="I379">ADAPTAR(B379)&amp;ADAPTAR(C379)&amp;"_"&amp;ADAPTAR(E379)&amp;F379</f>
        <v>alvarojose_bernal21654</v>
      </c>
      <c r="J379" s="13">
        <v>17</v>
      </c>
      <c r="K379" t="str" cm="1">
        <f t="array" ref="K379">ADAPTAR(B379)&amp;"."&amp;ADAPTAR(D379)&amp;YEAR(F379)&amp;"@"&amp;VLOOKUP(J379,Dominios!$A$2:$B$30,2,FALSE)</f>
        <v>alvaro.bonilla1959@totum.com.co</v>
      </c>
      <c r="L379" s="13">
        <v>17</v>
      </c>
      <c r="M379">
        <f>VLOOKUP(L379,Celulares!$A$2:$B$30,2,FALSE)</f>
        <v>3115092369</v>
      </c>
    </row>
    <row r="380" spans="1:13" ht="15.75" customHeight="1" x14ac:dyDescent="0.25">
      <c r="A380" t="s">
        <v>2357</v>
      </c>
      <c r="B380" s="2" t="s">
        <v>883</v>
      </c>
      <c r="C380" s="2" t="s">
        <v>490</v>
      </c>
      <c r="D380" s="2" t="s">
        <v>474</v>
      </c>
      <c r="E380" s="2" t="s">
        <v>724</v>
      </c>
      <c r="F380" s="6">
        <v>33219</v>
      </c>
      <c r="G380" s="16">
        <f t="shared" ca="1" si="5"/>
        <v>30.578082191780823</v>
      </c>
      <c r="H380" s="2" t="s">
        <v>529</v>
      </c>
      <c r="I380" t="str" cm="1">
        <f t="array" ref="I380">ADAPTAR(B380)&amp;ADAPTAR(C380)&amp;"_"&amp;ADAPTAR(E380)&amp;F380</f>
        <v>lucasfabian_solano33219</v>
      </c>
      <c r="J380" s="13">
        <v>18</v>
      </c>
      <c r="K380" t="str" cm="1">
        <f t="array" ref="K380">ADAPTAR(B380)&amp;"."&amp;ADAPTAR(D380)&amp;YEAR(F380)&amp;"@"&amp;VLOOKUP(J380,Dominios!$A$2:$B$30,2,FALSE)</f>
        <v>lucas.villa1990@voipcolombia.co</v>
      </c>
      <c r="L380" s="13">
        <v>18</v>
      </c>
      <c r="M380">
        <f>VLOOKUP(L380,Celulares!$A$2:$B$30,2,FALSE)</f>
        <v>3115092360</v>
      </c>
    </row>
    <row r="381" spans="1:13" ht="15.75" customHeight="1" x14ac:dyDescent="0.25">
      <c r="A381" t="s">
        <v>2358</v>
      </c>
      <c r="B381" s="2" t="s">
        <v>332</v>
      </c>
      <c r="C381" s="2" t="s">
        <v>339</v>
      </c>
      <c r="D381" s="2" t="s">
        <v>99</v>
      </c>
      <c r="E381" s="2" t="s">
        <v>477</v>
      </c>
      <c r="F381" s="6">
        <v>26761</v>
      </c>
      <c r="G381" s="16">
        <f t="shared" ca="1" si="5"/>
        <v>48.271232876712325</v>
      </c>
      <c r="H381" s="2" t="s">
        <v>1292</v>
      </c>
      <c r="I381" t="str" cm="1">
        <f t="array" ref="I381">ADAPTAR(B381)&amp;ADAPTAR(C381)&amp;"_"&amp;ADAPTAR(E381)&amp;F381</f>
        <v>danielfernando_bedoya26761</v>
      </c>
      <c r="J381" s="13">
        <v>19</v>
      </c>
      <c r="K381" t="str" cm="1">
        <f t="array" ref="K381">ADAPTAR(B381)&amp;"."&amp;ADAPTAR(D381)&amp;YEAR(F381)&amp;"@"&amp;VLOOKUP(J381,Dominios!$A$2:$B$30,2,FALSE)</f>
        <v>daniel.avila1973@vpncolombia.com.co</v>
      </c>
      <c r="L381" s="13">
        <v>19</v>
      </c>
      <c r="M381">
        <f>VLOOKUP(L381,Celulares!$A$2:$B$30,2,FALSE)</f>
        <v>3115092352</v>
      </c>
    </row>
    <row r="382" spans="1:13" ht="15.75" customHeight="1" x14ac:dyDescent="0.25">
      <c r="A382" t="s">
        <v>2359</v>
      </c>
      <c r="B382" s="2" t="s">
        <v>1152</v>
      </c>
      <c r="C382" s="2" t="s">
        <v>1137</v>
      </c>
      <c r="D382" s="2" t="s">
        <v>671</v>
      </c>
      <c r="E382" s="2" t="s">
        <v>698</v>
      </c>
      <c r="F382" s="6">
        <v>27678</v>
      </c>
      <c r="G382" s="16">
        <f t="shared" ca="1" si="5"/>
        <v>45.758904109589039</v>
      </c>
      <c r="H382" s="2" t="s">
        <v>1414</v>
      </c>
      <c r="I382" t="str" cm="1">
        <f t="array" ref="I382">ADAPTAR(B382)&amp;ADAPTAR(C382)&amp;"_"&amp;ADAPTAR(E382)&amp;F382</f>
        <v>reyefrain_calderon27678</v>
      </c>
      <c r="J382" s="13">
        <v>0</v>
      </c>
      <c r="K382" t="str" cm="1">
        <f t="array" ref="K382">ADAPTAR(B382)&amp;"."&amp;ADAPTAR(D382)&amp;YEAR(F382)&amp;"@"&amp;VLOOKUP(J382,Dominios!$A$2:$B$30,2,FALSE)</f>
        <v>rey.guzman1975@auribus.com.co</v>
      </c>
      <c r="L382" s="13">
        <v>0</v>
      </c>
      <c r="M382">
        <f>VLOOKUP(L382,Celulares!$A$2:$B$30,2,FALSE)</f>
        <v>3115114930</v>
      </c>
    </row>
    <row r="383" spans="1:13" ht="15.75" customHeight="1" x14ac:dyDescent="0.25">
      <c r="A383" t="s">
        <v>2360</v>
      </c>
      <c r="B383" s="2" t="s">
        <v>660</v>
      </c>
      <c r="C383" s="2" t="s">
        <v>511</v>
      </c>
      <c r="D383" s="2" t="s">
        <v>850</v>
      </c>
      <c r="E383" s="2" t="s">
        <v>239</v>
      </c>
      <c r="F383" s="6">
        <v>31936</v>
      </c>
      <c r="G383" s="16">
        <f t="shared" ca="1" si="5"/>
        <v>34.093150684931508</v>
      </c>
      <c r="H383" s="2" t="s">
        <v>1261</v>
      </c>
      <c r="I383" t="str" cm="1">
        <f t="array" ref="I383">ADAPTAR(B383)&amp;ADAPTAR(C383)&amp;"_"&amp;ADAPTAR(E383)&amp;F383</f>
        <v>vicentejavier_salazar31936</v>
      </c>
      <c r="J383" s="13">
        <v>1</v>
      </c>
      <c r="K383" t="str" cm="1">
        <f t="array" ref="K383">ADAPTAR(B383)&amp;"."&amp;ADAPTAR(D383)&amp;YEAR(F383)&amp;"@"&amp;VLOOKUP(J383,Dominios!$A$2:$B$30,2,FALSE)</f>
        <v>vicente.nino1987@colamus.co</v>
      </c>
      <c r="L383" s="13">
        <v>1</v>
      </c>
      <c r="M383">
        <f>VLOOKUP(L383,Celulares!$A$2:$B$30,2,FALSE)</f>
        <v>3115114916</v>
      </c>
    </row>
    <row r="384" spans="1:13" ht="15.75" customHeight="1" x14ac:dyDescent="0.25">
      <c r="A384" t="s">
        <v>2361</v>
      </c>
      <c r="B384" s="2" t="s">
        <v>332</v>
      </c>
      <c r="C384" s="2" t="s">
        <v>658</v>
      </c>
      <c r="D384" s="2" t="s">
        <v>780</v>
      </c>
      <c r="E384" s="2" t="s">
        <v>456</v>
      </c>
      <c r="F384" s="6">
        <v>29677</v>
      </c>
      <c r="G384" s="16">
        <f t="shared" ca="1" si="5"/>
        <v>40.282191780821918</v>
      </c>
      <c r="H384" s="2" t="s">
        <v>580</v>
      </c>
      <c r="I384" t="str" cm="1">
        <f t="array" ref="I384">ADAPTAR(B384)&amp;ADAPTAR(C384)&amp;"_"&amp;ADAPTAR(E384)&amp;F384</f>
        <v>danieladrian_alvarez29677</v>
      </c>
      <c r="J384" s="13">
        <v>2</v>
      </c>
      <c r="K384" t="str" cm="1">
        <f t="array" ref="K384">ADAPTAR(B384)&amp;"."&amp;ADAPTAR(D384)&amp;YEAR(F384)&amp;"@"&amp;VLOOKUP(J384,Dominios!$A$2:$B$30,2,FALSE)</f>
        <v>daniel.amaya1981@colombiamail.co</v>
      </c>
      <c r="L384" s="13">
        <v>2</v>
      </c>
      <c r="M384">
        <f>VLOOKUP(L384,Celulares!$A$2:$B$30,2,FALSE)</f>
        <v>3115114911</v>
      </c>
    </row>
    <row r="385" spans="1:13" ht="15.75" customHeight="1" x14ac:dyDescent="0.25">
      <c r="A385" t="s">
        <v>2362</v>
      </c>
      <c r="B385" s="2" t="s">
        <v>1153</v>
      </c>
      <c r="C385" s="2" t="s">
        <v>483</v>
      </c>
      <c r="D385" s="2" t="s">
        <v>753</v>
      </c>
      <c r="E385" s="2" t="s">
        <v>814</v>
      </c>
      <c r="F385" s="6">
        <v>22590</v>
      </c>
      <c r="G385" s="16">
        <f t="shared" ca="1" si="5"/>
        <v>59.698630136986303</v>
      </c>
      <c r="H385" s="2" t="s">
        <v>584</v>
      </c>
      <c r="I385" t="str" cm="1">
        <f t="array" ref="I385">ADAPTAR(B385)&amp;ADAPTAR(C385)&amp;"_"&amp;ADAPTAR(E385)&amp;F385</f>
        <v>giuseppejose_quintero22590</v>
      </c>
      <c r="J385" s="13">
        <v>3</v>
      </c>
      <c r="K385" t="str" cm="1">
        <f t="array" ref="K385">ADAPTAR(B385)&amp;"."&amp;ADAPTAR(D385)&amp;YEAR(F385)&amp;"@"&amp;VLOOKUP(J385,Dominios!$A$2:$B$30,2,FALSE)</f>
        <v>giuseppe.guevara1961@diabunter.co</v>
      </c>
      <c r="L385" s="13">
        <v>3</v>
      </c>
      <c r="M385">
        <f>VLOOKUP(L385,Celulares!$A$2:$B$30,2,FALSE)</f>
        <v>3115114910</v>
      </c>
    </row>
    <row r="386" spans="1:13" ht="15.75" customHeight="1" x14ac:dyDescent="0.25">
      <c r="A386" t="s">
        <v>2363</v>
      </c>
      <c r="B386" s="2" t="s">
        <v>421</v>
      </c>
      <c r="C386" s="2" t="s">
        <v>1154</v>
      </c>
      <c r="D386" s="2" t="s">
        <v>835</v>
      </c>
      <c r="E386" s="2" t="s">
        <v>762</v>
      </c>
      <c r="F386" s="6">
        <v>24263</v>
      </c>
      <c r="G386" s="16">
        <f t="shared" ref="G386:G449" ca="1" si="6">(TODAY()-F386)/365</f>
        <v>55.115068493150687</v>
      </c>
      <c r="H386" s="2" t="s">
        <v>540</v>
      </c>
      <c r="I386" t="str" cm="1">
        <f t="array" ref="I386">ADAPTAR(B386)&amp;ADAPTAR(C386)&amp;"_"&amp;ADAPTAR(E386)&amp;F386</f>
        <v>nicolasjacobo_restrepo24263</v>
      </c>
      <c r="J386" s="13">
        <v>4</v>
      </c>
      <c r="K386" t="str" cm="1">
        <f t="array" ref="K386">ADAPTAR(B386)&amp;"."&amp;ADAPTAR(D386)&amp;YEAR(F386)&amp;"@"&amp;VLOOKUP(J386,Dominios!$A$2:$B$30,2,FALSE)</f>
        <v>nicolas.henao1966@ebrietas.co</v>
      </c>
      <c r="L386" s="13">
        <v>4</v>
      </c>
      <c r="M386">
        <f>VLOOKUP(L386,Celulares!$A$2:$B$30,2,FALSE)</f>
        <v>3115114909</v>
      </c>
    </row>
    <row r="387" spans="1:13" ht="15.75" customHeight="1" x14ac:dyDescent="0.25">
      <c r="A387" t="s">
        <v>2364</v>
      </c>
      <c r="B387" s="2" t="s">
        <v>342</v>
      </c>
      <c r="C387" s="2" t="s">
        <v>1145</v>
      </c>
      <c r="D387" s="2" t="s">
        <v>706</v>
      </c>
      <c r="E387" s="2" t="s">
        <v>773</v>
      </c>
      <c r="F387" s="6">
        <v>28086</v>
      </c>
      <c r="G387" s="16">
        <f t="shared" ca="1" si="6"/>
        <v>44.641095890410959</v>
      </c>
      <c r="H387" s="2" t="s">
        <v>587</v>
      </c>
      <c r="I387" t="str" cm="1">
        <f t="array" ref="I387">ADAPTAR(B387)&amp;ADAPTAR(C387)&amp;"_"&amp;ADAPTAR(E387)&amp;F387</f>
        <v>carlosarmando_cabrera28086</v>
      </c>
      <c r="J387" s="13">
        <v>5</v>
      </c>
      <c r="K387" t="str" cm="1">
        <f t="array" ref="K387">ADAPTAR(B387)&amp;"."&amp;ADAPTAR(D387)&amp;YEAR(F387)&amp;"@"&amp;VLOOKUP(J387,Dominios!$A$2:$B$30,2,FALSE)</f>
        <v>carlos.velez1976@elsinsonte.co</v>
      </c>
      <c r="L387" s="13">
        <v>5</v>
      </c>
      <c r="M387">
        <f>VLOOKUP(L387,Celulares!$A$2:$B$30,2,FALSE)</f>
        <v>3115060130</v>
      </c>
    </row>
    <row r="388" spans="1:13" ht="15.75" customHeight="1" x14ac:dyDescent="0.25">
      <c r="A388" t="s">
        <v>2365</v>
      </c>
      <c r="B388" s="2" t="s">
        <v>341</v>
      </c>
      <c r="C388" s="2" t="s">
        <v>330</v>
      </c>
      <c r="D388" s="2" t="s">
        <v>801</v>
      </c>
      <c r="E388" s="2" t="s">
        <v>751</v>
      </c>
      <c r="F388" s="6">
        <v>20722</v>
      </c>
      <c r="G388" s="16">
        <f t="shared" ca="1" si="6"/>
        <v>64.816438356164383</v>
      </c>
      <c r="H388" s="2" t="s">
        <v>1400</v>
      </c>
      <c r="I388" t="str" cm="1">
        <f t="array" ref="I388">ADAPTAR(B388)&amp;ADAPTAR(C388)&amp;"_"&amp;ADAPTAR(E388)&amp;F388</f>
        <v>juanandres_figueroa20722</v>
      </c>
      <c r="J388" s="13">
        <v>6</v>
      </c>
      <c r="K388" t="str" cm="1">
        <f t="array" ref="K388">ADAPTAR(B388)&amp;"."&amp;ADAPTAR(D388)&amp;YEAR(F388)&amp;"@"&amp;VLOOKUP(J388,Dominios!$A$2:$B$30,2,FALSE)</f>
        <v>juan.mesa1956@enigmaserver.co</v>
      </c>
      <c r="L388" s="13">
        <v>6</v>
      </c>
      <c r="M388">
        <f>VLOOKUP(L388,Celulares!$A$2:$B$30,2,FALSE)</f>
        <v>3115060125</v>
      </c>
    </row>
    <row r="389" spans="1:13" ht="15.75" customHeight="1" x14ac:dyDescent="0.25">
      <c r="A389" t="s">
        <v>2366</v>
      </c>
      <c r="B389" s="2" t="s">
        <v>507</v>
      </c>
      <c r="C389" s="2" t="s">
        <v>402</v>
      </c>
      <c r="D389" s="2" t="s">
        <v>806</v>
      </c>
      <c r="E389" s="2" t="s">
        <v>756</v>
      </c>
      <c r="F389" s="6">
        <v>35373</v>
      </c>
      <c r="G389" s="16">
        <f t="shared" ca="1" si="6"/>
        <v>24.676712328767124</v>
      </c>
      <c r="H389" s="2" t="s">
        <v>550</v>
      </c>
      <c r="I389" t="str" cm="1">
        <f t="array" ref="I389">ADAPTAR(B389)&amp;ADAPTAR(C389)&amp;"_"&amp;ADAPTAR(E389)&amp;F389</f>
        <v>victoralberto_perdomo35373</v>
      </c>
      <c r="J389" s="13">
        <v>7</v>
      </c>
      <c r="K389" t="str" cm="1">
        <f t="array" ref="K389">ADAPTAR(B389)&amp;"."&amp;ADAPTAR(D389)&amp;YEAR(F389)&amp;"@"&amp;VLOOKUP(J389,Dominios!$A$2:$B$30,2,FALSE)</f>
        <v>victor.vanegas1996@hocknas.co</v>
      </c>
      <c r="L389" s="13">
        <v>7</v>
      </c>
      <c r="M389">
        <f>VLOOKUP(L389,Celulares!$A$2:$B$30,2,FALSE)</f>
        <v>3115060110</v>
      </c>
    </row>
    <row r="390" spans="1:13" ht="15.75" customHeight="1" x14ac:dyDescent="0.25">
      <c r="A390" t="s">
        <v>2367</v>
      </c>
      <c r="B390" s="2" t="s">
        <v>401</v>
      </c>
      <c r="C390" s="2" t="s">
        <v>429</v>
      </c>
      <c r="D390" s="2" t="s">
        <v>737</v>
      </c>
      <c r="E390" s="2" t="s">
        <v>220</v>
      </c>
      <c r="F390" s="6">
        <v>33816</v>
      </c>
      <c r="G390" s="16">
        <f t="shared" ca="1" si="6"/>
        <v>28.942465753424656</v>
      </c>
      <c r="H390" s="2" t="s">
        <v>1346</v>
      </c>
      <c r="I390" t="str" cm="1">
        <f t="array" ref="I390">ADAPTAR(B390)&amp;ADAPTAR(C390)&amp;"_"&amp;ADAPTAR(E390)&amp;F390</f>
        <v>oscargabriel_castaneda33816</v>
      </c>
      <c r="J390" s="13">
        <v>8</v>
      </c>
      <c r="K390" t="str" cm="1">
        <f t="array" ref="K390">ADAPTAR(B390)&amp;"."&amp;ADAPTAR(D390)&amp;YEAR(F390)&amp;"@"&amp;VLOOKUP(J390,Dominios!$A$2:$B$30,2,FALSE)</f>
        <v>oscar.campo1992@hostedoceri.co</v>
      </c>
      <c r="L390" s="13">
        <v>8</v>
      </c>
      <c r="M390">
        <f>VLOOKUP(L390,Celulares!$A$2:$B$30,2,FALSE)</f>
        <v>3115060091</v>
      </c>
    </row>
    <row r="391" spans="1:13" ht="15.75" customHeight="1" x14ac:dyDescent="0.25">
      <c r="A391" t="s">
        <v>2368</v>
      </c>
      <c r="B391" s="2" t="s">
        <v>359</v>
      </c>
      <c r="C391" s="2" t="s">
        <v>665</v>
      </c>
      <c r="D391" s="2" t="s">
        <v>837</v>
      </c>
      <c r="E391" s="2" t="s">
        <v>715</v>
      </c>
      <c r="F391" s="6">
        <v>36867</v>
      </c>
      <c r="G391" s="16">
        <f t="shared" ca="1" si="6"/>
        <v>20.583561643835615</v>
      </c>
      <c r="H391" s="2" t="s">
        <v>1402</v>
      </c>
      <c r="I391" t="str" cm="1">
        <f t="array" ref="I391">ADAPTAR(B391)&amp;ADAPTAR(C391)&amp;"_"&amp;ADAPTAR(E391)&amp;F391</f>
        <v>sergioagustin_garcia36867</v>
      </c>
      <c r="J391" s="13">
        <v>9</v>
      </c>
      <c r="K391" t="str" cm="1">
        <f t="array" ref="K391">ADAPTAR(B391)&amp;"."&amp;ADAPTAR(D391)&amp;YEAR(F391)&amp;"@"&amp;VLOOKUP(J391,Dominios!$A$2:$B$30,2,FALSE)</f>
        <v>sergio.sanchez2000@libertas.com.co</v>
      </c>
      <c r="L391" s="13">
        <v>9</v>
      </c>
      <c r="M391">
        <f>VLOOKUP(L391,Celulares!$A$2:$B$30,2,FALSE)</f>
        <v>3115060080</v>
      </c>
    </row>
    <row r="392" spans="1:13" ht="15.75" customHeight="1" x14ac:dyDescent="0.25">
      <c r="A392" t="s">
        <v>2369</v>
      </c>
      <c r="B392" s="2" t="s">
        <v>431</v>
      </c>
      <c r="C392" s="2" t="s">
        <v>498</v>
      </c>
      <c r="D392" s="2" t="s">
        <v>822</v>
      </c>
      <c r="E392" s="2" t="s">
        <v>820</v>
      </c>
      <c r="F392" s="6">
        <v>32834</v>
      </c>
      <c r="G392" s="16">
        <f t="shared" ca="1" si="6"/>
        <v>31.632876712328766</v>
      </c>
      <c r="H392" s="2" t="s">
        <v>614</v>
      </c>
      <c r="I392" t="str" cm="1">
        <f t="array" ref="I392">ADAPTAR(B392)&amp;ADAPTAR(C392)&amp;"_"&amp;ADAPTAR(E392)&amp;F392</f>
        <v>luisalfonso_duarte32834</v>
      </c>
      <c r="J392" s="13">
        <v>10</v>
      </c>
      <c r="K392" t="str" cm="1">
        <f t="array" ref="K392">ADAPTAR(B392)&amp;"."&amp;ADAPTAR(D392)&amp;YEAR(F392)&amp;"@"&amp;VLOOKUP(J392,Dominios!$A$2:$B$30,2,FALSE)</f>
        <v>luis.monsalve1989@nascitur.com.co</v>
      </c>
      <c r="L392" s="13">
        <v>10</v>
      </c>
      <c r="M392">
        <f>VLOOKUP(L392,Celulares!$A$2:$B$30,2,FALSE)</f>
        <v>3115114385</v>
      </c>
    </row>
    <row r="393" spans="1:13" ht="15.75" customHeight="1" x14ac:dyDescent="0.25">
      <c r="A393" t="s">
        <v>2370</v>
      </c>
      <c r="B393" s="2" t="s">
        <v>349</v>
      </c>
      <c r="C393" s="2" t="s">
        <v>330</v>
      </c>
      <c r="D393" s="2" t="s">
        <v>838</v>
      </c>
      <c r="E393" s="2" t="s">
        <v>827</v>
      </c>
      <c r="F393" s="6">
        <v>25167</v>
      </c>
      <c r="G393" s="16">
        <f t="shared" ca="1" si="6"/>
        <v>52.638356164383559</v>
      </c>
      <c r="H393" s="2" t="s">
        <v>604</v>
      </c>
      <c r="I393" t="str" cm="1">
        <f t="array" ref="I393">ADAPTAR(B393)&amp;ADAPTAR(C393)&amp;"_"&amp;ADAPTAR(E393)&amp;F393</f>
        <v>camiloandres_martinez25167</v>
      </c>
      <c r="J393" s="13">
        <v>11</v>
      </c>
      <c r="K393" t="str" cm="1">
        <f t="array" ref="K393">ADAPTAR(B393)&amp;"."&amp;ADAPTAR(D393)&amp;YEAR(F393)&amp;"@"&amp;VLOOKUP(J393,Dominios!$A$2:$B$30,2,FALSE)</f>
        <v>camilo.tovar1968@nemesis.ml</v>
      </c>
      <c r="L393" s="13">
        <v>11</v>
      </c>
      <c r="M393">
        <f>VLOOKUP(L393,Celulares!$A$2:$B$30,2,FALSE)</f>
        <v>3115114360</v>
      </c>
    </row>
    <row r="394" spans="1:13" ht="15.75" customHeight="1" x14ac:dyDescent="0.25">
      <c r="A394" t="s">
        <v>2371</v>
      </c>
      <c r="B394" s="2" t="s">
        <v>341</v>
      </c>
      <c r="C394" s="2" t="s">
        <v>669</v>
      </c>
      <c r="D394" s="2" t="s">
        <v>819</v>
      </c>
      <c r="E394" s="2" t="s">
        <v>716</v>
      </c>
      <c r="F394" s="6">
        <v>33215</v>
      </c>
      <c r="G394" s="16">
        <f t="shared" ca="1" si="6"/>
        <v>30.589041095890412</v>
      </c>
      <c r="H394" s="2" t="s">
        <v>533</v>
      </c>
      <c r="I394" t="str" cm="1">
        <f t="array" ref="I394">ADAPTAR(B394)&amp;ADAPTAR(C394)&amp;"_"&amp;ADAPTAR(E394)&amp;F394</f>
        <v>juanalfredo_vergara33215</v>
      </c>
      <c r="J394" s="13">
        <v>12</v>
      </c>
      <c r="K394" t="str" cm="1">
        <f t="array" ref="K394">ADAPTAR(B394)&amp;"."&amp;ADAPTAR(D394)&amp;YEAR(F394)&amp;"@"&amp;VLOOKUP(J394,Dominios!$A$2:$B$30,2,FALSE)</f>
        <v>juan.velasquez1990@nunquam.com.co</v>
      </c>
      <c r="L394" s="13">
        <v>12</v>
      </c>
      <c r="M394">
        <f>VLOOKUP(L394,Celulares!$A$2:$B$30,2,FALSE)</f>
        <v>3115093653</v>
      </c>
    </row>
    <row r="395" spans="1:13" ht="15.75" customHeight="1" x14ac:dyDescent="0.25">
      <c r="A395" t="s">
        <v>2372</v>
      </c>
      <c r="B395" s="2" t="s">
        <v>391</v>
      </c>
      <c r="C395" s="2" t="s">
        <v>1155</v>
      </c>
      <c r="D395" s="2" t="s">
        <v>692</v>
      </c>
      <c r="E395" s="2" t="s">
        <v>764</v>
      </c>
      <c r="F395" s="6">
        <v>37394</v>
      </c>
      <c r="G395" s="16">
        <f t="shared" ca="1" si="6"/>
        <v>19.139726027397259</v>
      </c>
      <c r="H395" s="2" t="s">
        <v>1360</v>
      </c>
      <c r="I395" t="str" cm="1">
        <f t="array" ref="I395">ADAPTAR(B395)&amp;ADAPTAR(C395)&amp;"_"&amp;ADAPTAR(E395)&amp;F395</f>
        <v>cesaryesid_sandoval37394</v>
      </c>
      <c r="J395" s="13">
        <v>13</v>
      </c>
      <c r="K395" t="str" cm="1">
        <f t="array" ref="K395">ADAPTAR(B395)&amp;"."&amp;ADAPTAR(D395)&amp;YEAR(F395)&amp;"@"&amp;VLOOKUP(J395,Dominios!$A$2:$B$30,2,FALSE)</f>
        <v>cesar.hurtado2002@sempiternam.co</v>
      </c>
      <c r="L395" s="13">
        <v>13</v>
      </c>
      <c r="M395">
        <f>VLOOKUP(L395,Celulares!$A$2:$B$30,2,FALSE)</f>
        <v>3115093598</v>
      </c>
    </row>
    <row r="396" spans="1:13" ht="15.75" customHeight="1" x14ac:dyDescent="0.25">
      <c r="A396" t="s">
        <v>2373</v>
      </c>
      <c r="B396" s="2" t="s">
        <v>667</v>
      </c>
      <c r="C396" s="2" t="s">
        <v>349</v>
      </c>
      <c r="D396" s="2" t="s">
        <v>831</v>
      </c>
      <c r="E396" s="2" t="s">
        <v>790</v>
      </c>
      <c r="F396" s="6">
        <v>36449</v>
      </c>
      <c r="G396" s="16">
        <f t="shared" ca="1" si="6"/>
        <v>21.728767123287671</v>
      </c>
      <c r="H396" s="2" t="s">
        <v>1413</v>
      </c>
      <c r="I396" t="str" cm="1">
        <f t="array" ref="I396">ADAPTAR(B396)&amp;ADAPTAR(C396)&amp;"_"&amp;ADAPTAR(E396)&amp;F396</f>
        <v>cristiancamilo_gil36449</v>
      </c>
      <c r="J396" s="13">
        <v>14</v>
      </c>
      <c r="K396" t="str" cm="1">
        <f t="array" ref="K396">ADAPTAR(B396)&amp;"."&amp;ADAPTAR(D396)&amp;YEAR(F396)&amp;"@"&amp;VLOOKUP(J396,Dominios!$A$2:$B$30,2,FALSE)</f>
        <v>cristian.arrieta1999@sk9.co</v>
      </c>
      <c r="L396" s="13">
        <v>14</v>
      </c>
      <c r="M396">
        <f>VLOOKUP(L396,Celulares!$A$2:$B$30,2,FALSE)</f>
        <v>3115093583</v>
      </c>
    </row>
    <row r="397" spans="1:13" ht="15.75" customHeight="1" x14ac:dyDescent="0.25">
      <c r="A397" t="s">
        <v>2374</v>
      </c>
      <c r="B397" s="2" t="s">
        <v>394</v>
      </c>
      <c r="C397" s="2" t="s">
        <v>339</v>
      </c>
      <c r="D397" s="2" t="s">
        <v>812</v>
      </c>
      <c r="E397" s="2" t="s">
        <v>685</v>
      </c>
      <c r="F397" s="6">
        <v>33192</v>
      </c>
      <c r="G397" s="16">
        <f t="shared" ca="1" si="6"/>
        <v>30.652054794520549</v>
      </c>
      <c r="H397" s="2" t="s">
        <v>1365</v>
      </c>
      <c r="I397" t="str" cm="1">
        <f t="array" ref="I397">ADAPTAR(B397)&amp;ADAPTAR(C397)&amp;"_"&amp;ADAPTAR(E397)&amp;F397</f>
        <v>diegofernando_beltran33192</v>
      </c>
      <c r="J397" s="13">
        <v>15</v>
      </c>
      <c r="K397" t="str" cm="1">
        <f t="array" ref="K397">ADAPTAR(B397)&amp;"."&amp;ADAPTAR(D397)&amp;YEAR(F397)&amp;"@"&amp;VLOOKUP(J397,Dominios!$A$2:$B$30,2,FALSE)</f>
        <v>diego.sepulveda1990@socialmediacolombia.com.co</v>
      </c>
      <c r="L397" s="13">
        <v>15</v>
      </c>
      <c r="M397">
        <f>VLOOKUP(L397,Celulares!$A$2:$B$30,2,FALSE)</f>
        <v>3115092386</v>
      </c>
    </row>
    <row r="398" spans="1:13" ht="15.75" customHeight="1" x14ac:dyDescent="0.25">
      <c r="A398" t="s">
        <v>2375</v>
      </c>
      <c r="B398" s="2" t="s">
        <v>431</v>
      </c>
      <c r="C398" s="2" t="s">
        <v>365</v>
      </c>
      <c r="D398" s="2" t="s">
        <v>836</v>
      </c>
      <c r="E398" s="2" t="s">
        <v>739</v>
      </c>
      <c r="F398" s="6">
        <v>28603</v>
      </c>
      <c r="G398" s="16">
        <f t="shared" ca="1" si="6"/>
        <v>43.224657534246575</v>
      </c>
      <c r="H398" s="2" t="s">
        <v>590</v>
      </c>
      <c r="I398" t="str" cm="1">
        <f t="array" ref="I398">ADAPTAR(B398)&amp;ADAPTAR(C398)&amp;"_"&amp;ADAPTAR(E398)&amp;F398</f>
        <v>luisesteban_becerra28603</v>
      </c>
      <c r="J398" s="13">
        <v>16</v>
      </c>
      <c r="K398" t="str" cm="1">
        <f t="array" ref="K398">ADAPTAR(B398)&amp;"."&amp;ADAPTAR(D398)&amp;YEAR(F398)&amp;"@"&amp;VLOOKUP(J398,Dominios!$A$2:$B$30,2,FALSE)</f>
        <v>luis.jimenez1978@tecnicoensistemas.com.co</v>
      </c>
      <c r="L398" s="13">
        <v>16</v>
      </c>
      <c r="M398">
        <f>VLOOKUP(L398,Celulares!$A$2:$B$30,2,FALSE)</f>
        <v>3115092375</v>
      </c>
    </row>
    <row r="399" spans="1:13" ht="15.75" customHeight="1" x14ac:dyDescent="0.25">
      <c r="A399" t="s">
        <v>2376</v>
      </c>
      <c r="B399" s="2" t="s">
        <v>399</v>
      </c>
      <c r="C399" s="2" t="s">
        <v>432</v>
      </c>
      <c r="D399" s="2" t="s">
        <v>722</v>
      </c>
      <c r="E399" s="2" t="s">
        <v>752</v>
      </c>
      <c r="F399" s="6">
        <v>23126</v>
      </c>
      <c r="G399" s="16">
        <f t="shared" ca="1" si="6"/>
        <v>58.230136986301368</v>
      </c>
      <c r="H399" s="2" t="s">
        <v>1313</v>
      </c>
      <c r="I399" t="str" cm="1">
        <f t="array" ref="I399">ADAPTAR(B399)&amp;ADAPTAR(C399)&amp;"_"&amp;ADAPTAR(E399)&amp;F399</f>
        <v>pedroantonio_serna23126</v>
      </c>
      <c r="J399" s="13">
        <v>17</v>
      </c>
      <c r="K399" t="str" cm="1">
        <f t="array" ref="K399">ADAPTAR(B399)&amp;"."&amp;ADAPTAR(D399)&amp;YEAR(F399)&amp;"@"&amp;VLOOKUP(J399,Dominios!$A$2:$B$30,2,FALSE)</f>
        <v>pedro.barrera1963@totum.com.co</v>
      </c>
      <c r="L399" s="13">
        <v>17</v>
      </c>
      <c r="M399">
        <f>VLOOKUP(L399,Celulares!$A$2:$B$30,2,FALSE)</f>
        <v>3115092369</v>
      </c>
    </row>
    <row r="400" spans="1:13" ht="15.75" customHeight="1" x14ac:dyDescent="0.25">
      <c r="A400" t="s">
        <v>2377</v>
      </c>
      <c r="B400" s="2" t="s">
        <v>332</v>
      </c>
      <c r="C400" s="2" t="s">
        <v>339</v>
      </c>
      <c r="D400" s="2" t="s">
        <v>826</v>
      </c>
      <c r="E400" s="2" t="s">
        <v>706</v>
      </c>
      <c r="F400" s="6">
        <v>21667</v>
      </c>
      <c r="G400" s="16">
        <f t="shared" ca="1" si="6"/>
        <v>62.227397260273975</v>
      </c>
      <c r="H400" s="2" t="s">
        <v>589</v>
      </c>
      <c r="I400" t="str" cm="1">
        <f t="array" ref="I400">ADAPTAR(B400)&amp;ADAPTAR(C400)&amp;"_"&amp;ADAPTAR(E400)&amp;F400</f>
        <v>danielfernando_velez21667</v>
      </c>
      <c r="J400" s="13">
        <v>18</v>
      </c>
      <c r="K400" t="str" cm="1">
        <f t="array" ref="K400">ADAPTAR(B400)&amp;"."&amp;ADAPTAR(D400)&amp;YEAR(F400)&amp;"@"&amp;VLOOKUP(J400,Dominios!$A$2:$B$30,2,FALSE)</f>
        <v>daniel.mejia1959@voipcolombia.co</v>
      </c>
      <c r="L400" s="13">
        <v>18</v>
      </c>
      <c r="M400">
        <f>VLOOKUP(L400,Celulares!$A$2:$B$30,2,FALSE)</f>
        <v>3115092360</v>
      </c>
    </row>
    <row r="401" spans="1:13" ht="15.75" customHeight="1" x14ac:dyDescent="0.25">
      <c r="A401" t="s">
        <v>2378</v>
      </c>
      <c r="B401" s="2" t="s">
        <v>877</v>
      </c>
      <c r="C401" s="2" t="s">
        <v>485</v>
      </c>
      <c r="D401" s="2" t="s">
        <v>762</v>
      </c>
      <c r="E401" s="2" t="s">
        <v>809</v>
      </c>
      <c r="F401" s="6">
        <v>31823</v>
      </c>
      <c r="G401" s="16">
        <f t="shared" ca="1" si="6"/>
        <v>34.402739726027399</v>
      </c>
      <c r="H401" s="2" t="s">
        <v>563</v>
      </c>
      <c r="I401" t="str" cm="1">
        <f t="array" ref="I401">ADAPTAR(B401)&amp;ADAPTAR(C401)&amp;"_"&amp;ADAPTAR(E401)&amp;F401</f>
        <v>brayansneider_ardila31823</v>
      </c>
      <c r="J401" s="13">
        <v>19</v>
      </c>
      <c r="K401" t="str" cm="1">
        <f t="array" ref="K401">ADAPTAR(B401)&amp;"."&amp;ADAPTAR(D401)&amp;YEAR(F401)&amp;"@"&amp;VLOOKUP(J401,Dominios!$A$2:$B$30,2,FALSE)</f>
        <v>brayan.restrepo1987@vpncolombia.com.co</v>
      </c>
      <c r="L401" s="13">
        <v>19</v>
      </c>
      <c r="M401">
        <f>VLOOKUP(L401,Celulares!$A$2:$B$30,2,FALSE)</f>
        <v>3115092352</v>
      </c>
    </row>
    <row r="402" spans="1:13" ht="15.75" customHeight="1" x14ac:dyDescent="0.25">
      <c r="A402" t="s">
        <v>2379</v>
      </c>
      <c r="B402" s="2" t="s">
        <v>359</v>
      </c>
      <c r="C402" s="2" t="s">
        <v>1123</v>
      </c>
      <c r="D402" s="2" t="s">
        <v>719</v>
      </c>
      <c r="E402" s="2" t="s">
        <v>238</v>
      </c>
      <c r="F402" s="6">
        <v>36388</v>
      </c>
      <c r="G402" s="16">
        <f t="shared" ca="1" si="6"/>
        <v>21.895890410958906</v>
      </c>
      <c r="H402" s="2" t="s">
        <v>541</v>
      </c>
      <c r="I402" t="str" cm="1">
        <f t="array" ref="I402">ADAPTAR(B402)&amp;ADAPTAR(C402)&amp;"_"&amp;ADAPTAR(E402)&amp;F402</f>
        <v>sergiomateo_osorio36388</v>
      </c>
      <c r="J402" s="13">
        <v>0</v>
      </c>
      <c r="K402" t="str" cm="1">
        <f t="array" ref="K402">ADAPTAR(B402)&amp;"."&amp;ADAPTAR(D402)&amp;YEAR(F402)&amp;"@"&amp;VLOOKUP(J402,Dominios!$A$2:$B$30,2,FALSE)</f>
        <v>sergio.suarez1999@auribus.com.co</v>
      </c>
      <c r="L402" s="13">
        <v>0</v>
      </c>
      <c r="M402">
        <f>VLOOKUP(L402,Celulares!$A$2:$B$30,2,FALSE)</f>
        <v>3115114930</v>
      </c>
    </row>
    <row r="403" spans="1:13" ht="15.75" customHeight="1" x14ac:dyDescent="0.25">
      <c r="A403" t="s">
        <v>2380</v>
      </c>
      <c r="B403" s="2" t="s">
        <v>341</v>
      </c>
      <c r="C403" s="2" t="s">
        <v>413</v>
      </c>
      <c r="D403" s="2" t="s">
        <v>693</v>
      </c>
      <c r="E403" s="2" t="s">
        <v>851</v>
      </c>
      <c r="F403" s="6">
        <v>23602</v>
      </c>
      <c r="G403" s="16">
        <f t="shared" ca="1" si="6"/>
        <v>56.926027397260277</v>
      </c>
      <c r="H403" s="2" t="s">
        <v>552</v>
      </c>
      <c r="I403" t="str" cm="1">
        <f t="array" ref="I403">ADAPTAR(B403)&amp;ADAPTAR(C403)&amp;"_"&amp;ADAPTAR(E403)&amp;F403</f>
        <v>juaneduardo_benitez23602</v>
      </c>
      <c r="J403" s="13">
        <v>1</v>
      </c>
      <c r="K403" t="str" cm="1">
        <f t="array" ref="K403">ADAPTAR(B403)&amp;"."&amp;ADAPTAR(D403)&amp;YEAR(F403)&amp;"@"&amp;VLOOKUP(J403,Dominios!$A$2:$B$30,2,FALSE)</f>
        <v>juan.delgado1964@colamus.co</v>
      </c>
      <c r="L403" s="13">
        <v>1</v>
      </c>
      <c r="M403">
        <f>VLOOKUP(L403,Celulares!$A$2:$B$30,2,FALSE)</f>
        <v>3115114916</v>
      </c>
    </row>
    <row r="404" spans="1:13" ht="15.75" customHeight="1" x14ac:dyDescent="0.25">
      <c r="A404" t="s">
        <v>2381</v>
      </c>
      <c r="B404" s="2" t="s">
        <v>513</v>
      </c>
      <c r="C404" s="2" t="s">
        <v>450</v>
      </c>
      <c r="D404" s="2" t="s">
        <v>679</v>
      </c>
      <c r="E404" s="2" t="s">
        <v>849</v>
      </c>
      <c r="F404" s="6">
        <v>25562</v>
      </c>
      <c r="G404" s="16">
        <f t="shared" ca="1" si="6"/>
        <v>51.556164383561644</v>
      </c>
      <c r="H404" s="2" t="s">
        <v>559</v>
      </c>
      <c r="I404" t="str" cm="1">
        <f t="array" ref="I404">ADAPTAR(B404)&amp;ADAPTAR(C404)&amp;"_"&amp;ADAPTAR(E404)&amp;F404</f>
        <v>fabioenrique_guerrero25562</v>
      </c>
      <c r="J404" s="13">
        <v>2</v>
      </c>
      <c r="K404" t="str" cm="1">
        <f t="array" ref="K404">ADAPTAR(B404)&amp;"."&amp;ADAPTAR(D404)&amp;YEAR(F404)&amp;"@"&amp;VLOOKUP(J404,Dominios!$A$2:$B$30,2,FALSE)</f>
        <v>fabio.ospina1969@colombiamail.co</v>
      </c>
      <c r="L404" s="13">
        <v>2</v>
      </c>
      <c r="M404">
        <f>VLOOKUP(L404,Celulares!$A$2:$B$30,2,FALSE)</f>
        <v>3115114911</v>
      </c>
    </row>
    <row r="405" spans="1:13" ht="15.75" customHeight="1" x14ac:dyDescent="0.25">
      <c r="A405" t="s">
        <v>2382</v>
      </c>
      <c r="B405" s="2" t="s">
        <v>341</v>
      </c>
      <c r="C405" s="2" t="s">
        <v>446</v>
      </c>
      <c r="D405" s="2" t="s">
        <v>239</v>
      </c>
      <c r="E405" s="2" t="s">
        <v>737</v>
      </c>
      <c r="F405" s="6">
        <v>34657</v>
      </c>
      <c r="G405" s="16">
        <f t="shared" ca="1" si="6"/>
        <v>26.638356164383563</v>
      </c>
      <c r="H405" s="2" t="s">
        <v>581</v>
      </c>
      <c r="I405" t="str" cm="1">
        <f t="array" ref="I405">ADAPTAR(B405)&amp;ADAPTAR(C405)&amp;"_"&amp;ADAPTAR(E405)&amp;F405</f>
        <v>juanfelipe_campo34657</v>
      </c>
      <c r="J405" s="13">
        <v>3</v>
      </c>
      <c r="K405" t="str" cm="1">
        <f t="array" ref="K405">ADAPTAR(B405)&amp;"."&amp;ADAPTAR(D405)&amp;YEAR(F405)&amp;"@"&amp;VLOOKUP(J405,Dominios!$A$2:$B$30,2,FALSE)</f>
        <v>juan.salazar1994@diabunter.co</v>
      </c>
      <c r="L405" s="13">
        <v>3</v>
      </c>
      <c r="M405">
        <f>VLOOKUP(L405,Celulares!$A$2:$B$30,2,FALSE)</f>
        <v>3115114910</v>
      </c>
    </row>
    <row r="406" spans="1:13" ht="15.75" customHeight="1" x14ac:dyDescent="0.25">
      <c r="A406" t="s">
        <v>2383</v>
      </c>
      <c r="B406" s="2" t="s">
        <v>92</v>
      </c>
      <c r="C406" s="2" t="s">
        <v>365</v>
      </c>
      <c r="D406" s="2" t="s">
        <v>747</v>
      </c>
      <c r="E406" s="2" t="s">
        <v>733</v>
      </c>
      <c r="F406" s="6">
        <v>21693</v>
      </c>
      <c r="G406" s="16">
        <f t="shared" ca="1" si="6"/>
        <v>62.156164383561645</v>
      </c>
      <c r="H406" s="2" t="s">
        <v>564</v>
      </c>
      <c r="I406" t="str" cm="1">
        <f t="array" ref="I406">ADAPTAR(B406)&amp;ADAPTAR(C406)&amp;"_"&amp;ADAPTAR(E406)&amp;F406</f>
        <v>felixesteban_meneses21693</v>
      </c>
      <c r="J406" s="13">
        <v>4</v>
      </c>
      <c r="K406" t="str" cm="1">
        <f t="array" ref="K406">ADAPTAR(B406)&amp;"."&amp;ADAPTAR(D406)&amp;YEAR(F406)&amp;"@"&amp;VLOOKUP(J406,Dominios!$A$2:$B$30,2,FALSE)</f>
        <v>felix.rojas1959@ebrietas.co</v>
      </c>
      <c r="L406" s="13">
        <v>4</v>
      </c>
      <c r="M406">
        <f>VLOOKUP(L406,Celulares!$A$2:$B$30,2,FALSE)</f>
        <v>3115114909</v>
      </c>
    </row>
    <row r="407" spans="1:13" ht="15.75" customHeight="1" x14ac:dyDescent="0.25">
      <c r="A407" t="s">
        <v>2384</v>
      </c>
      <c r="B407" s="2" t="s">
        <v>356</v>
      </c>
      <c r="C407" s="2" t="s">
        <v>339</v>
      </c>
      <c r="D407" s="2" t="s">
        <v>772</v>
      </c>
      <c r="E407" s="2" t="s">
        <v>771</v>
      </c>
      <c r="F407" s="6">
        <v>27347</v>
      </c>
      <c r="G407" s="16">
        <f t="shared" ca="1" si="6"/>
        <v>46.665753424657531</v>
      </c>
      <c r="H407" s="2" t="s">
        <v>1398</v>
      </c>
      <c r="I407" t="str" cm="1">
        <f t="array" ref="I407">ADAPTAR(B407)&amp;ADAPTAR(C407)&amp;"_"&amp;ADAPTAR(E407)&amp;F407</f>
        <v>gustavofernando_mosquera27347</v>
      </c>
      <c r="J407" s="13">
        <v>5</v>
      </c>
      <c r="K407" t="str" cm="1">
        <f t="array" ref="K407">ADAPTAR(B407)&amp;"."&amp;ADAPTAR(D407)&amp;YEAR(F407)&amp;"@"&amp;VLOOKUP(J407,Dominios!$A$2:$B$30,2,FALSE)</f>
        <v>gustavo.morales1974@elsinsonte.co</v>
      </c>
      <c r="L407" s="13">
        <v>5</v>
      </c>
      <c r="M407">
        <f>VLOOKUP(L407,Celulares!$A$2:$B$30,2,FALSE)</f>
        <v>3115060130</v>
      </c>
    </row>
    <row r="408" spans="1:13" ht="15.75" customHeight="1" x14ac:dyDescent="0.25">
      <c r="A408" t="s">
        <v>2385</v>
      </c>
      <c r="B408" s="2" t="s">
        <v>429</v>
      </c>
      <c r="C408" s="2" t="s">
        <v>483</v>
      </c>
      <c r="D408" s="2" t="s">
        <v>738</v>
      </c>
      <c r="E408" s="2" t="s">
        <v>749</v>
      </c>
      <c r="F408" s="6">
        <v>35345</v>
      </c>
      <c r="G408" s="16">
        <f t="shared" ca="1" si="6"/>
        <v>24.753424657534246</v>
      </c>
      <c r="H408" s="2" t="s">
        <v>1275</v>
      </c>
      <c r="I408" t="str" cm="1">
        <f t="array" ref="I408">ADAPTAR(B408)&amp;ADAPTAR(C408)&amp;"_"&amp;ADAPTAR(E408)&amp;F408</f>
        <v>gabrieljose_lopez35345</v>
      </c>
      <c r="J408" s="13">
        <v>6</v>
      </c>
      <c r="K408" t="str" cm="1">
        <f t="array" ref="K408">ADAPTAR(B408)&amp;"."&amp;ADAPTAR(D408)&amp;YEAR(F408)&amp;"@"&amp;VLOOKUP(J408,Dominios!$A$2:$B$30,2,FALSE)</f>
        <v>gabriel.polo1996@enigmaserver.co</v>
      </c>
      <c r="L408" s="13">
        <v>6</v>
      </c>
      <c r="M408">
        <f>VLOOKUP(L408,Celulares!$A$2:$B$30,2,FALSE)</f>
        <v>3115060125</v>
      </c>
    </row>
    <row r="409" spans="1:13" ht="15.75" customHeight="1" x14ac:dyDescent="0.25">
      <c r="A409" t="s">
        <v>2386</v>
      </c>
      <c r="B409" s="2" t="s">
        <v>431</v>
      </c>
      <c r="C409" s="2" t="s">
        <v>479</v>
      </c>
      <c r="D409" s="2" t="s">
        <v>783</v>
      </c>
      <c r="E409" s="2" t="s">
        <v>670</v>
      </c>
      <c r="F409" s="6">
        <v>29591</v>
      </c>
      <c r="G409" s="16">
        <f t="shared" ca="1" si="6"/>
        <v>40.517808219178079</v>
      </c>
      <c r="H409" s="2" t="s">
        <v>576</v>
      </c>
      <c r="I409" t="str" cm="1">
        <f t="array" ref="I409">ADAPTAR(B409)&amp;ADAPTAR(C409)&amp;"_"&amp;ADAPTAR(E409)&amp;F409</f>
        <v>luisguillermo_acosta29591</v>
      </c>
      <c r="J409" s="13">
        <v>7</v>
      </c>
      <c r="K409" t="str" cm="1">
        <f t="array" ref="K409">ADAPTAR(B409)&amp;"."&amp;ADAPTAR(D409)&amp;YEAR(F409)&amp;"@"&amp;VLOOKUP(J409,Dominios!$A$2:$B$30,2,FALSE)</f>
        <v>luis.pena1981@hocknas.co</v>
      </c>
      <c r="L409" s="13">
        <v>7</v>
      </c>
      <c r="M409">
        <f>VLOOKUP(L409,Celulares!$A$2:$B$30,2,FALSE)</f>
        <v>3115060110</v>
      </c>
    </row>
    <row r="410" spans="1:13" ht="15.75" customHeight="1" x14ac:dyDescent="0.25">
      <c r="A410" t="s">
        <v>2387</v>
      </c>
      <c r="B410" s="2" t="s">
        <v>399</v>
      </c>
      <c r="C410" s="2" t="s">
        <v>1142</v>
      </c>
      <c r="D410" s="2" t="s">
        <v>683</v>
      </c>
      <c r="E410" s="2" t="s">
        <v>735</v>
      </c>
      <c r="F410" s="6">
        <v>27028</v>
      </c>
      <c r="G410" s="16">
        <f t="shared" ca="1" si="6"/>
        <v>47.539726027397258</v>
      </c>
      <c r="H410" s="2" t="s">
        <v>576</v>
      </c>
      <c r="I410" t="str" cm="1">
        <f t="array" ref="I410">ADAPTAR(B410)&amp;ADAPTAR(C410)&amp;"_"&amp;ADAPTAR(E410)&amp;F410</f>
        <v>pedrogonzalo_romero27028</v>
      </c>
      <c r="J410" s="13">
        <v>8</v>
      </c>
      <c r="K410" t="str" cm="1">
        <f t="array" ref="K410">ADAPTAR(B410)&amp;"."&amp;ADAPTAR(D410)&amp;YEAR(F410)&amp;"@"&amp;VLOOKUP(J410,Dominios!$A$2:$B$30,2,FALSE)</f>
        <v>pedro.agudelo1973@hostedoceri.co</v>
      </c>
      <c r="L410" s="13">
        <v>8</v>
      </c>
      <c r="M410">
        <f>VLOOKUP(L410,Celulares!$A$2:$B$30,2,FALSE)</f>
        <v>3115060091</v>
      </c>
    </row>
    <row r="411" spans="1:13" ht="15.75" customHeight="1" x14ac:dyDescent="0.25">
      <c r="A411" t="s">
        <v>2388</v>
      </c>
      <c r="B411" s="2" t="s">
        <v>668</v>
      </c>
      <c r="C411" s="2" t="s">
        <v>490</v>
      </c>
      <c r="D411" s="2" t="s">
        <v>816</v>
      </c>
      <c r="E411" s="2" t="s">
        <v>702</v>
      </c>
      <c r="F411" s="6">
        <v>21931</v>
      </c>
      <c r="G411" s="16">
        <f t="shared" ca="1" si="6"/>
        <v>61.504109589041093</v>
      </c>
      <c r="H411" s="2" t="s">
        <v>591</v>
      </c>
      <c r="I411" t="str" cm="1">
        <f t="array" ref="I411">ADAPTAR(B411)&amp;ADAPTAR(C411)&amp;"_"&amp;ADAPTAR(E411)&amp;F411</f>
        <v>hectorfabian_mendez21931</v>
      </c>
      <c r="J411" s="13">
        <v>9</v>
      </c>
      <c r="K411" t="str" cm="1">
        <f t="array" ref="K411">ADAPTAR(B411)&amp;"."&amp;ADAPTAR(D411)&amp;YEAR(F411)&amp;"@"&amp;VLOOKUP(J411,Dominios!$A$2:$B$30,2,FALSE)</f>
        <v>hector.camargo1960@libertas.com.co</v>
      </c>
      <c r="L411" s="13">
        <v>9</v>
      </c>
      <c r="M411">
        <f>VLOOKUP(L411,Celulares!$A$2:$B$30,2,FALSE)</f>
        <v>3115060080</v>
      </c>
    </row>
    <row r="412" spans="1:13" ht="15.75" customHeight="1" x14ac:dyDescent="0.25">
      <c r="A412" t="s">
        <v>2389</v>
      </c>
      <c r="B412" s="2" t="s">
        <v>886</v>
      </c>
      <c r="C412" s="2" t="s">
        <v>402</v>
      </c>
      <c r="D412" s="2" t="s">
        <v>821</v>
      </c>
      <c r="E412" s="2" t="s">
        <v>785</v>
      </c>
      <c r="F412" s="6">
        <v>33150</v>
      </c>
      <c r="G412" s="16">
        <f t="shared" ca="1" si="6"/>
        <v>30.767123287671232</v>
      </c>
      <c r="H412" s="2" t="s">
        <v>1393</v>
      </c>
      <c r="I412" t="str" cm="1">
        <f t="array" ref="I412">ADAPTAR(B412)&amp;ADAPTAR(C412)&amp;"_"&amp;ADAPTAR(E412)&amp;F412</f>
        <v>hugoalberto_cano33150</v>
      </c>
      <c r="J412" s="13">
        <v>10</v>
      </c>
      <c r="K412" t="str" cm="1">
        <f t="array" ref="K412">ADAPTAR(B412)&amp;"."&amp;ADAPTAR(D412)&amp;YEAR(F412)&amp;"@"&amp;VLOOKUP(J412,Dominios!$A$2:$B$30,2,FALSE)</f>
        <v>hugo.montes1990@nascitur.com.co</v>
      </c>
      <c r="L412" s="13">
        <v>10</v>
      </c>
      <c r="M412">
        <f>VLOOKUP(L412,Celulares!$A$2:$B$30,2,FALSE)</f>
        <v>3115114385</v>
      </c>
    </row>
    <row r="413" spans="1:13" ht="15.75" customHeight="1" x14ac:dyDescent="0.25">
      <c r="A413" t="s">
        <v>2390</v>
      </c>
      <c r="B413" s="2" t="s">
        <v>341</v>
      </c>
      <c r="C413" s="2" t="s">
        <v>663</v>
      </c>
      <c r="D413" s="2" t="s">
        <v>220</v>
      </c>
      <c r="E413" s="2" t="s">
        <v>836</v>
      </c>
      <c r="F413" s="6">
        <v>21465</v>
      </c>
      <c r="G413" s="16">
        <f t="shared" ca="1" si="6"/>
        <v>62.780821917808218</v>
      </c>
      <c r="H413" s="2" t="s">
        <v>1384</v>
      </c>
      <c r="I413" t="str" cm="1">
        <f t="array" ref="I413">ADAPTAR(B413)&amp;ADAPTAR(C413)&amp;"_"&amp;ADAPTAR(E413)&amp;F413</f>
        <v>juanignacio_jimenez21465</v>
      </c>
      <c r="J413" s="13">
        <v>11</v>
      </c>
      <c r="K413" t="str" cm="1">
        <f t="array" ref="K413">ADAPTAR(B413)&amp;"."&amp;ADAPTAR(D413)&amp;YEAR(F413)&amp;"@"&amp;VLOOKUP(J413,Dominios!$A$2:$B$30,2,FALSE)</f>
        <v>juan.castaneda1958@nemesis.ml</v>
      </c>
      <c r="L413" s="13">
        <v>11</v>
      </c>
      <c r="M413">
        <f>VLOOKUP(L413,Celulares!$A$2:$B$30,2,FALSE)</f>
        <v>3115114360</v>
      </c>
    </row>
    <row r="414" spans="1:13" ht="15.75" customHeight="1" x14ac:dyDescent="0.25">
      <c r="A414" t="s">
        <v>2391</v>
      </c>
      <c r="B414" s="2" t="s">
        <v>666</v>
      </c>
      <c r="C414" s="2" t="s">
        <v>649</v>
      </c>
      <c r="D414" s="2" t="s">
        <v>726</v>
      </c>
      <c r="E414" s="2" t="s">
        <v>830</v>
      </c>
      <c r="F414" s="6">
        <v>23265</v>
      </c>
      <c r="G414" s="16">
        <f t="shared" ca="1" si="6"/>
        <v>57.849315068493148</v>
      </c>
      <c r="H414" s="2" t="s">
        <v>573</v>
      </c>
      <c r="I414" t="str" cm="1">
        <f t="array" ref="I414">ADAPTAR(B414)&amp;ADAPTAR(C414)&amp;"_"&amp;ADAPTAR(E414)&amp;F414</f>
        <v>ismaelarturo_camacho23265</v>
      </c>
      <c r="J414" s="13">
        <v>12</v>
      </c>
      <c r="K414" t="str" cm="1">
        <f t="array" ref="K414">ADAPTAR(B414)&amp;"."&amp;ADAPTAR(D414)&amp;YEAR(F414)&amp;"@"&amp;VLOOKUP(J414,Dominios!$A$2:$B$30,2,FALSE)</f>
        <v>ismael.espinosa1963@nunquam.com.co</v>
      </c>
      <c r="L414" s="13">
        <v>12</v>
      </c>
      <c r="M414">
        <f>VLOOKUP(L414,Celulares!$A$2:$B$30,2,FALSE)</f>
        <v>3115093653</v>
      </c>
    </row>
    <row r="415" spans="1:13" ht="15.75" customHeight="1" x14ac:dyDescent="0.25">
      <c r="A415" t="s">
        <v>2392</v>
      </c>
      <c r="B415" s="2" t="s">
        <v>448</v>
      </c>
      <c r="C415" s="2" t="s">
        <v>483</v>
      </c>
      <c r="D415" s="2" t="s">
        <v>764</v>
      </c>
      <c r="E415" s="2" t="s">
        <v>711</v>
      </c>
      <c r="F415" s="6">
        <v>26053</v>
      </c>
      <c r="G415" s="16">
        <f t="shared" ca="1" si="6"/>
        <v>50.210958904109589</v>
      </c>
      <c r="H415" s="2" t="s">
        <v>530</v>
      </c>
      <c r="I415" t="str" cm="1">
        <f t="array" ref="I415">ADAPTAR(B415)&amp;ADAPTAR(C415)&amp;"_"&amp;ADAPTAR(E415)&amp;F415</f>
        <v>ivanjose_carvajal26053</v>
      </c>
      <c r="J415" s="13">
        <v>13</v>
      </c>
      <c r="K415" t="str" cm="1">
        <f t="array" ref="K415">ADAPTAR(B415)&amp;"."&amp;ADAPTAR(D415)&amp;YEAR(F415)&amp;"@"&amp;VLOOKUP(J415,Dominios!$A$2:$B$30,2,FALSE)</f>
        <v>ivan.sandoval1971@sempiternam.co</v>
      </c>
      <c r="L415" s="13">
        <v>13</v>
      </c>
      <c r="M415">
        <f>VLOOKUP(L415,Celulares!$A$2:$B$30,2,FALSE)</f>
        <v>3115093598</v>
      </c>
    </row>
    <row r="416" spans="1:13" ht="15.75" customHeight="1" x14ac:dyDescent="0.25">
      <c r="A416" t="s">
        <v>2393</v>
      </c>
      <c r="B416" s="2" t="s">
        <v>351</v>
      </c>
      <c r="C416" s="2" t="s">
        <v>330</v>
      </c>
      <c r="D416" s="2" t="s">
        <v>672</v>
      </c>
      <c r="E416" s="2" t="s">
        <v>789</v>
      </c>
      <c r="F416" s="6">
        <v>22658</v>
      </c>
      <c r="G416" s="16">
        <f t="shared" ca="1" si="6"/>
        <v>59.512328767123286</v>
      </c>
      <c r="H416" s="2" t="s">
        <v>597</v>
      </c>
      <c r="I416" t="str" cm="1">
        <f t="array" ref="I416">ADAPTAR(B416)&amp;ADAPTAR(C416)&amp;"_"&amp;ADAPTAR(E416)&amp;F416</f>
        <v>jaimeandres_carmona22658</v>
      </c>
      <c r="J416" s="13">
        <v>14</v>
      </c>
      <c r="K416" t="str" cm="1">
        <f t="array" ref="K416">ADAPTAR(B416)&amp;"."&amp;ADAPTAR(D416)&amp;YEAR(F416)&amp;"@"&amp;VLOOKUP(J416,Dominios!$A$2:$B$30,2,FALSE)</f>
        <v>jaime.londono1962@sk9.co</v>
      </c>
      <c r="L416" s="13">
        <v>14</v>
      </c>
      <c r="M416">
        <f>VLOOKUP(L416,Celulares!$A$2:$B$30,2,FALSE)</f>
        <v>3115093583</v>
      </c>
    </row>
    <row r="417" spans="1:13" ht="15.75" customHeight="1" x14ac:dyDescent="0.25">
      <c r="A417" t="s">
        <v>2394</v>
      </c>
      <c r="B417" s="2" t="s">
        <v>359</v>
      </c>
      <c r="C417" s="2" t="s">
        <v>353</v>
      </c>
      <c r="D417" s="2" t="s">
        <v>734</v>
      </c>
      <c r="E417" s="2" t="s">
        <v>784</v>
      </c>
      <c r="F417" s="6">
        <v>27078</v>
      </c>
      <c r="G417" s="16">
        <f t="shared" ca="1" si="6"/>
        <v>47.402739726027399</v>
      </c>
      <c r="H417" s="2" t="s">
        <v>1374</v>
      </c>
      <c r="I417" t="str" cm="1">
        <f t="array" ref="I417">ADAPTAR(B417)&amp;ADAPTAR(C417)&amp;"_"&amp;ADAPTAR(E417)&amp;F417</f>
        <v>sergiosantiago_torres27078</v>
      </c>
      <c r="J417" s="13">
        <v>15</v>
      </c>
      <c r="K417" t="str" cm="1">
        <f t="array" ref="K417">ADAPTAR(B417)&amp;"."&amp;ADAPTAR(D417)&amp;YEAR(F417)&amp;"@"&amp;VLOOKUP(J417,Dominios!$A$2:$B$30,2,FALSE)</f>
        <v>sergio.ramirez1974@socialmediacolombia.com.co</v>
      </c>
      <c r="L417" s="13">
        <v>15</v>
      </c>
      <c r="M417">
        <f>VLOOKUP(L417,Celulares!$A$2:$B$30,2,FALSE)</f>
        <v>3115092386</v>
      </c>
    </row>
    <row r="418" spans="1:13" ht="15.75" customHeight="1" x14ac:dyDescent="0.25">
      <c r="A418" t="s">
        <v>2395</v>
      </c>
      <c r="B418" s="2" t="s">
        <v>511</v>
      </c>
      <c r="C418" s="2" t="s">
        <v>669</v>
      </c>
      <c r="D418" s="2" t="s">
        <v>695</v>
      </c>
      <c r="E418" s="2" t="s">
        <v>458</v>
      </c>
      <c r="F418" s="6">
        <v>32595</v>
      </c>
      <c r="G418" s="16">
        <f t="shared" ca="1" si="6"/>
        <v>32.287671232876711</v>
      </c>
      <c r="H418" s="2" t="s">
        <v>597</v>
      </c>
      <c r="I418" t="str" cm="1">
        <f t="array" ref="I418">ADAPTAR(B418)&amp;ADAPTAR(C418)&amp;"_"&amp;ADAPTAR(E418)&amp;F418</f>
        <v>javieralfredo_bravo32595</v>
      </c>
      <c r="J418" s="13">
        <v>16</v>
      </c>
      <c r="K418" t="str" cm="1">
        <f t="array" ref="K418">ADAPTAR(B418)&amp;"."&amp;ADAPTAR(D418)&amp;YEAR(F418)&amp;"@"&amp;VLOOKUP(J418,Dominios!$A$2:$B$30,2,FALSE)</f>
        <v>javier.lozano1989@tecnicoensistemas.com.co</v>
      </c>
      <c r="L418" s="13">
        <v>16</v>
      </c>
      <c r="M418">
        <f>VLOOKUP(L418,Celulares!$A$2:$B$30,2,FALSE)</f>
        <v>3115092375</v>
      </c>
    </row>
    <row r="419" spans="1:13" ht="15.75" customHeight="1" x14ac:dyDescent="0.25">
      <c r="A419" t="s">
        <v>2396</v>
      </c>
      <c r="B419" s="2" t="s">
        <v>492</v>
      </c>
      <c r="C419" s="2" t="s">
        <v>1156</v>
      </c>
      <c r="D419" s="2" t="s">
        <v>476</v>
      </c>
      <c r="E419" s="2" t="s">
        <v>777</v>
      </c>
      <c r="F419" s="6">
        <v>34276</v>
      </c>
      <c r="G419" s="16">
        <f t="shared" ca="1" si="6"/>
        <v>27.682191780821917</v>
      </c>
      <c r="H419" s="2" t="s">
        <v>563</v>
      </c>
      <c r="I419" t="str" cm="1">
        <f t="array" ref="I419">ADAPTAR(B419)&amp;ADAPTAR(C419)&amp;"_"&amp;ADAPTAR(E419)&amp;F419</f>
        <v>jesusde jose_gallego34276</v>
      </c>
      <c r="J419" s="13">
        <v>17</v>
      </c>
      <c r="K419" t="str" cm="1">
        <f t="array" ref="K419">ADAPTAR(B419)&amp;"."&amp;ADAPTAR(D419)&amp;YEAR(F419)&amp;"@"&amp;VLOOKUP(J419,Dominios!$A$2:$B$30,2,FALSE)</f>
        <v>jesus.prieto1993@totum.com.co</v>
      </c>
      <c r="L419" s="13">
        <v>17</v>
      </c>
      <c r="M419">
        <f>VLOOKUP(L419,Celulares!$A$2:$B$30,2,FALSE)</f>
        <v>3115092369</v>
      </c>
    </row>
    <row r="420" spans="1:13" ht="15.75" customHeight="1" x14ac:dyDescent="0.25">
      <c r="A420" t="s">
        <v>2397</v>
      </c>
      <c r="B420" s="2" t="s">
        <v>399</v>
      </c>
      <c r="C420" s="2" t="s">
        <v>661</v>
      </c>
      <c r="D420" s="2" t="s">
        <v>808</v>
      </c>
      <c r="E420" s="2" t="s">
        <v>707</v>
      </c>
      <c r="F420" s="6">
        <v>31180</v>
      </c>
      <c r="G420" s="16">
        <f t="shared" ca="1" si="6"/>
        <v>36.164383561643838</v>
      </c>
      <c r="H420" s="2" t="s">
        <v>1326</v>
      </c>
      <c r="I420" t="str" cm="1">
        <f t="array" ref="I420">ADAPTAR(B420)&amp;ADAPTAR(C420)&amp;"_"&amp;ADAPTAR(E420)&amp;F420</f>
        <v>pedrojoaquin_pineda31180</v>
      </c>
      <c r="J420" s="13">
        <v>18</v>
      </c>
      <c r="K420" t="str" cm="1">
        <f t="array" ref="K420">ADAPTAR(B420)&amp;"."&amp;ADAPTAR(D420)&amp;YEAR(F420)&amp;"@"&amp;VLOOKUP(J420,Dominios!$A$2:$B$30,2,FALSE)</f>
        <v>pedro.luna1985@voipcolombia.co</v>
      </c>
      <c r="L420" s="13">
        <v>18</v>
      </c>
      <c r="M420">
        <f>VLOOKUP(L420,Celulares!$A$2:$B$30,2,FALSE)</f>
        <v>3115092360</v>
      </c>
    </row>
    <row r="421" spans="1:13" ht="15.75" customHeight="1" x14ac:dyDescent="0.25">
      <c r="A421" t="s">
        <v>2398</v>
      </c>
      <c r="B421" s="2" t="s">
        <v>873</v>
      </c>
      <c r="C421" s="2" t="s">
        <v>365</v>
      </c>
      <c r="D421" s="2" t="s">
        <v>815</v>
      </c>
      <c r="E421" s="2" t="s">
        <v>725</v>
      </c>
      <c r="F421" s="6">
        <v>20621</v>
      </c>
      <c r="G421" s="16">
        <f t="shared" ca="1" si="6"/>
        <v>65.093150684931501</v>
      </c>
      <c r="H421" s="2" t="s">
        <v>563</v>
      </c>
      <c r="I421" t="str" cm="1">
        <f t="array" ref="I421">ADAPTAR(B421)&amp;ADAPTAR(C421)&amp;"_"&amp;ADAPTAR(E421)&amp;F421</f>
        <v>jorgeesteban_ochoa20621</v>
      </c>
      <c r="J421" s="13">
        <v>19</v>
      </c>
      <c r="K421" t="str" cm="1">
        <f t="array" ref="K421">ADAPTAR(B421)&amp;"."&amp;ADAPTAR(D421)&amp;YEAR(F421)&amp;"@"&amp;VLOOKUP(J421,Dominios!$A$2:$B$30,2,FALSE)</f>
        <v>jorge.palacios1956@vpncolombia.com.co</v>
      </c>
      <c r="L421" s="13">
        <v>19</v>
      </c>
      <c r="M421">
        <f>VLOOKUP(L421,Celulares!$A$2:$B$30,2,FALSE)</f>
        <v>3115092352</v>
      </c>
    </row>
    <row r="422" spans="1:13" ht="15.75" customHeight="1" x14ac:dyDescent="0.25">
      <c r="A422" t="s">
        <v>2399</v>
      </c>
      <c r="B422" s="2" t="s">
        <v>483</v>
      </c>
      <c r="C422" s="2" t="s">
        <v>341</v>
      </c>
      <c r="D422" s="2" t="s">
        <v>790</v>
      </c>
      <c r="E422" s="2" t="s">
        <v>813</v>
      </c>
      <c r="F422" s="6">
        <v>24315</v>
      </c>
      <c r="G422" s="16">
        <f t="shared" ca="1" si="6"/>
        <v>54.972602739726028</v>
      </c>
      <c r="H422" s="2" t="s">
        <v>575</v>
      </c>
      <c r="I422" t="str" cm="1">
        <f t="array" ref="I422">ADAPTAR(B422)&amp;ADAPTAR(C422)&amp;"_"&amp;ADAPTAR(E422)&amp;F422</f>
        <v>josejuan_galindo24315</v>
      </c>
      <c r="J422" s="13">
        <v>0</v>
      </c>
      <c r="K422" t="str" cm="1">
        <f t="array" ref="K422">ADAPTAR(B422)&amp;"."&amp;ADAPTAR(D422)&amp;YEAR(F422)&amp;"@"&amp;VLOOKUP(J422,Dominios!$A$2:$B$30,2,FALSE)</f>
        <v>jose.gil1966@auribus.com.co</v>
      </c>
      <c r="L422" s="13">
        <v>0</v>
      </c>
      <c r="M422">
        <f>VLOOKUP(L422,Celulares!$A$2:$B$30,2,FALSE)</f>
        <v>3115114930</v>
      </c>
    </row>
    <row r="423" spans="1:13" ht="15.75" customHeight="1" x14ac:dyDescent="0.25">
      <c r="A423" t="s">
        <v>2400</v>
      </c>
      <c r="B423" s="2" t="s">
        <v>488</v>
      </c>
      <c r="C423" s="2" t="s">
        <v>330</v>
      </c>
      <c r="D423" s="2" t="s">
        <v>775</v>
      </c>
      <c r="E423" s="2" t="s">
        <v>767</v>
      </c>
      <c r="F423" s="6">
        <v>22306</v>
      </c>
      <c r="G423" s="16">
        <f t="shared" ca="1" si="6"/>
        <v>60.476712328767121</v>
      </c>
      <c r="H423" s="2" t="s">
        <v>588</v>
      </c>
      <c r="I423" t="str" cm="1">
        <f t="array" ref="I423">ADAPTAR(B423)&amp;ADAPTAR(C423)&amp;"_"&amp;ADAPTAR(E423)&amp;F423</f>
        <v>julianandres_toro22306</v>
      </c>
      <c r="J423" s="13">
        <v>1</v>
      </c>
      <c r="K423" t="str" cm="1">
        <f t="array" ref="K423">ADAPTAR(B423)&amp;"."&amp;ADAPTAR(D423)&amp;YEAR(F423)&amp;"@"&amp;VLOOKUP(J423,Dominios!$A$2:$B$30,2,FALSE)</f>
        <v>julian.bermudez1961@colamus.co</v>
      </c>
      <c r="L423" s="13">
        <v>1</v>
      </c>
      <c r="M423">
        <f>VLOOKUP(L423,Celulares!$A$2:$B$30,2,FALSE)</f>
        <v>3115114916</v>
      </c>
    </row>
    <row r="424" spans="1:13" ht="15.75" customHeight="1" x14ac:dyDescent="0.25">
      <c r="A424" t="s">
        <v>2401</v>
      </c>
      <c r="B424" s="2" t="s">
        <v>371</v>
      </c>
      <c r="C424" s="2" t="s">
        <v>1157</v>
      </c>
      <c r="D424" s="2" t="s">
        <v>735</v>
      </c>
      <c r="E424" s="2" t="s">
        <v>801</v>
      </c>
      <c r="F424" s="6">
        <v>33256</v>
      </c>
      <c r="G424" s="16">
        <f t="shared" ca="1" si="6"/>
        <v>30.476712328767125</v>
      </c>
      <c r="H424" s="2" t="s">
        <v>554</v>
      </c>
      <c r="I424" t="str" cm="1">
        <f t="array" ref="I424">ADAPTAR(B424)&amp;ADAPTAR(C424)&amp;"_"&amp;ADAPTAR(E424)&amp;F424</f>
        <v>juliostiven_mesa33256</v>
      </c>
      <c r="J424" s="13">
        <v>2</v>
      </c>
      <c r="K424" t="str" cm="1">
        <f t="array" ref="K424">ADAPTAR(B424)&amp;"."&amp;ADAPTAR(D424)&amp;YEAR(F424)&amp;"@"&amp;VLOOKUP(J424,Dominios!$A$2:$B$30,2,FALSE)</f>
        <v>julio.romero1991@colombiamail.co</v>
      </c>
      <c r="L424" s="13">
        <v>2</v>
      </c>
      <c r="M424">
        <f>VLOOKUP(L424,Celulares!$A$2:$B$30,2,FALSE)</f>
        <v>3115114911</v>
      </c>
    </row>
    <row r="425" spans="1:13" ht="15.75" customHeight="1" x14ac:dyDescent="0.25">
      <c r="A425" t="s">
        <v>2402</v>
      </c>
      <c r="B425" s="2" t="s">
        <v>341</v>
      </c>
      <c r="C425" s="2" t="s">
        <v>439</v>
      </c>
      <c r="D425" s="2" t="s">
        <v>840</v>
      </c>
      <c r="E425" s="2" t="s">
        <v>841</v>
      </c>
      <c r="F425" s="6">
        <v>25609</v>
      </c>
      <c r="G425" s="16">
        <f t="shared" ca="1" si="6"/>
        <v>51.42739726027397</v>
      </c>
      <c r="H425" s="2" t="s">
        <v>1391</v>
      </c>
      <c r="I425" t="str" cm="1">
        <f t="array" ref="I425">ADAPTAR(B425)&amp;ADAPTAR(C425)&amp;"_"&amp;ADAPTAR(E425)&amp;F425</f>
        <v>juanleonardo_galvis25609</v>
      </c>
      <c r="J425" s="13">
        <v>3</v>
      </c>
      <c r="K425" t="str" cm="1">
        <f t="array" ref="K425">ADAPTAR(B425)&amp;"."&amp;ADAPTAR(D425)&amp;YEAR(F425)&amp;"@"&amp;VLOOKUP(J425,Dominios!$A$2:$B$30,2,FALSE)</f>
        <v>juan.duque1970@diabunter.co</v>
      </c>
      <c r="L425" s="13">
        <v>3</v>
      </c>
      <c r="M425">
        <f>VLOOKUP(L425,Celulares!$A$2:$B$30,2,FALSE)</f>
        <v>3115114910</v>
      </c>
    </row>
    <row r="426" spans="1:13" ht="15.75" customHeight="1" x14ac:dyDescent="0.25">
      <c r="A426" t="s">
        <v>2403</v>
      </c>
      <c r="B426" s="2" t="s">
        <v>1158</v>
      </c>
      <c r="C426" s="2" t="s">
        <v>349</v>
      </c>
      <c r="D426" s="2" t="s">
        <v>761</v>
      </c>
      <c r="E426" s="2" t="s">
        <v>775</v>
      </c>
      <c r="F426" s="6">
        <v>29818</v>
      </c>
      <c r="G426" s="16">
        <f t="shared" ca="1" si="6"/>
        <v>39.895890410958906</v>
      </c>
      <c r="H426" s="2" t="s">
        <v>1351</v>
      </c>
      <c r="I426" t="str" cm="1">
        <f t="array" ref="I426">ADAPTAR(B426)&amp;ADAPTAR(C426)&amp;"_"&amp;ADAPTAR(E426)&amp;F426</f>
        <v>lorenzocamilo_bermudez29818</v>
      </c>
      <c r="J426" s="13">
        <v>4</v>
      </c>
      <c r="K426" t="str" cm="1">
        <f t="array" ref="K426">ADAPTAR(B426)&amp;"."&amp;ADAPTAR(D426)&amp;YEAR(F426)&amp;"@"&amp;VLOOKUP(J426,Dominios!$A$2:$B$30,2,FALSE)</f>
        <v>lorenzo.montoya1981@ebrietas.co</v>
      </c>
      <c r="L426" s="13">
        <v>4</v>
      </c>
      <c r="M426">
        <f>VLOOKUP(L426,Celulares!$A$2:$B$30,2,FALSE)</f>
        <v>3115114909</v>
      </c>
    </row>
    <row r="427" spans="1:13" ht="15.75" customHeight="1" x14ac:dyDescent="0.25">
      <c r="A427" t="s">
        <v>2404</v>
      </c>
      <c r="B427" s="2" t="s">
        <v>883</v>
      </c>
      <c r="C427" s="2" t="s">
        <v>353</v>
      </c>
      <c r="D427" s="2" t="s">
        <v>823</v>
      </c>
      <c r="E427" s="2" t="s">
        <v>708</v>
      </c>
      <c r="F427" s="6">
        <v>31033</v>
      </c>
      <c r="G427" s="16">
        <f t="shared" ca="1" si="6"/>
        <v>36.56712328767123</v>
      </c>
      <c r="H427" s="2" t="s">
        <v>580</v>
      </c>
      <c r="I427" t="str" cm="1">
        <f t="array" ref="I427">ADAPTAR(B427)&amp;ADAPTAR(C427)&amp;"_"&amp;ADAPTAR(E427)&amp;F427</f>
        <v>lucassantiago_arango31033</v>
      </c>
      <c r="J427" s="13">
        <v>5</v>
      </c>
      <c r="K427" t="str" cm="1">
        <f t="array" ref="K427">ADAPTAR(B427)&amp;"."&amp;ADAPTAR(D427)&amp;YEAR(F427)&amp;"@"&amp;VLOOKUP(J427,Dominios!$A$2:$B$30,2,FALSE)</f>
        <v>lucas.rivera1984@elsinsonte.co</v>
      </c>
      <c r="L427" s="13">
        <v>5</v>
      </c>
      <c r="M427">
        <f>VLOOKUP(L427,Celulares!$A$2:$B$30,2,FALSE)</f>
        <v>3115060130</v>
      </c>
    </row>
    <row r="428" spans="1:13" ht="15.75" customHeight="1" x14ac:dyDescent="0.25">
      <c r="A428" t="s">
        <v>2405</v>
      </c>
      <c r="B428" s="2" t="s">
        <v>431</v>
      </c>
      <c r="C428" s="2" t="s">
        <v>481</v>
      </c>
      <c r="D428" s="2" t="s">
        <v>741</v>
      </c>
      <c r="E428" s="2" t="s">
        <v>750</v>
      </c>
      <c r="F428" s="6">
        <v>31719</v>
      </c>
      <c r="G428" s="16">
        <f t="shared" ca="1" si="6"/>
        <v>34.68767123287671</v>
      </c>
      <c r="H428" s="2" t="s">
        <v>1332</v>
      </c>
      <c r="I428" t="str" cm="1">
        <f t="array" ref="I428">ADAPTAR(B428)&amp;ADAPTAR(C428)&amp;"_"&amp;ADAPTAR(E428)&amp;F428</f>
        <v>luismanuel_cardona31719</v>
      </c>
      <c r="J428" s="13">
        <v>6</v>
      </c>
      <c r="K428" t="str" cm="1">
        <f t="array" ref="K428">ADAPTAR(B428)&amp;"."&amp;ADAPTAR(D428)&amp;YEAR(F428)&amp;"@"&amp;VLOOKUP(J428,Dominios!$A$2:$B$30,2,FALSE)</f>
        <v>luis.caro1986@enigmaserver.co</v>
      </c>
      <c r="L428" s="13">
        <v>6</v>
      </c>
      <c r="M428">
        <f>VLOOKUP(L428,Celulares!$A$2:$B$30,2,FALSE)</f>
        <v>3115060125</v>
      </c>
    </row>
    <row r="429" spans="1:13" ht="15.75" customHeight="1" x14ac:dyDescent="0.25">
      <c r="A429" t="s">
        <v>2406</v>
      </c>
      <c r="B429" s="2" t="s">
        <v>1095</v>
      </c>
      <c r="C429" s="2" t="s">
        <v>330</v>
      </c>
      <c r="D429" s="2" t="s">
        <v>732</v>
      </c>
      <c r="E429" s="2" t="s">
        <v>247</v>
      </c>
      <c r="F429" s="6">
        <v>29090</v>
      </c>
      <c r="G429" s="16">
        <f t="shared" ca="1" si="6"/>
        <v>41.890410958904113</v>
      </c>
      <c r="H429" s="2" t="s">
        <v>557</v>
      </c>
      <c r="I429" t="str" cm="1">
        <f t="array" ref="I429">ADAPTAR(B429)&amp;ADAPTAR(C429)&amp;"_"&amp;ADAPTAR(E429)&amp;F429</f>
        <v>marcosandres_zapata29090</v>
      </c>
      <c r="J429" s="13">
        <v>7</v>
      </c>
      <c r="K429" t="str" cm="1">
        <f t="array" ref="K429">ADAPTAR(B429)&amp;"."&amp;ADAPTAR(D429)&amp;YEAR(F429)&amp;"@"&amp;VLOOKUP(J429,Dominios!$A$2:$B$30,2,FALSE)</f>
        <v>marcos.pinzon1979@hocknas.co</v>
      </c>
      <c r="L429" s="13">
        <v>7</v>
      </c>
      <c r="M429">
        <f>VLOOKUP(L429,Celulares!$A$2:$B$30,2,FALSE)</f>
        <v>3115060110</v>
      </c>
    </row>
    <row r="430" spans="1:13" ht="15.75" customHeight="1" x14ac:dyDescent="0.25">
      <c r="A430" t="s">
        <v>2407</v>
      </c>
      <c r="B430" s="2" t="s">
        <v>662</v>
      </c>
      <c r="C430" s="2" t="s">
        <v>432</v>
      </c>
      <c r="D430" s="2" t="s">
        <v>456</v>
      </c>
      <c r="E430" s="2" t="s">
        <v>783</v>
      </c>
      <c r="F430" s="6">
        <v>27236</v>
      </c>
      <c r="G430" s="16">
        <f t="shared" ca="1" si="6"/>
        <v>46.969863013698628</v>
      </c>
      <c r="H430" s="2" t="s">
        <v>1368</v>
      </c>
      <c r="I430" t="str" cm="1">
        <f t="array" ref="I430">ADAPTAR(B430)&amp;ADAPTAR(C430)&amp;"_"&amp;ADAPTAR(E430)&amp;F430</f>
        <v>marioantonio_pena27236</v>
      </c>
      <c r="J430" s="13">
        <v>8</v>
      </c>
      <c r="K430" t="str" cm="1">
        <f t="array" ref="K430">ADAPTAR(B430)&amp;"."&amp;ADAPTAR(D430)&amp;YEAR(F430)&amp;"@"&amp;VLOOKUP(J430,Dominios!$A$2:$B$30,2,FALSE)</f>
        <v>mario.alvarez1974@hostedoceri.co</v>
      </c>
      <c r="L430" s="13">
        <v>8</v>
      </c>
      <c r="M430">
        <f>VLOOKUP(L430,Celulares!$A$2:$B$30,2,FALSE)</f>
        <v>3115060091</v>
      </c>
    </row>
    <row r="431" spans="1:13" ht="15.75" customHeight="1" x14ac:dyDescent="0.25">
      <c r="A431" t="s">
        <v>2408</v>
      </c>
      <c r="B431" s="2" t="s">
        <v>399</v>
      </c>
      <c r="C431" s="2" t="s">
        <v>1099</v>
      </c>
      <c r="D431" s="2" t="s">
        <v>766</v>
      </c>
      <c r="E431" s="2" t="s">
        <v>681</v>
      </c>
      <c r="F431" s="6">
        <v>27582</v>
      </c>
      <c r="G431" s="16">
        <f t="shared" ca="1" si="6"/>
        <v>46.021917808219179</v>
      </c>
      <c r="H431" s="2" t="s">
        <v>1396</v>
      </c>
      <c r="I431" t="str" cm="1">
        <f t="array" ref="I431">ADAPTAR(B431)&amp;ADAPTAR(C431)&amp;"_"&amp;ADAPTAR(E431)&amp;F431</f>
        <v>pedromartin_reyes27582</v>
      </c>
      <c r="J431" s="13">
        <v>9</v>
      </c>
      <c r="K431" t="str" cm="1">
        <f t="array" ref="K431">ADAPTAR(B431)&amp;"."&amp;ADAPTAR(D431)&amp;YEAR(F431)&amp;"@"&amp;VLOOKUP(J431,Dominios!$A$2:$B$30,2,FALSE)</f>
        <v>pedro.melo1975@libertas.com.co</v>
      </c>
      <c r="L431" s="13">
        <v>9</v>
      </c>
      <c r="M431">
        <f>VLOOKUP(L431,Celulares!$A$2:$B$30,2,FALSE)</f>
        <v>3115060080</v>
      </c>
    </row>
    <row r="432" spans="1:13" ht="15.75" customHeight="1" x14ac:dyDescent="0.25">
      <c r="A432" t="s">
        <v>2409</v>
      </c>
      <c r="B432" s="2" t="s">
        <v>341</v>
      </c>
      <c r="C432" s="2" t="s">
        <v>1123</v>
      </c>
      <c r="D432" s="2" t="s">
        <v>773</v>
      </c>
      <c r="E432" s="2" t="s">
        <v>835</v>
      </c>
      <c r="F432" s="6">
        <v>29033</v>
      </c>
      <c r="G432" s="16">
        <f t="shared" ca="1" si="6"/>
        <v>42.046575342465751</v>
      </c>
      <c r="H432" s="2" t="s">
        <v>1408</v>
      </c>
      <c r="I432" t="str" cm="1">
        <f t="array" ref="I432">ADAPTAR(B432)&amp;ADAPTAR(C432)&amp;"_"&amp;ADAPTAR(E432)&amp;F432</f>
        <v>juanmateo_henao29033</v>
      </c>
      <c r="J432" s="13">
        <v>10</v>
      </c>
      <c r="K432" t="str" cm="1">
        <f t="array" ref="K432">ADAPTAR(B432)&amp;"."&amp;ADAPTAR(D432)&amp;YEAR(F432)&amp;"@"&amp;VLOOKUP(J432,Dominios!$A$2:$B$30,2,FALSE)</f>
        <v>juan.cabrera1979@nascitur.com.co</v>
      </c>
      <c r="L432" s="13">
        <v>10</v>
      </c>
      <c r="M432">
        <f>VLOOKUP(L432,Celulares!$A$2:$B$30,2,FALSE)</f>
        <v>3115114385</v>
      </c>
    </row>
    <row r="433" spans="1:13" ht="15.75" customHeight="1" x14ac:dyDescent="0.25">
      <c r="A433" t="s">
        <v>2410</v>
      </c>
      <c r="B433" s="2" t="s">
        <v>399</v>
      </c>
      <c r="C433" s="2" t="s">
        <v>880</v>
      </c>
      <c r="D433" s="2" t="s">
        <v>820</v>
      </c>
      <c r="E433" s="2" t="s">
        <v>791</v>
      </c>
      <c r="F433" s="6">
        <v>30319</v>
      </c>
      <c r="G433" s="16">
        <f t="shared" ca="1" si="6"/>
        <v>38.523287671232879</v>
      </c>
      <c r="H433" s="2" t="s">
        <v>609</v>
      </c>
      <c r="I433" t="str" cm="1">
        <f t="array" ref="I433">ADAPTAR(B433)&amp;ADAPTAR(C433)&amp;"_"&amp;ADAPTAR(E433)&amp;F433</f>
        <v>pedromiguel_gomez30319</v>
      </c>
      <c r="J433" s="13">
        <v>11</v>
      </c>
      <c r="K433" t="str" cm="1">
        <f t="array" ref="K433">ADAPTAR(B433)&amp;"."&amp;ADAPTAR(D433)&amp;YEAR(F433)&amp;"@"&amp;VLOOKUP(J433,Dominios!$A$2:$B$30,2,FALSE)</f>
        <v>pedro.duarte1983@nemesis.ml</v>
      </c>
      <c r="L433" s="13">
        <v>11</v>
      </c>
      <c r="M433">
        <f>VLOOKUP(L433,Celulares!$A$2:$B$30,2,FALSE)</f>
        <v>3115114360</v>
      </c>
    </row>
    <row r="434" spans="1:13" ht="15.75" customHeight="1" x14ac:dyDescent="0.25">
      <c r="A434" t="s">
        <v>2411</v>
      </c>
      <c r="B434" s="2" t="s">
        <v>1159</v>
      </c>
      <c r="C434" s="2" t="s">
        <v>1147</v>
      </c>
      <c r="D434" s="2" t="s">
        <v>141</v>
      </c>
      <c r="E434" s="2" t="s">
        <v>778</v>
      </c>
      <c r="F434" s="6">
        <v>21142</v>
      </c>
      <c r="G434" s="16">
        <f t="shared" ca="1" si="6"/>
        <v>63.665753424657531</v>
      </c>
      <c r="H434" s="2" t="s">
        <v>546</v>
      </c>
      <c r="I434" t="str" cm="1">
        <f t="array" ref="I434">ADAPTAR(B434)&amp;ADAPTAR(C434)&amp;"_"&amp;ADAPTAR(E434)&amp;F434</f>
        <v>nestorhumberto_arevalo21142</v>
      </c>
      <c r="J434" s="13">
        <v>12</v>
      </c>
      <c r="K434" t="str" cm="1">
        <f t="array" ref="K434">ADAPTAR(B434)&amp;"."&amp;ADAPTAR(D434)&amp;YEAR(F434)&amp;"@"&amp;VLOOKUP(J434,Dominios!$A$2:$B$30,2,FALSE)</f>
        <v>nestor.galeano1957@nunquam.com.co</v>
      </c>
      <c r="L434" s="13">
        <v>12</v>
      </c>
      <c r="M434">
        <f>VLOOKUP(L434,Celulares!$A$2:$B$30,2,FALSE)</f>
        <v>3115093653</v>
      </c>
    </row>
    <row r="435" spans="1:13" ht="15.75" customHeight="1" x14ac:dyDescent="0.25">
      <c r="A435" t="s">
        <v>2412</v>
      </c>
      <c r="B435" s="2" t="s">
        <v>359</v>
      </c>
      <c r="C435" s="2" t="s">
        <v>330</v>
      </c>
      <c r="D435" s="2" t="s">
        <v>807</v>
      </c>
      <c r="E435" s="2" t="s">
        <v>792</v>
      </c>
      <c r="F435" s="6">
        <v>34668</v>
      </c>
      <c r="G435" s="16">
        <f t="shared" ca="1" si="6"/>
        <v>26.608219178082191</v>
      </c>
      <c r="H435" s="2" t="s">
        <v>1167</v>
      </c>
      <c r="I435" t="str" cm="1">
        <f t="array" ref="I435">ADAPTAR(B435)&amp;ADAPTAR(C435)&amp;"_"&amp;ADAPTAR(E435)&amp;F435</f>
        <v>sergioandres_blanco34668</v>
      </c>
      <c r="J435" s="13">
        <v>13</v>
      </c>
      <c r="K435" t="str" cm="1">
        <f t="array" ref="K435">ADAPTAR(B435)&amp;"."&amp;ADAPTAR(D435)&amp;YEAR(F435)&amp;"@"&amp;VLOOKUP(J435,Dominios!$A$2:$B$30,2,FALSE)</f>
        <v>sergio.ariza1994@sempiternam.co</v>
      </c>
      <c r="L435" s="13">
        <v>13</v>
      </c>
      <c r="M435">
        <f>VLOOKUP(L435,Celulares!$A$2:$B$30,2,FALSE)</f>
        <v>3115093598</v>
      </c>
    </row>
    <row r="436" spans="1:13" ht="15.75" customHeight="1" x14ac:dyDescent="0.25">
      <c r="A436" t="s">
        <v>2413</v>
      </c>
      <c r="B436" s="2" t="s">
        <v>341</v>
      </c>
      <c r="C436" s="2" t="s">
        <v>421</v>
      </c>
      <c r="D436" s="2" t="s">
        <v>297</v>
      </c>
      <c r="E436" s="2" t="s">
        <v>847</v>
      </c>
      <c r="F436" s="6">
        <v>29690</v>
      </c>
      <c r="G436" s="16">
        <f t="shared" ca="1" si="6"/>
        <v>40.246575342465754</v>
      </c>
      <c r="H436" s="2" t="s">
        <v>569</v>
      </c>
      <c r="I436" t="str" cm="1">
        <f t="array" ref="I436">ADAPTAR(B436)&amp;ADAPTAR(C436)&amp;"_"&amp;ADAPTAR(E436)&amp;F436</f>
        <v>juannicolas_uribe29690</v>
      </c>
      <c r="J436" s="13">
        <v>14</v>
      </c>
      <c r="K436" t="str" cm="1">
        <f t="array" ref="K436">ADAPTAR(B436)&amp;"."&amp;ADAPTAR(D436)&amp;YEAR(F436)&amp;"@"&amp;VLOOKUP(J436,Dominios!$A$2:$B$30,2,FALSE)</f>
        <v>juan.trujillo1981@sk9.co</v>
      </c>
      <c r="L436" s="13">
        <v>14</v>
      </c>
      <c r="M436">
        <f>VLOOKUP(L436,Celulares!$A$2:$B$30,2,FALSE)</f>
        <v>3115093583</v>
      </c>
    </row>
    <row r="437" spans="1:13" ht="15.75" customHeight="1" x14ac:dyDescent="0.25">
      <c r="A437" t="s">
        <v>2414</v>
      </c>
      <c r="B437" s="2" t="s">
        <v>1127</v>
      </c>
      <c r="C437" s="2" t="s">
        <v>1136</v>
      </c>
      <c r="D437" s="2" t="s">
        <v>795</v>
      </c>
      <c r="E437" s="2" t="s">
        <v>141</v>
      </c>
      <c r="F437" s="6">
        <v>26163</v>
      </c>
      <c r="G437" s="16">
        <f t="shared" ca="1" si="6"/>
        <v>49.909589041095892</v>
      </c>
      <c r="H437" s="2" t="s">
        <v>615</v>
      </c>
      <c r="I437" t="str" cm="1">
        <f t="array" ref="I437">ADAPTAR(B437)&amp;ADAPTAR(C437)&amp;"_"&amp;ADAPTAR(E437)&amp;F437</f>
        <v>noahsamuel_galeano26163</v>
      </c>
      <c r="J437" s="13">
        <v>15</v>
      </c>
      <c r="K437" t="str" cm="1">
        <f t="array" ref="K437">ADAPTAR(B437)&amp;"."&amp;ADAPTAR(D437)&amp;YEAR(F437)&amp;"@"&amp;VLOOKUP(J437,Dominios!$A$2:$B$30,2,FALSE)</f>
        <v>noah.hoyos1971@socialmediacolombia.com.co</v>
      </c>
      <c r="L437" s="13">
        <v>15</v>
      </c>
      <c r="M437">
        <f>VLOOKUP(L437,Celulares!$A$2:$B$30,2,FALSE)</f>
        <v>3115092386</v>
      </c>
    </row>
    <row r="438" spans="1:13" ht="15.75" customHeight="1" x14ac:dyDescent="0.25">
      <c r="A438" t="s">
        <v>2415</v>
      </c>
      <c r="B438" s="2" t="s">
        <v>866</v>
      </c>
      <c r="C438" s="2" t="s">
        <v>330</v>
      </c>
      <c r="D438" s="2" t="s">
        <v>725</v>
      </c>
      <c r="E438" s="2" t="s">
        <v>825</v>
      </c>
      <c r="F438" s="6">
        <v>35486</v>
      </c>
      <c r="G438" s="16">
        <f t="shared" ca="1" si="6"/>
        <v>24.367123287671234</v>
      </c>
      <c r="H438" s="2" t="s">
        <v>1359</v>
      </c>
      <c r="I438" t="str" cm="1">
        <f t="array" ref="I438">ADAPTAR(B438)&amp;ADAPTAR(C438)&amp;"_"&amp;ADAPTAR(E438)&amp;F438</f>
        <v>omarandres_moreno35486</v>
      </c>
      <c r="J438" s="13">
        <v>16</v>
      </c>
      <c r="K438" t="str" cm="1">
        <f t="array" ref="K438">ADAPTAR(B438)&amp;"."&amp;ADAPTAR(D438)&amp;YEAR(F438)&amp;"@"&amp;VLOOKUP(J438,Dominios!$A$2:$B$30,2,FALSE)</f>
        <v>omar.ochoa1997@tecnicoensistemas.com.co</v>
      </c>
      <c r="L438" s="13">
        <v>16</v>
      </c>
      <c r="M438">
        <f>VLOOKUP(L438,Celulares!$A$2:$B$30,2,FALSE)</f>
        <v>3115092375</v>
      </c>
    </row>
    <row r="439" spans="1:13" ht="15.75" customHeight="1" x14ac:dyDescent="0.25">
      <c r="A439" t="s">
        <v>2416</v>
      </c>
      <c r="B439" s="2" t="s">
        <v>401</v>
      </c>
      <c r="C439" s="2" t="s">
        <v>889</v>
      </c>
      <c r="D439" s="2" t="s">
        <v>796</v>
      </c>
      <c r="E439" s="2" t="s">
        <v>802</v>
      </c>
      <c r="F439" s="6">
        <v>27386</v>
      </c>
      <c r="G439" s="16">
        <f t="shared" ca="1" si="6"/>
        <v>46.558904109589044</v>
      </c>
      <c r="H439" s="2" t="s">
        <v>610</v>
      </c>
      <c r="I439" t="str" cm="1">
        <f t="array" ref="I439">ADAPTAR(B439)&amp;ADAPTAR(C439)&amp;"_"&amp;ADAPTAR(E439)&amp;F439</f>
        <v>oscaralonso_castro27386</v>
      </c>
      <c r="J439" s="13">
        <v>17</v>
      </c>
      <c r="K439" t="str" cm="1">
        <f t="array" ref="K439">ADAPTAR(B439)&amp;"."&amp;ADAPTAR(D439)&amp;YEAR(F439)&amp;"@"&amp;VLOOKUP(J439,Dominios!$A$2:$B$30,2,FALSE)</f>
        <v>oscar.arboleda1974@totum.com.co</v>
      </c>
      <c r="L439" s="13">
        <v>17</v>
      </c>
      <c r="M439">
        <f>VLOOKUP(L439,Celulares!$A$2:$B$30,2,FALSE)</f>
        <v>3115092369</v>
      </c>
    </row>
    <row r="440" spans="1:13" ht="15.75" customHeight="1" x14ac:dyDescent="0.25">
      <c r="A440" t="s">
        <v>2417</v>
      </c>
      <c r="B440" s="2" t="s">
        <v>1160</v>
      </c>
      <c r="C440" s="2" t="s">
        <v>1161</v>
      </c>
      <c r="D440" s="2" t="s">
        <v>794</v>
      </c>
      <c r="E440" s="2" t="s">
        <v>741</v>
      </c>
      <c r="F440" s="6">
        <v>34309</v>
      </c>
      <c r="G440" s="16">
        <f t="shared" ca="1" si="6"/>
        <v>27.591780821917808</v>
      </c>
      <c r="H440" s="2" t="s">
        <v>1347</v>
      </c>
      <c r="I440" t="str" cm="1">
        <f t="array" ref="I440">ADAPTAR(B440)&amp;ADAPTAR(C440)&amp;"_"&amp;ADAPTAR(E440)&amp;F440</f>
        <v>pascualde jesus_caro34309</v>
      </c>
      <c r="J440" s="13">
        <v>18</v>
      </c>
      <c r="K440" t="str" cm="1">
        <f t="array" ref="K440">ADAPTAR(B440)&amp;"."&amp;ADAPTAR(D440)&amp;YEAR(F440)&amp;"@"&amp;VLOOKUP(J440,Dominios!$A$2:$B$30,2,FALSE)</f>
        <v>pascual.sarmiento1993@voipcolombia.co</v>
      </c>
      <c r="L440" s="13">
        <v>18</v>
      </c>
      <c r="M440">
        <f>VLOOKUP(L440,Celulares!$A$2:$B$30,2,FALSE)</f>
        <v>3115092360</v>
      </c>
    </row>
    <row r="441" spans="1:13" ht="15.75" customHeight="1" x14ac:dyDescent="0.25">
      <c r="A441" t="s">
        <v>2418</v>
      </c>
      <c r="B441" s="2" t="s">
        <v>399</v>
      </c>
      <c r="C441" s="2" t="s">
        <v>432</v>
      </c>
      <c r="D441" s="2" t="s">
        <v>61</v>
      </c>
      <c r="E441" s="2" t="s">
        <v>671</v>
      </c>
      <c r="F441" s="6">
        <v>36896</v>
      </c>
      <c r="G441" s="16">
        <f t="shared" ca="1" si="6"/>
        <v>20.504109589041096</v>
      </c>
      <c r="H441" s="2" t="s">
        <v>562</v>
      </c>
      <c r="I441" t="str" cm="1">
        <f t="array" ref="I441">ADAPTAR(B441)&amp;ADAPTAR(C441)&amp;"_"&amp;ADAPTAR(E441)&amp;F441</f>
        <v>pedroantonio_guzman36896</v>
      </c>
      <c r="J441" s="13">
        <v>19</v>
      </c>
      <c r="K441" t="str" cm="1">
        <f t="array" ref="K441">ADAPTAR(B441)&amp;"."&amp;ADAPTAR(D441)&amp;YEAR(F441)&amp;"@"&amp;VLOOKUP(J441,Dominios!$A$2:$B$30,2,FALSE)</f>
        <v>pedro.ruiz2001@vpncolombia.com.co</v>
      </c>
      <c r="L441" s="13">
        <v>19</v>
      </c>
      <c r="M441">
        <f>VLOOKUP(L441,Celulares!$A$2:$B$30,2,FALSE)</f>
        <v>3115092352</v>
      </c>
    </row>
    <row r="442" spans="1:13" ht="15.75" customHeight="1" x14ac:dyDescent="0.25">
      <c r="A442" t="s">
        <v>2419</v>
      </c>
      <c r="B442" s="2" t="s">
        <v>655</v>
      </c>
      <c r="C442" s="2" t="s">
        <v>649</v>
      </c>
      <c r="D442" s="2" t="s">
        <v>724</v>
      </c>
      <c r="E442" s="2" t="s">
        <v>804</v>
      </c>
      <c r="F442" s="6">
        <v>34430</v>
      </c>
      <c r="G442" s="16">
        <f t="shared" ca="1" si="6"/>
        <v>27.260273972602739</v>
      </c>
      <c r="H442" s="2" t="s">
        <v>579</v>
      </c>
      <c r="I442" t="str" cm="1">
        <f t="array" ref="I442">ADAPTAR(B442)&amp;ADAPTAR(C442)&amp;"_"&amp;ADAPTAR(E442)&amp;F442</f>
        <v>rafaelarturo_miranda34430</v>
      </c>
      <c r="J442" s="13">
        <v>0</v>
      </c>
      <c r="K442" t="str" cm="1">
        <f t="array" ref="K442">ADAPTAR(B442)&amp;"."&amp;ADAPTAR(D442)&amp;YEAR(F442)&amp;"@"&amp;VLOOKUP(J442,Dominios!$A$2:$B$30,2,FALSE)</f>
        <v>rafael.solano1994@auribus.com.co</v>
      </c>
      <c r="L442" s="13">
        <v>0</v>
      </c>
      <c r="M442">
        <f>VLOOKUP(L442,Celulares!$A$2:$B$30,2,FALSE)</f>
        <v>3115114930</v>
      </c>
    </row>
    <row r="443" spans="1:13" ht="15.75" customHeight="1" x14ac:dyDescent="0.25">
      <c r="A443" t="s">
        <v>2420</v>
      </c>
      <c r="B443" s="2" t="s">
        <v>659</v>
      </c>
      <c r="C443" s="2" t="s">
        <v>486</v>
      </c>
      <c r="D443" s="2" t="s">
        <v>813</v>
      </c>
      <c r="E443" s="2" t="s">
        <v>833</v>
      </c>
      <c r="F443" s="6">
        <v>24045</v>
      </c>
      <c r="G443" s="16">
        <f t="shared" ca="1" si="6"/>
        <v>55.712328767123289</v>
      </c>
      <c r="H443" s="2" t="s">
        <v>536</v>
      </c>
      <c r="I443" t="str" cm="1">
        <f t="array" ref="I443">ADAPTAR(B443)&amp;ADAPTAR(C443)&amp;"_"&amp;ADAPTAR(E443)&amp;F443</f>
        <v>raulricardo_loaiza24045</v>
      </c>
      <c r="J443" s="13">
        <v>1</v>
      </c>
      <c r="K443" t="str" cm="1">
        <f t="array" ref="K443">ADAPTAR(B443)&amp;"."&amp;ADAPTAR(D443)&amp;YEAR(F443)&amp;"@"&amp;VLOOKUP(J443,Dominios!$A$2:$B$30,2,FALSE)</f>
        <v>raul.galindo1965@colamus.co</v>
      </c>
      <c r="L443" s="13">
        <v>1</v>
      </c>
      <c r="M443">
        <f>VLOOKUP(L443,Celulares!$A$2:$B$30,2,FALSE)</f>
        <v>3115114916</v>
      </c>
    </row>
    <row r="444" spans="1:13" ht="15.75" customHeight="1" x14ac:dyDescent="0.25">
      <c r="A444" t="s">
        <v>2421</v>
      </c>
      <c r="B444" s="2" t="s">
        <v>483</v>
      </c>
      <c r="C444" s="2" t="s">
        <v>669</v>
      </c>
      <c r="D444" s="2" t="s">
        <v>748</v>
      </c>
      <c r="E444" s="2" t="s">
        <v>781</v>
      </c>
      <c r="F444" s="6">
        <v>25761</v>
      </c>
      <c r="G444" s="16">
        <f t="shared" ca="1" si="6"/>
        <v>51.010958904109586</v>
      </c>
      <c r="H444" s="2" t="s">
        <v>580</v>
      </c>
      <c r="I444" t="str" cm="1">
        <f t="array" ref="I444">ADAPTAR(B444)&amp;ADAPTAR(C444)&amp;"_"&amp;ADAPTAR(E444)&amp;F444</f>
        <v>josealfredo_guerra25761</v>
      </c>
      <c r="J444" s="13">
        <v>2</v>
      </c>
      <c r="K444" t="str" cm="1">
        <f t="array" ref="K444">ADAPTAR(B444)&amp;"."&amp;ADAPTAR(D444)&amp;YEAR(F444)&amp;"@"&amp;VLOOKUP(J444,Dominios!$A$2:$B$30,2,FALSE)</f>
        <v>jose.gutierrez1970@colombiamail.co</v>
      </c>
      <c r="L444" s="13">
        <v>2</v>
      </c>
      <c r="M444">
        <f>VLOOKUP(L444,Celulares!$A$2:$B$30,2,FALSE)</f>
        <v>3115114911</v>
      </c>
    </row>
    <row r="445" spans="1:13" ht="15.75" customHeight="1" x14ac:dyDescent="0.25">
      <c r="A445" t="s">
        <v>2422</v>
      </c>
      <c r="B445" s="2" t="s">
        <v>399</v>
      </c>
      <c r="C445" s="2" t="s">
        <v>339</v>
      </c>
      <c r="D445" s="2" t="s">
        <v>670</v>
      </c>
      <c r="E445" s="2" t="s">
        <v>842</v>
      </c>
      <c r="F445" s="6">
        <v>21194</v>
      </c>
      <c r="G445" s="16">
        <f t="shared" ca="1" si="6"/>
        <v>63.523287671232879</v>
      </c>
      <c r="H445" s="2" t="s">
        <v>549</v>
      </c>
      <c r="I445" t="str" cm="1">
        <f t="array" ref="I445">ADAPTAR(B445)&amp;ADAPTAR(C445)&amp;"_"&amp;ADAPTAR(E445)&amp;F445</f>
        <v>pedrofernando_fuentes21194</v>
      </c>
      <c r="J445" s="13">
        <v>3</v>
      </c>
      <c r="K445" t="str" cm="1">
        <f t="array" ref="K445">ADAPTAR(B445)&amp;"."&amp;ADAPTAR(D445)&amp;YEAR(F445)&amp;"@"&amp;VLOOKUP(J445,Dominios!$A$2:$B$30,2,FALSE)</f>
        <v>pedro.acosta1958@diabunter.co</v>
      </c>
      <c r="L445" s="13">
        <v>3</v>
      </c>
      <c r="M445">
        <f>VLOOKUP(L445,Celulares!$A$2:$B$30,2,FALSE)</f>
        <v>3115114910</v>
      </c>
    </row>
    <row r="446" spans="1:13" ht="15.75" customHeight="1" x14ac:dyDescent="0.25">
      <c r="A446" t="s">
        <v>2423</v>
      </c>
      <c r="B446" s="2" t="s">
        <v>483</v>
      </c>
      <c r="C446" s="2" t="s">
        <v>486</v>
      </c>
      <c r="D446" s="2" t="s">
        <v>757</v>
      </c>
      <c r="E446" s="2" t="s">
        <v>728</v>
      </c>
      <c r="F446" s="6">
        <v>25948</v>
      </c>
      <c r="G446" s="16">
        <f t="shared" ca="1" si="6"/>
        <v>50.4986301369863</v>
      </c>
      <c r="H446" s="2" t="s">
        <v>575</v>
      </c>
      <c r="I446" t="str" cm="1">
        <f t="array" ref="I446">ADAPTAR(B446)&amp;ADAPTAR(C446)&amp;"_"&amp;ADAPTAR(E446)&amp;F446</f>
        <v>josericardo_gonzales25948</v>
      </c>
      <c r="J446" s="13">
        <v>4</v>
      </c>
      <c r="K446" t="str" cm="1">
        <f t="array" ref="K446">ADAPTAR(B446)&amp;"."&amp;ADAPTAR(D446)&amp;YEAR(F446)&amp;"@"&amp;VLOOKUP(J446,Dominios!$A$2:$B$30,2,FALSE)</f>
        <v>jose.arias1971@ebrietas.co</v>
      </c>
      <c r="L446" s="13">
        <v>4</v>
      </c>
      <c r="M446">
        <f>VLOOKUP(L446,Celulares!$A$2:$B$30,2,FALSE)</f>
        <v>3115114909</v>
      </c>
    </row>
    <row r="447" spans="1:13" ht="15.75" customHeight="1" x14ac:dyDescent="0.25">
      <c r="A447" t="s">
        <v>2424</v>
      </c>
      <c r="B447" s="2" t="s">
        <v>431</v>
      </c>
      <c r="C447" s="2" t="s">
        <v>493</v>
      </c>
      <c r="D447" s="2" t="s">
        <v>681</v>
      </c>
      <c r="E447" s="2" t="s">
        <v>774</v>
      </c>
      <c r="F447" s="6">
        <v>34559</v>
      </c>
      <c r="G447" s="16">
        <f t="shared" ca="1" si="6"/>
        <v>26.906849315068492</v>
      </c>
      <c r="H447" s="2" t="s">
        <v>1342</v>
      </c>
      <c r="I447" t="str" cm="1">
        <f t="array" ref="I447">ADAPTAR(B447)&amp;ADAPTAR(C447)&amp;"_"&amp;ADAPTAR(E447)&amp;F447</f>
        <v>luisroberto_rueda34559</v>
      </c>
      <c r="J447" s="13">
        <v>5</v>
      </c>
      <c r="K447" t="str" cm="1">
        <f t="array" ref="K447">ADAPTAR(B447)&amp;"."&amp;ADAPTAR(D447)&amp;YEAR(F447)&amp;"@"&amp;VLOOKUP(J447,Dominios!$A$2:$B$30,2,FALSE)</f>
        <v>luis.reyes1994@elsinsonte.co</v>
      </c>
      <c r="L447" s="13">
        <v>5</v>
      </c>
      <c r="M447">
        <f>VLOOKUP(L447,Celulares!$A$2:$B$30,2,FALSE)</f>
        <v>3115060130</v>
      </c>
    </row>
    <row r="448" spans="1:13" ht="15.75" customHeight="1" x14ac:dyDescent="0.25">
      <c r="A448" t="s">
        <v>2425</v>
      </c>
      <c r="B448" s="2" t="s">
        <v>1114</v>
      </c>
      <c r="C448" s="2" t="s">
        <v>855</v>
      </c>
      <c r="D448" s="2" t="s">
        <v>238</v>
      </c>
      <c r="E448" s="2" t="s">
        <v>846</v>
      </c>
      <c r="F448" s="6">
        <v>25165</v>
      </c>
      <c r="G448" s="16">
        <f t="shared" ca="1" si="6"/>
        <v>52.643835616438359</v>
      </c>
      <c r="H448" s="2" t="s">
        <v>1363</v>
      </c>
      <c r="I448" t="str" cm="1">
        <f t="array" ref="I448">ADAPTAR(B448)&amp;ADAPTAR(C448)&amp;"_"&amp;ADAPTAR(E448)&amp;F448</f>
        <v>rubenrodrigo_navarro25165</v>
      </c>
      <c r="J448" s="13">
        <v>6</v>
      </c>
      <c r="K448" t="str" cm="1">
        <f t="array" ref="K448">ADAPTAR(B448)&amp;"."&amp;ADAPTAR(D448)&amp;YEAR(F448)&amp;"@"&amp;VLOOKUP(J448,Dominios!$A$2:$B$30,2,FALSE)</f>
        <v>ruben.osorio1968@enigmaserver.co</v>
      </c>
      <c r="L448" s="13">
        <v>6</v>
      </c>
      <c r="M448">
        <f>VLOOKUP(L448,Celulares!$A$2:$B$30,2,FALSE)</f>
        <v>3115060125</v>
      </c>
    </row>
    <row r="449" spans="1:13" ht="15.75" customHeight="1" x14ac:dyDescent="0.25">
      <c r="A449" t="s">
        <v>2426</v>
      </c>
      <c r="B449" s="2" t="s">
        <v>341</v>
      </c>
      <c r="C449" s="2" t="s">
        <v>664</v>
      </c>
      <c r="D449" s="2" t="s">
        <v>458</v>
      </c>
      <c r="E449" s="2" t="s">
        <v>821</v>
      </c>
      <c r="F449" s="6">
        <v>34232</v>
      </c>
      <c r="G449" s="16">
        <f t="shared" ca="1" si="6"/>
        <v>27.802739726027397</v>
      </c>
      <c r="H449" s="2" t="s">
        <v>586</v>
      </c>
      <c r="I449" t="str" cm="1">
        <f t="array" ref="I449">ADAPTAR(B449)&amp;ADAPTAR(C449)&amp;"_"&amp;ADAPTAR(E449)&amp;F449</f>
        <v>juansalvador_montes34232</v>
      </c>
      <c r="J449" s="13">
        <v>7</v>
      </c>
      <c r="K449" t="str" cm="1">
        <f t="array" ref="K449">ADAPTAR(B449)&amp;"."&amp;ADAPTAR(D449)&amp;YEAR(F449)&amp;"@"&amp;VLOOKUP(J449,Dominios!$A$2:$B$30,2,FALSE)</f>
        <v>juan.bravo1993@hocknas.co</v>
      </c>
      <c r="L449" s="13">
        <v>7</v>
      </c>
      <c r="M449">
        <f>VLOOKUP(L449,Celulares!$A$2:$B$30,2,FALSE)</f>
        <v>3115060110</v>
      </c>
    </row>
    <row r="450" spans="1:13" ht="15.75" customHeight="1" x14ac:dyDescent="0.25">
      <c r="A450" t="s">
        <v>2427</v>
      </c>
      <c r="B450" s="2" t="s">
        <v>431</v>
      </c>
      <c r="C450" s="2" t="s">
        <v>1136</v>
      </c>
      <c r="D450" s="2" t="s">
        <v>714</v>
      </c>
      <c r="E450" s="2" t="s">
        <v>746</v>
      </c>
      <c r="F450" s="6">
        <v>28254</v>
      </c>
      <c r="G450" s="16">
        <f t="shared" ref="G450:G486" ca="1" si="7">(TODAY()-F450)/365</f>
        <v>44.180821917808217</v>
      </c>
      <c r="H450" s="2" t="s">
        <v>561</v>
      </c>
      <c r="I450" t="str" cm="1">
        <f t="array" ref="I450">ADAPTAR(B450)&amp;ADAPTAR(C450)&amp;"_"&amp;ADAPTAR(E450)&amp;F450</f>
        <v>luissamuel_arenas28254</v>
      </c>
      <c r="J450" s="13">
        <v>8</v>
      </c>
      <c r="K450" t="str" cm="1">
        <f t="array" ref="K450">ADAPTAR(B450)&amp;"."&amp;ADAPTAR(D450)&amp;YEAR(F450)&amp;"@"&amp;VLOOKUP(J450,Dominios!$A$2:$B$30,2,FALSE)</f>
        <v>luis.diaz1977@hostedoceri.co</v>
      </c>
      <c r="L450" s="13">
        <v>8</v>
      </c>
      <c r="M450">
        <f>VLOOKUP(L450,Celulares!$A$2:$B$30,2,FALSE)</f>
        <v>3115060091</v>
      </c>
    </row>
    <row r="451" spans="1:13" ht="15.75" customHeight="1" x14ac:dyDescent="0.25">
      <c r="A451" t="s">
        <v>2428</v>
      </c>
      <c r="B451" s="2" t="s">
        <v>1111</v>
      </c>
      <c r="C451" s="2" t="s">
        <v>353</v>
      </c>
      <c r="D451" s="2" t="s">
        <v>843</v>
      </c>
      <c r="E451" s="2" t="s">
        <v>729</v>
      </c>
      <c r="F451" s="6">
        <v>24980</v>
      </c>
      <c r="G451" s="16">
        <f t="shared" ca="1" si="7"/>
        <v>53.150684931506852</v>
      </c>
      <c r="H451" s="2" t="s">
        <v>612</v>
      </c>
      <c r="I451" t="str" cm="1">
        <f t="array" ref="I451">ADAPTAR(B451)&amp;ADAPTAR(C451)&amp;"_"&amp;ADAPTAR(E451)&amp;F451</f>
        <v>tomassantiago_fonseca24980</v>
      </c>
      <c r="J451" s="13">
        <v>9</v>
      </c>
      <c r="K451" t="str" cm="1">
        <f t="array" ref="K451">ADAPTAR(B451)&amp;"."&amp;ADAPTAR(D451)&amp;YEAR(F451)&amp;"@"&amp;VLOOKUP(J451,Dominios!$A$2:$B$30,2,FALSE)</f>
        <v>tomas.velasco1968@libertas.com.co</v>
      </c>
      <c r="L451" s="13">
        <v>9</v>
      </c>
      <c r="M451">
        <f>VLOOKUP(L451,Celulares!$A$2:$B$30,2,FALSE)</f>
        <v>3115060080</v>
      </c>
    </row>
    <row r="452" spans="1:13" ht="15.75" customHeight="1" x14ac:dyDescent="0.25">
      <c r="A452" t="s">
        <v>2429</v>
      </c>
      <c r="B452" s="2" t="s">
        <v>431</v>
      </c>
      <c r="C452" s="2" t="s">
        <v>483</v>
      </c>
      <c r="D452" s="2" t="s">
        <v>721</v>
      </c>
      <c r="E452" s="2" t="s">
        <v>687</v>
      </c>
      <c r="F452" s="6">
        <v>21278</v>
      </c>
      <c r="G452" s="16">
        <f t="shared" ca="1" si="7"/>
        <v>63.293150684931504</v>
      </c>
      <c r="H452" s="2" t="s">
        <v>1252</v>
      </c>
      <c r="I452" t="str" cm="1">
        <f t="array" ref="I452">ADAPTAR(B452)&amp;ADAPTAR(C452)&amp;"_"&amp;ADAPTAR(E452)&amp;F452</f>
        <v>luisjose_leon21278</v>
      </c>
      <c r="J452" s="13">
        <v>10</v>
      </c>
      <c r="K452" t="str" cm="1">
        <f t="array" ref="K452">ADAPTAR(B452)&amp;"."&amp;ADAPTAR(D452)&amp;YEAR(F452)&amp;"@"&amp;VLOOKUP(J452,Dominios!$A$2:$B$30,2,FALSE)</f>
        <v>luis.aguilar1958@nascitur.com.co</v>
      </c>
      <c r="L452" s="13">
        <v>10</v>
      </c>
      <c r="M452">
        <f>VLOOKUP(L452,Celulares!$A$2:$B$30,2,FALSE)</f>
        <v>3115114385</v>
      </c>
    </row>
    <row r="453" spans="1:13" ht="15.75" customHeight="1" x14ac:dyDescent="0.25">
      <c r="A453" t="s">
        <v>2430</v>
      </c>
      <c r="B453" s="2" t="s">
        <v>409</v>
      </c>
      <c r="C453" s="2" t="s">
        <v>508</v>
      </c>
      <c r="D453" s="2" t="s">
        <v>798</v>
      </c>
      <c r="E453" s="2" t="s">
        <v>765</v>
      </c>
      <c r="F453" s="6">
        <v>33922</v>
      </c>
      <c r="G453" s="16">
        <f t="shared" ca="1" si="7"/>
        <v>28.652054794520549</v>
      </c>
      <c r="H453" s="2" t="s">
        <v>571</v>
      </c>
      <c r="I453" t="str" cm="1">
        <f t="array" ref="I453">ADAPTAR(B453)&amp;ADAPTAR(C453)&amp;"_"&amp;ADAPTAR(E453)&amp;F453</f>
        <v>jhonalexander_estrada33922</v>
      </c>
      <c r="J453" s="13">
        <v>11</v>
      </c>
      <c r="K453" t="str" cm="1">
        <f t="array" ref="K453">ADAPTAR(B453)&amp;"."&amp;ADAPTAR(D453)&amp;YEAR(F453)&amp;"@"&amp;VLOOKUP(J453,Dominios!$A$2:$B$30,2,FALSE)</f>
        <v>jhon.mendoza1992@nemesis.ml</v>
      </c>
      <c r="L453" s="13">
        <v>11</v>
      </c>
      <c r="M453">
        <f>VLOOKUP(L453,Celulares!$A$2:$B$30,2,FALSE)</f>
        <v>3115114360</v>
      </c>
    </row>
    <row r="454" spans="1:13" ht="15.75" customHeight="1" x14ac:dyDescent="0.25">
      <c r="A454" t="s">
        <v>2431</v>
      </c>
      <c r="B454" s="2" t="s">
        <v>353</v>
      </c>
      <c r="C454" s="2" t="s">
        <v>446</v>
      </c>
      <c r="D454" s="2" t="s">
        <v>744</v>
      </c>
      <c r="E454" s="2" t="s">
        <v>812</v>
      </c>
      <c r="F454" s="6">
        <v>34322</v>
      </c>
      <c r="G454" s="16">
        <f t="shared" ca="1" si="7"/>
        <v>27.556164383561644</v>
      </c>
      <c r="H454" s="2" t="s">
        <v>585</v>
      </c>
      <c r="I454" t="str" cm="1">
        <f t="array" ref="I454">ADAPTAR(B454)&amp;ADAPTAR(C454)&amp;"_"&amp;ADAPTAR(E454)&amp;F454</f>
        <v>santiagofelipe_sepulveda34322</v>
      </c>
      <c r="J454" s="13">
        <v>12</v>
      </c>
      <c r="K454" t="str" cm="1">
        <f t="array" ref="K454">ADAPTAR(B454)&amp;"."&amp;ADAPTAR(D454)&amp;YEAR(F454)&amp;"@"&amp;VLOOKUP(J454,Dominios!$A$2:$B$30,2,FALSE)</f>
        <v>santiago.pacheco1993@nunquam.com.co</v>
      </c>
      <c r="L454" s="13">
        <v>12</v>
      </c>
      <c r="M454">
        <f>VLOOKUP(L454,Celulares!$A$2:$B$30,2,FALSE)</f>
        <v>3115093653</v>
      </c>
    </row>
    <row r="455" spans="1:13" ht="15.75" customHeight="1" x14ac:dyDescent="0.25">
      <c r="A455" t="s">
        <v>2432</v>
      </c>
      <c r="B455" s="2" t="s">
        <v>359</v>
      </c>
      <c r="C455" s="2" t="s">
        <v>356</v>
      </c>
      <c r="D455" s="2" t="s">
        <v>847</v>
      </c>
      <c r="E455" s="2" t="s">
        <v>828</v>
      </c>
      <c r="F455" s="6">
        <v>32398</v>
      </c>
      <c r="G455" s="16">
        <f t="shared" ca="1" si="7"/>
        <v>32.827397260273976</v>
      </c>
      <c r="H455" s="2" t="s">
        <v>1411</v>
      </c>
      <c r="I455" t="str" cm="1">
        <f t="array" ref="I455">ADAPTAR(B455)&amp;ADAPTAR(C455)&amp;"_"&amp;ADAPTAR(E455)&amp;F455</f>
        <v>sergiogustavo_barrios32398</v>
      </c>
      <c r="J455" s="13">
        <v>13</v>
      </c>
      <c r="K455" t="str" cm="1">
        <f t="array" ref="K455">ADAPTAR(B455)&amp;"."&amp;ADAPTAR(D455)&amp;YEAR(F455)&amp;"@"&amp;VLOOKUP(J455,Dominios!$A$2:$B$30,2,FALSE)</f>
        <v>sergio.uribe1988@sempiternam.co</v>
      </c>
      <c r="L455" s="13">
        <v>13</v>
      </c>
      <c r="M455">
        <f>VLOOKUP(L455,Celulares!$A$2:$B$30,2,FALSE)</f>
        <v>3115093598</v>
      </c>
    </row>
    <row r="456" spans="1:13" ht="15.75" customHeight="1" x14ac:dyDescent="0.25">
      <c r="A456" t="s">
        <v>2433</v>
      </c>
      <c r="B456" s="2" t="s">
        <v>1111</v>
      </c>
      <c r="C456" s="2" t="s">
        <v>1162</v>
      </c>
      <c r="D456" s="2" t="s">
        <v>805</v>
      </c>
      <c r="E456" s="2" t="s">
        <v>744</v>
      </c>
      <c r="F456" s="6">
        <v>30301</v>
      </c>
      <c r="G456" s="16">
        <f t="shared" ca="1" si="7"/>
        <v>38.57260273972603</v>
      </c>
      <c r="H456" s="2" t="s">
        <v>565</v>
      </c>
      <c r="I456" t="str" cm="1">
        <f t="array" ref="I456">ADAPTAR(B456)&amp;ADAPTAR(C456)&amp;"_"&amp;ADAPTAR(E456)&amp;F456</f>
        <v>tomasaurelio_pacheco30301</v>
      </c>
      <c r="J456" s="13">
        <v>14</v>
      </c>
      <c r="K456" t="str" cm="1">
        <f t="array" ref="K456">ADAPTAR(B456)&amp;"."&amp;ADAPTAR(D456)&amp;YEAR(F456)&amp;"@"&amp;VLOOKUP(J456,Dominios!$A$2:$B$30,2,FALSE)</f>
        <v>tomas.narvaez1982@sk9.co</v>
      </c>
      <c r="L456" s="13">
        <v>14</v>
      </c>
      <c r="M456">
        <f>VLOOKUP(L456,Celulares!$A$2:$B$30,2,FALSE)</f>
        <v>3115093583</v>
      </c>
    </row>
    <row r="457" spans="1:13" ht="15.75" customHeight="1" x14ac:dyDescent="0.25">
      <c r="A457" t="s">
        <v>2434</v>
      </c>
      <c r="B457" s="2" t="s">
        <v>330</v>
      </c>
      <c r="C457" s="2" t="s">
        <v>479</v>
      </c>
      <c r="D457" s="2" t="s">
        <v>839</v>
      </c>
      <c r="E457" s="2" t="s">
        <v>759</v>
      </c>
      <c r="F457" s="6">
        <v>26630</v>
      </c>
      <c r="G457" s="16">
        <f t="shared" ca="1" si="7"/>
        <v>48.630136986301373</v>
      </c>
      <c r="H457" s="2" t="s">
        <v>1403</v>
      </c>
      <c r="I457" t="str" cm="1">
        <f t="array" ref="I457">ADAPTAR(B457)&amp;ADAPTAR(C457)&amp;"_"&amp;ADAPTAR(E457)&amp;F457</f>
        <v>andresguillermo_ortiz26630</v>
      </c>
      <c r="J457" s="13">
        <v>15</v>
      </c>
      <c r="K457" t="str" cm="1">
        <f t="array" ref="K457">ADAPTAR(B457)&amp;"."&amp;ADAPTAR(D457)&amp;YEAR(F457)&amp;"@"&amp;VLOOKUP(J457,Dominios!$A$2:$B$30,2,FALSE)</f>
        <v>andres.parra1972@socialmediacolombia.com.co</v>
      </c>
      <c r="L457" s="13">
        <v>15</v>
      </c>
      <c r="M457">
        <f>VLOOKUP(L457,Celulares!$A$2:$B$30,2,FALSE)</f>
        <v>3115092386</v>
      </c>
    </row>
    <row r="458" spans="1:13" ht="15.75" customHeight="1" x14ac:dyDescent="0.25">
      <c r="A458" t="s">
        <v>2435</v>
      </c>
      <c r="B458" s="2" t="s">
        <v>660</v>
      </c>
      <c r="C458" s="2" t="s">
        <v>511</v>
      </c>
      <c r="D458" s="2" t="s">
        <v>673</v>
      </c>
      <c r="E458" s="2" t="s">
        <v>235</v>
      </c>
      <c r="F458" s="6">
        <v>24349</v>
      </c>
      <c r="G458" s="16">
        <f t="shared" ca="1" si="7"/>
        <v>54.87945205479452</v>
      </c>
      <c r="H458" s="2" t="s">
        <v>584</v>
      </c>
      <c r="I458" t="str" cm="1">
        <f t="array" ref="I458">ADAPTAR(B458)&amp;ADAPTAR(C458)&amp;"_"&amp;ADAPTAR(E458)&amp;F458</f>
        <v>vicentejavier_giraldo24349</v>
      </c>
      <c r="J458" s="13">
        <v>16</v>
      </c>
      <c r="K458" t="str" cm="1">
        <f t="array" ref="K458">ADAPTAR(B458)&amp;"."&amp;ADAPTAR(D458)&amp;YEAR(F458)&amp;"@"&amp;VLOOKUP(J458,Dominios!$A$2:$B$30,2,FALSE)</f>
        <v>vicente.molina1966@tecnicoensistemas.com.co</v>
      </c>
      <c r="L458" s="13">
        <v>16</v>
      </c>
      <c r="M458">
        <f>VLOOKUP(L458,Celulares!$A$2:$B$30,2,FALSE)</f>
        <v>3115092375</v>
      </c>
    </row>
    <row r="459" spans="1:13" ht="15.75" customHeight="1" x14ac:dyDescent="0.25">
      <c r="A459" t="s">
        <v>2436</v>
      </c>
      <c r="B459" s="2" t="s">
        <v>880</v>
      </c>
      <c r="C459" s="2" t="s">
        <v>364</v>
      </c>
      <c r="D459" s="2" t="s">
        <v>814</v>
      </c>
      <c r="E459" s="2" t="s">
        <v>714</v>
      </c>
      <c r="F459" s="6">
        <v>21734</v>
      </c>
      <c r="G459" s="16">
        <f t="shared" ca="1" si="7"/>
        <v>62.043835616438358</v>
      </c>
      <c r="H459" s="2" t="s">
        <v>1352</v>
      </c>
      <c r="I459" t="str" cm="1">
        <f t="array" ref="I459">ADAPTAR(B459)&amp;ADAPTAR(C459)&amp;"_"&amp;ADAPTAR(E459)&amp;F459</f>
        <v>miguelangel_diaz21734</v>
      </c>
      <c r="J459" s="13">
        <v>17</v>
      </c>
      <c r="K459" t="str" cm="1">
        <f t="array" ref="K459">ADAPTAR(B459)&amp;"."&amp;ADAPTAR(D459)&amp;YEAR(F459)&amp;"@"&amp;VLOOKUP(J459,Dominios!$A$2:$B$30,2,FALSE)</f>
        <v>miguel.quintero1959@totum.com.co</v>
      </c>
      <c r="L459" s="13">
        <v>17</v>
      </c>
      <c r="M459">
        <f>VLOOKUP(L459,Celulares!$A$2:$B$30,2,FALSE)</f>
        <v>3115092369</v>
      </c>
    </row>
    <row r="460" spans="1:13" ht="15.75" customHeight="1" x14ac:dyDescent="0.25">
      <c r="A460" t="s">
        <v>2437</v>
      </c>
      <c r="B460" s="2" t="s">
        <v>332</v>
      </c>
      <c r="C460" s="2" t="s">
        <v>1429</v>
      </c>
      <c r="D460" s="2" t="s">
        <v>825</v>
      </c>
      <c r="E460" s="2" t="s">
        <v>844</v>
      </c>
      <c r="F460" s="6">
        <v>31881</v>
      </c>
      <c r="G460" s="16">
        <f t="shared" ca="1" si="7"/>
        <v>34.243835616438353</v>
      </c>
      <c r="H460" s="2" t="s">
        <v>1381</v>
      </c>
      <c r="I460" t="str" cm="1">
        <f t="array" ref="I460">ADAPTAR(B460)&amp;ADAPTAR(C460)&amp;"_"&amp;ADAPTAR(E460)&amp;F460</f>
        <v>danieladrian_acevedo31881</v>
      </c>
      <c r="J460" s="13">
        <v>18</v>
      </c>
      <c r="K460" t="str" cm="1">
        <f t="array" ref="K460">ADAPTAR(B460)&amp;"."&amp;ADAPTAR(D460)&amp;YEAR(F460)&amp;"@"&amp;VLOOKUP(J460,Dominios!$A$2:$B$30,2,FALSE)</f>
        <v>daniel.moreno1987@voipcolombia.co</v>
      </c>
      <c r="L460" s="13">
        <v>18</v>
      </c>
      <c r="M460">
        <f>VLOOKUP(L460,Celulares!$A$2:$B$30,2,FALSE)</f>
        <v>3115092360</v>
      </c>
    </row>
    <row r="461" spans="1:13" ht="15.75" customHeight="1" x14ac:dyDescent="0.25">
      <c r="A461" t="s">
        <v>2438</v>
      </c>
      <c r="B461" s="2" t="s">
        <v>424</v>
      </c>
      <c r="C461" s="2" t="s">
        <v>16</v>
      </c>
      <c r="D461" s="2" t="s">
        <v>686</v>
      </c>
      <c r="E461" s="2" t="s">
        <v>761</v>
      </c>
      <c r="F461" s="6">
        <v>26503</v>
      </c>
      <c r="G461" s="16">
        <f t="shared" ca="1" si="7"/>
        <v>48.978082191780821</v>
      </c>
      <c r="H461" s="2" t="s">
        <v>566</v>
      </c>
      <c r="I461" t="str" cm="1">
        <f t="array" ref="I461">ADAPTAR(B461)&amp;ADAPTAR(C461)&amp;"_"&amp;ADAPTAR(E461)&amp;F461</f>
        <v>jesusmaria_montoya26503</v>
      </c>
      <c r="J461" s="13">
        <v>19</v>
      </c>
      <c r="K461" t="str" cm="1">
        <f t="array" ref="K461">ADAPTAR(B461)&amp;"."&amp;ADAPTAR(D461)&amp;YEAR(F461)&amp;"@"&amp;VLOOKUP(J461,Dominios!$A$2:$B$30,2,FALSE)</f>
        <v>jesus.contreras1972@vpncolombia.com.co</v>
      </c>
      <c r="L461" s="13">
        <v>19</v>
      </c>
      <c r="M461">
        <f>VLOOKUP(L461,Celulares!$A$2:$B$30,2,FALSE)</f>
        <v>3115092352</v>
      </c>
    </row>
    <row r="462" spans="1:13" ht="15.75" customHeight="1" x14ac:dyDescent="0.25">
      <c r="A462" t="s">
        <v>2439</v>
      </c>
      <c r="B462" s="2" t="s">
        <v>483</v>
      </c>
      <c r="C462" s="2" t="s">
        <v>369</v>
      </c>
      <c r="D462" s="2" t="s">
        <v>802</v>
      </c>
      <c r="E462" s="2" t="s">
        <v>803</v>
      </c>
      <c r="F462" s="6">
        <v>29613</v>
      </c>
      <c r="G462" s="16">
        <f t="shared" ca="1" si="7"/>
        <v>40.457534246575342</v>
      </c>
      <c r="H462" s="2" t="s">
        <v>571</v>
      </c>
      <c r="I462" t="str" cm="1">
        <f t="array" ref="I462">ADAPTAR(B462)&amp;ADAPTAR(C462)&amp;"_"&amp;ADAPTAR(E462)&amp;F462</f>
        <v>josepablo_marin29613</v>
      </c>
      <c r="J462" s="13">
        <v>0</v>
      </c>
      <c r="K462" t="str" cm="1">
        <f t="array" ref="K462">ADAPTAR(B462)&amp;"."&amp;ADAPTAR(D462)&amp;YEAR(F462)&amp;"@"&amp;VLOOKUP(J462,Dominios!$A$2:$B$30,2,FALSE)</f>
        <v>jose.castro1981@auribus.com.co</v>
      </c>
      <c r="L462" s="13">
        <v>0</v>
      </c>
      <c r="M462">
        <f>VLOOKUP(L462,Celulares!$A$2:$B$30,2,FALSE)</f>
        <v>3115114930</v>
      </c>
    </row>
    <row r="463" spans="1:13" ht="15.75" customHeight="1" x14ac:dyDescent="0.25">
      <c r="A463" t="s">
        <v>2440</v>
      </c>
      <c r="B463" s="2" t="s">
        <v>431</v>
      </c>
      <c r="C463" s="2" t="s">
        <v>1430</v>
      </c>
      <c r="D463" s="2" t="s">
        <v>684</v>
      </c>
      <c r="E463" s="2" t="s">
        <v>672</v>
      </c>
      <c r="F463" s="6">
        <v>26653</v>
      </c>
      <c r="G463" s="16">
        <f t="shared" ca="1" si="7"/>
        <v>48.56712328767123</v>
      </c>
      <c r="H463" s="2" t="s">
        <v>1406</v>
      </c>
      <c r="I463" t="str" cm="1">
        <f t="array" ref="I463">ADAPTAR(B463)&amp;ADAPTAR(C463)&amp;"_"&amp;ADAPTAR(E463)&amp;F463</f>
        <v>luisaloso_londono26653</v>
      </c>
      <c r="J463" s="13">
        <v>1</v>
      </c>
      <c r="K463" t="str" cm="1">
        <f t="array" ref="K463">ADAPTAR(B463)&amp;"."&amp;ADAPTAR(D463)&amp;YEAR(F463)&amp;"@"&amp;VLOOKUP(J463,Dominios!$A$2:$B$30,2,FALSE)</f>
        <v>luis.mora1972@colamus.co</v>
      </c>
      <c r="L463" s="13">
        <v>1</v>
      </c>
      <c r="M463">
        <f>VLOOKUP(L463,Celulares!$A$2:$B$30,2,FALSE)</f>
        <v>3115114916</v>
      </c>
    </row>
    <row r="464" spans="1:13" ht="15.75" customHeight="1" x14ac:dyDescent="0.25">
      <c r="A464" t="s">
        <v>2441</v>
      </c>
      <c r="B464" s="2" t="s">
        <v>342</v>
      </c>
      <c r="C464" s="2" t="s">
        <v>402</v>
      </c>
      <c r="D464" s="2" t="s">
        <v>784</v>
      </c>
      <c r="E464" s="2" t="s">
        <v>684</v>
      </c>
      <c r="F464" s="6">
        <v>33090</v>
      </c>
      <c r="G464" s="16">
        <f t="shared" ca="1" si="7"/>
        <v>30.931506849315067</v>
      </c>
      <c r="H464" s="2" t="s">
        <v>588</v>
      </c>
      <c r="I464" t="str" cm="1">
        <f t="array" ref="I464">ADAPTAR(B464)&amp;ADAPTAR(C464)&amp;"_"&amp;ADAPTAR(E464)&amp;F464</f>
        <v>carlosalberto_mora33090</v>
      </c>
      <c r="J464" s="13">
        <v>2</v>
      </c>
      <c r="K464" t="str" cm="1">
        <f t="array" ref="K464">ADAPTAR(B464)&amp;"."&amp;ADAPTAR(D464)&amp;YEAR(F464)&amp;"@"&amp;VLOOKUP(J464,Dominios!$A$2:$B$30,2,FALSE)</f>
        <v>carlos.torres1990@colombiamail.co</v>
      </c>
      <c r="L464" s="13">
        <v>2</v>
      </c>
      <c r="M464">
        <f>VLOOKUP(L464,Celulares!$A$2:$B$30,2,FALSE)</f>
        <v>3115114911</v>
      </c>
    </row>
    <row r="465" spans="1:13" ht="15.75" customHeight="1" x14ac:dyDescent="0.25">
      <c r="A465" t="s">
        <v>2442</v>
      </c>
      <c r="B465" s="2" t="s">
        <v>371</v>
      </c>
      <c r="C465" s="2" t="s">
        <v>391</v>
      </c>
      <c r="D465" s="2" t="s">
        <v>235</v>
      </c>
      <c r="E465" s="2" t="s">
        <v>730</v>
      </c>
      <c r="F465" s="6">
        <v>29047</v>
      </c>
      <c r="G465" s="16">
        <f t="shared" ca="1" si="7"/>
        <v>42.008219178082193</v>
      </c>
      <c r="H465" s="2" t="s">
        <v>581</v>
      </c>
      <c r="I465" t="str" cm="1">
        <f t="array" ref="I465">ADAPTAR(B465)&amp;ADAPTAR(C465)&amp;"_"&amp;ADAPTAR(E465)&amp;F465</f>
        <v>juliocesar_perez29047</v>
      </c>
      <c r="J465" s="13">
        <v>3</v>
      </c>
      <c r="K465" t="str" cm="1">
        <f t="array" ref="K465">ADAPTAR(B465)&amp;"."&amp;ADAPTAR(D465)&amp;YEAR(F465)&amp;"@"&amp;VLOOKUP(J465,Dominios!$A$2:$B$30,2,FALSE)</f>
        <v>julio.giraldo1979@diabunter.co</v>
      </c>
      <c r="L465" s="13">
        <v>3</v>
      </c>
      <c r="M465">
        <f>VLOOKUP(L465,Celulares!$A$2:$B$30,2,FALSE)</f>
        <v>3115114910</v>
      </c>
    </row>
    <row r="466" spans="1:13" ht="15.75" customHeight="1" x14ac:dyDescent="0.25">
      <c r="A466" t="s">
        <v>2443</v>
      </c>
      <c r="B466" s="2" t="s">
        <v>483</v>
      </c>
      <c r="C466" s="2" t="s">
        <v>342</v>
      </c>
      <c r="D466" s="2" t="s">
        <v>718</v>
      </c>
      <c r="E466" s="2" t="s">
        <v>723</v>
      </c>
      <c r="F466" s="6">
        <v>29169</v>
      </c>
      <c r="G466" s="16">
        <f t="shared" ca="1" si="7"/>
        <v>41.673972602739724</v>
      </c>
      <c r="H466" s="2" t="s">
        <v>533</v>
      </c>
      <c r="I466" t="str" cm="1">
        <f t="array" ref="I466">ADAPTAR(B466)&amp;ADAPTAR(C466)&amp;"_"&amp;ADAPTAR(E466)&amp;F466</f>
        <v>josecarlos_paez29169</v>
      </c>
      <c r="J466" s="13">
        <v>4</v>
      </c>
      <c r="K466" t="str" cm="1">
        <f t="array" ref="K466">ADAPTAR(B466)&amp;"."&amp;ADAPTAR(D466)&amp;YEAR(F466)&amp;"@"&amp;VLOOKUP(J466,Dominios!$A$2:$B$30,2,FALSE)</f>
        <v>jose.mercado1979@ebrietas.co</v>
      </c>
      <c r="L466" s="13">
        <v>4</v>
      </c>
      <c r="M466">
        <f>VLOOKUP(L466,Celulares!$A$2:$B$30,2,FALSE)</f>
        <v>3115114909</v>
      </c>
    </row>
    <row r="467" spans="1:13" ht="15.75" customHeight="1" x14ac:dyDescent="0.25">
      <c r="A467" t="s">
        <v>2444</v>
      </c>
      <c r="B467" s="2" t="s">
        <v>880</v>
      </c>
      <c r="C467" s="2" t="s">
        <v>656</v>
      </c>
      <c r="D467" s="2" t="s">
        <v>731</v>
      </c>
      <c r="E467" s="2" t="s">
        <v>717</v>
      </c>
      <c r="F467" s="6">
        <v>27654</v>
      </c>
      <c r="G467" s="16">
        <f t="shared" ca="1" si="7"/>
        <v>45.824657534246576</v>
      </c>
      <c r="H467" s="2" t="s">
        <v>1388</v>
      </c>
      <c r="I467" t="str" cm="1">
        <f t="array" ref="I467">ADAPTAR(B467)&amp;ADAPTAR(C467)&amp;"_"&amp;ADAPTAR(E467)&amp;F467</f>
        <v>miguelangel_vasquez27654</v>
      </c>
      <c r="J467" s="13">
        <v>5</v>
      </c>
      <c r="K467" t="str" cm="1">
        <f t="array" ref="K467">ADAPTAR(B467)&amp;"."&amp;ADAPTAR(D467)&amp;YEAR(F467)&amp;"@"&amp;VLOOKUP(J467,Dominios!$A$2:$B$30,2,FALSE)</f>
        <v>miguel.meza1975@elsinsonte.co</v>
      </c>
      <c r="L467" s="13">
        <v>5</v>
      </c>
      <c r="M467">
        <f>VLOOKUP(L467,Celulares!$A$2:$B$30,2,FALSE)</f>
        <v>3115060130</v>
      </c>
    </row>
    <row r="468" spans="1:13" ht="15.75" customHeight="1" x14ac:dyDescent="0.25">
      <c r="A468" t="s">
        <v>2445</v>
      </c>
      <c r="B468" s="2" t="s">
        <v>431</v>
      </c>
      <c r="C468" s="2" t="s">
        <v>402</v>
      </c>
      <c r="D468" s="2" t="s">
        <v>711</v>
      </c>
      <c r="E468" s="2" t="s">
        <v>794</v>
      </c>
      <c r="F468" s="6">
        <v>36875</v>
      </c>
      <c r="G468" s="16">
        <f t="shared" ca="1" si="7"/>
        <v>20.561643835616437</v>
      </c>
      <c r="H468" s="2" t="s">
        <v>593</v>
      </c>
      <c r="I468" t="str" cm="1">
        <f t="array" ref="I468">ADAPTAR(B468)&amp;ADAPTAR(C468)&amp;"_"&amp;ADAPTAR(E468)&amp;F468</f>
        <v>luisalberto_sarmiento36875</v>
      </c>
      <c r="J468" s="13">
        <v>6</v>
      </c>
      <c r="K468" t="str" cm="1">
        <f t="array" ref="K468">ADAPTAR(B468)&amp;"."&amp;ADAPTAR(D468)&amp;YEAR(F468)&amp;"@"&amp;VLOOKUP(J468,Dominios!$A$2:$B$30,2,FALSE)</f>
        <v>luis.carvajal2000@enigmaserver.co</v>
      </c>
      <c r="L468" s="13">
        <v>6</v>
      </c>
      <c r="M468">
        <f>VLOOKUP(L468,Celulares!$A$2:$B$30,2,FALSE)</f>
        <v>3115060125</v>
      </c>
    </row>
    <row r="469" spans="1:13" ht="15.75" customHeight="1" x14ac:dyDescent="0.25">
      <c r="A469" t="s">
        <v>2446</v>
      </c>
      <c r="B469" s="2" t="s">
        <v>431</v>
      </c>
      <c r="C469" s="2" t="s">
        <v>339</v>
      </c>
      <c r="D469" s="2" t="s">
        <v>712</v>
      </c>
      <c r="E469" s="2" t="s">
        <v>754</v>
      </c>
      <c r="F469" s="6">
        <v>35314</v>
      </c>
      <c r="G469" s="16">
        <f t="shared" ca="1" si="7"/>
        <v>24.838356164383562</v>
      </c>
      <c r="H469" s="2" t="s">
        <v>556</v>
      </c>
      <c r="I469" t="str" cm="1">
        <f t="array" ref="I469">ADAPTAR(B469)&amp;ADAPTAR(C469)&amp;"_"&amp;ADAPTAR(E469)&amp;F469</f>
        <v>luisfernando_soto35314</v>
      </c>
      <c r="J469" s="13">
        <v>7</v>
      </c>
      <c r="K469" t="str" cm="1">
        <f t="array" ref="K469">ADAPTAR(B469)&amp;"."&amp;ADAPTAR(D469)&amp;YEAR(F469)&amp;"@"&amp;VLOOKUP(J469,Dominios!$A$2:$B$30,2,FALSE)</f>
        <v>luis.padilla1996@hocknas.co</v>
      </c>
      <c r="L469" s="13">
        <v>7</v>
      </c>
      <c r="M469">
        <f>VLOOKUP(L469,Celulares!$A$2:$B$30,2,FALSE)</f>
        <v>3115060110</v>
      </c>
    </row>
    <row r="470" spans="1:13" ht="15.75" customHeight="1" x14ac:dyDescent="0.25">
      <c r="A470" t="s">
        <v>2447</v>
      </c>
      <c r="B470" s="2" t="s">
        <v>431</v>
      </c>
      <c r="C470" s="2" t="s">
        <v>342</v>
      </c>
      <c r="D470" s="2" t="s">
        <v>793</v>
      </c>
      <c r="E470" s="2" t="s">
        <v>721</v>
      </c>
      <c r="F470" s="6">
        <v>36947</v>
      </c>
      <c r="G470" s="16">
        <f t="shared" ca="1" si="7"/>
        <v>20.364383561643837</v>
      </c>
      <c r="H470" s="2" t="s">
        <v>555</v>
      </c>
      <c r="I470" t="str" cm="1">
        <f t="array" ref="I470">ADAPTAR(B470)&amp;ADAPTAR(C470)&amp;"_"&amp;ADAPTAR(E470)&amp;F470</f>
        <v>luiscarlos_aguilar36947</v>
      </c>
      <c r="J470" s="13">
        <v>8</v>
      </c>
      <c r="K470" t="str" cm="1">
        <f t="array" ref="K470">ADAPTAR(B470)&amp;"."&amp;ADAPTAR(D470)&amp;YEAR(F470)&amp;"@"&amp;VLOOKUP(J470,Dominios!$A$2:$B$30,2,FALSE)</f>
        <v>luis.ramos2001@hostedoceri.co</v>
      </c>
      <c r="L470" s="13">
        <v>8</v>
      </c>
      <c r="M470">
        <f>VLOOKUP(L470,Celulares!$A$2:$B$30,2,FALSE)</f>
        <v>3115060091</v>
      </c>
    </row>
    <row r="471" spans="1:13" ht="15.75" customHeight="1" x14ac:dyDescent="0.25">
      <c r="A471" t="s">
        <v>2448</v>
      </c>
      <c r="B471" s="2" t="s">
        <v>341</v>
      </c>
      <c r="C471" s="2" t="s">
        <v>483</v>
      </c>
      <c r="D471" s="2" t="s">
        <v>710</v>
      </c>
      <c r="E471" s="2" t="s">
        <v>832</v>
      </c>
      <c r="F471" s="6">
        <v>37589</v>
      </c>
      <c r="G471" s="16">
        <f t="shared" ca="1" si="7"/>
        <v>18.605479452054794</v>
      </c>
      <c r="H471" s="2" t="s">
        <v>583</v>
      </c>
      <c r="I471" t="str" cm="1">
        <f t="array" ref="I471">ADAPTAR(B471)&amp;ADAPTAR(C471)&amp;"_"&amp;ADAPTAR(E471)&amp;F471</f>
        <v>juanjose_cardenas37589</v>
      </c>
      <c r="J471" s="13">
        <v>9</v>
      </c>
      <c r="K471" t="str" cm="1">
        <f t="array" ref="K471">ADAPTAR(B471)&amp;"."&amp;ADAPTAR(D471)&amp;YEAR(F471)&amp;"@"&amp;VLOOKUP(J471,Dominios!$A$2:$B$30,2,FALSE)</f>
        <v>juan.franco2002@libertas.com.co</v>
      </c>
      <c r="L471" s="13">
        <v>9</v>
      </c>
      <c r="M471">
        <f>VLOOKUP(L471,Celulares!$A$2:$B$30,2,FALSE)</f>
        <v>3115060080</v>
      </c>
    </row>
    <row r="472" spans="1:13" ht="15.75" customHeight="1" x14ac:dyDescent="0.25">
      <c r="A472" t="s">
        <v>2449</v>
      </c>
      <c r="B472" s="2" t="s">
        <v>483</v>
      </c>
      <c r="C472" s="2" t="s">
        <v>488</v>
      </c>
      <c r="D472" s="2" t="s">
        <v>829</v>
      </c>
      <c r="E472" s="2" t="s">
        <v>780</v>
      </c>
      <c r="F472" s="6">
        <v>28665</v>
      </c>
      <c r="G472" s="16">
        <f t="shared" ca="1" si="7"/>
        <v>43.054794520547944</v>
      </c>
      <c r="H472" s="2" t="s">
        <v>1409</v>
      </c>
      <c r="I472" t="str" cm="1">
        <f t="array" ref="I472">ADAPTAR(B472)&amp;ADAPTAR(C472)&amp;"_"&amp;ADAPTAR(E472)&amp;F472</f>
        <v>josejulian_amaya28665</v>
      </c>
      <c r="J472" s="13">
        <v>10</v>
      </c>
      <c r="K472" t="str" cm="1">
        <f t="array" ref="K472">ADAPTAR(B472)&amp;"."&amp;ADAPTAR(D472)&amp;YEAR(F472)&amp;"@"&amp;VLOOKUP(J472,Dominios!$A$2:$B$30,2,FALSE)</f>
        <v>jose.palacio1978@nascitur.com.co</v>
      </c>
      <c r="L472" s="13">
        <v>10</v>
      </c>
      <c r="M472">
        <f>VLOOKUP(L472,Celulares!$A$2:$B$30,2,FALSE)</f>
        <v>3115114385</v>
      </c>
    </row>
    <row r="473" spans="1:13" ht="15.75" customHeight="1" x14ac:dyDescent="0.25">
      <c r="A473" t="s">
        <v>2450</v>
      </c>
      <c r="B473" s="2" t="s">
        <v>374</v>
      </c>
      <c r="C473" s="2" t="s">
        <v>1431</v>
      </c>
      <c r="D473" s="2" t="s">
        <v>769</v>
      </c>
      <c r="E473" s="2" t="s">
        <v>719</v>
      </c>
      <c r="F473" s="6">
        <v>31339</v>
      </c>
      <c r="G473" s="16">
        <f t="shared" ca="1" si="7"/>
        <v>35.728767123287675</v>
      </c>
      <c r="H473" s="2" t="s">
        <v>592</v>
      </c>
      <c r="I473" t="str" cm="1">
        <f t="array" ref="I473">ADAPTAR(B473)&amp;ADAPTAR(C473)&amp;"_"&amp;ADAPTAR(E473)&amp;F473</f>
        <v>marcofabricio_suarez31339</v>
      </c>
      <c r="J473" s="13">
        <v>11</v>
      </c>
      <c r="K473" t="str" cm="1">
        <f t="array" ref="K473">ADAPTAR(B473)&amp;"."&amp;ADAPTAR(D473)&amp;YEAR(F473)&amp;"@"&amp;VLOOKUP(J473,Dominios!$A$2:$B$30,2,FALSE)</f>
        <v>marco.angulo1985@nemesis.ml</v>
      </c>
      <c r="L473" s="13">
        <v>11</v>
      </c>
      <c r="M473">
        <f>VLOOKUP(L473,Celulares!$A$2:$B$30,2,FALSE)</f>
        <v>3115114360</v>
      </c>
    </row>
    <row r="474" spans="1:13" ht="15.75" customHeight="1" x14ac:dyDescent="0.25">
      <c r="A474" t="s">
        <v>2451</v>
      </c>
      <c r="B474" s="2" t="s">
        <v>483</v>
      </c>
      <c r="C474" s="2" t="s">
        <v>353</v>
      </c>
      <c r="D474" s="2" t="s">
        <v>221</v>
      </c>
      <c r="E474" s="2" t="s">
        <v>824</v>
      </c>
      <c r="F474" s="6">
        <v>29849</v>
      </c>
      <c r="G474" s="16">
        <f t="shared" ca="1" si="7"/>
        <v>39.81095890410959</v>
      </c>
      <c r="H474" s="2" t="s">
        <v>539</v>
      </c>
      <c r="I474" t="str" cm="1">
        <f t="array" ref="I474">ADAPTAR(B474)&amp;ADAPTAR(C474)&amp;"_"&amp;ADAPTAR(E474)&amp;F474</f>
        <v>josesantiago_jaramillo29849</v>
      </c>
      <c r="J474" s="13">
        <v>12</v>
      </c>
      <c r="K474" t="str" cm="1">
        <f t="array" ref="K474">ADAPTAR(B474)&amp;"."&amp;ADAPTAR(D474)&amp;YEAR(F474)&amp;"@"&amp;VLOOKUP(J474,Dominios!$A$2:$B$30,2,FALSE)</f>
        <v>jose.silva1981@nunquam.com.co</v>
      </c>
      <c r="L474" s="13">
        <v>12</v>
      </c>
      <c r="M474">
        <f>VLOOKUP(L474,Celulares!$A$2:$B$30,2,FALSE)</f>
        <v>3115093653</v>
      </c>
    </row>
    <row r="475" spans="1:13" ht="15.75" customHeight="1" x14ac:dyDescent="0.25">
      <c r="A475" t="s">
        <v>2452</v>
      </c>
      <c r="B475" s="2" t="s">
        <v>342</v>
      </c>
      <c r="C475" s="2" t="s">
        <v>487</v>
      </c>
      <c r="D475" s="2" t="s">
        <v>800</v>
      </c>
      <c r="E475" s="2" t="s">
        <v>745</v>
      </c>
      <c r="F475" s="6">
        <v>36436</v>
      </c>
      <c r="G475" s="16">
        <f t="shared" ca="1" si="7"/>
        <v>21.764383561643836</v>
      </c>
      <c r="H475" s="2" t="s">
        <v>574</v>
      </c>
      <c r="I475" t="str" cm="1">
        <f t="array" ref="I475">ADAPTAR(B475)&amp;ADAPTAR(C475)&amp;"_"&amp;ADAPTAR(E475)&amp;F475</f>
        <v>carlosdanilo_zambrano36436</v>
      </c>
      <c r="J475" s="13">
        <v>13</v>
      </c>
      <c r="K475" t="str" cm="1">
        <f t="array" ref="K475">ADAPTAR(B475)&amp;"."&amp;ADAPTAR(D475)&amp;YEAR(F475)&amp;"@"&amp;VLOOKUP(J475,Dominios!$A$2:$B$30,2,FALSE)</f>
        <v>carlos.carrillo1999@sempiternam.co</v>
      </c>
      <c r="L475" s="13">
        <v>13</v>
      </c>
      <c r="M475">
        <f>VLOOKUP(L475,Celulares!$A$2:$B$30,2,FALSE)</f>
        <v>3115093598</v>
      </c>
    </row>
    <row r="476" spans="1:13" ht="15.75" customHeight="1" x14ac:dyDescent="0.25">
      <c r="A476" t="s">
        <v>2453</v>
      </c>
      <c r="B476" s="2" t="s">
        <v>1432</v>
      </c>
      <c r="C476" s="2" t="s">
        <v>1433</v>
      </c>
      <c r="D476" s="2" t="s">
        <v>717</v>
      </c>
      <c r="E476" s="2" t="s">
        <v>692</v>
      </c>
      <c r="F476" s="6">
        <v>26683</v>
      </c>
      <c r="G476" s="16">
        <f t="shared" ca="1" si="7"/>
        <v>48.484931506849314</v>
      </c>
      <c r="H476" s="2" t="s">
        <v>1372</v>
      </c>
      <c r="I476" t="str" cm="1">
        <f t="array" ref="I476">ADAPTAR(B476)&amp;ADAPTAR(C476)&amp;"_"&amp;ADAPTAR(E476)&amp;F476</f>
        <v>brunomarcelo_hurtado26683</v>
      </c>
      <c r="J476" s="13">
        <v>14</v>
      </c>
      <c r="K476" t="str" cm="1">
        <f t="array" ref="K476">ADAPTAR(B476)&amp;"."&amp;ADAPTAR(D476)&amp;YEAR(F476)&amp;"@"&amp;VLOOKUP(J476,Dominios!$A$2:$B$30,2,FALSE)</f>
        <v>bruno.vasquez1973@sk9.co</v>
      </c>
      <c r="L476" s="13">
        <v>14</v>
      </c>
      <c r="M476">
        <f>VLOOKUP(L476,Celulares!$A$2:$B$30,2,FALSE)</f>
        <v>3115093583</v>
      </c>
    </row>
    <row r="477" spans="1:13" ht="15.75" customHeight="1" x14ac:dyDescent="0.25">
      <c r="A477" t="s">
        <v>2454</v>
      </c>
      <c r="B477" s="2" t="s">
        <v>1434</v>
      </c>
      <c r="C477" s="2" t="s">
        <v>1435</v>
      </c>
      <c r="D477" s="2" t="s">
        <v>767</v>
      </c>
      <c r="E477" s="2" t="s">
        <v>736</v>
      </c>
      <c r="F477" s="6">
        <v>31310</v>
      </c>
      <c r="G477" s="16">
        <f t="shared" ca="1" si="7"/>
        <v>35.80821917808219</v>
      </c>
      <c r="H477" s="2" t="s">
        <v>1371</v>
      </c>
      <c r="I477" t="str" cm="1">
        <f t="array" ref="I477">ADAPTAR(B477)&amp;ADAPTAR(C477)&amp;"_"&amp;ADAPTAR(E477)&amp;F477</f>
        <v>dylanabel_bohorquez31310</v>
      </c>
      <c r="J477" s="13">
        <v>15</v>
      </c>
      <c r="K477" t="str" cm="1">
        <f t="array" ref="K477">ADAPTAR(B477)&amp;"."&amp;ADAPTAR(D477)&amp;YEAR(F477)&amp;"@"&amp;VLOOKUP(J477,Dominios!$A$2:$B$30,2,FALSE)</f>
        <v>dylan.toro1985@socialmediacolombia.com.co</v>
      </c>
      <c r="L477" s="13">
        <v>15</v>
      </c>
      <c r="M477">
        <f>VLOOKUP(L477,Celulares!$A$2:$B$30,2,FALSE)</f>
        <v>3115092386</v>
      </c>
    </row>
    <row r="478" spans="1:13" ht="15.75" customHeight="1" x14ac:dyDescent="0.25">
      <c r="A478" t="s">
        <v>2455</v>
      </c>
      <c r="B478" s="2" t="s">
        <v>1118</v>
      </c>
      <c r="C478" s="2" t="s">
        <v>508</v>
      </c>
      <c r="D478" s="2" t="s">
        <v>750</v>
      </c>
      <c r="E478" s="2" t="s">
        <v>829</v>
      </c>
      <c r="F478" s="6">
        <v>35071</v>
      </c>
      <c r="G478" s="16">
        <f t="shared" ca="1" si="7"/>
        <v>25.504109589041096</v>
      </c>
      <c r="H478" s="2" t="s">
        <v>1377</v>
      </c>
      <c r="I478" t="str" cm="1">
        <f t="array" ref="I478">ADAPTAR(B478)&amp;ADAPTAR(C478)&amp;"_"&amp;ADAPTAR(E478)&amp;F478</f>
        <v>ianalexander_palacio35071</v>
      </c>
      <c r="J478" s="13">
        <v>16</v>
      </c>
      <c r="K478" t="str" cm="1">
        <f t="array" ref="K478">ADAPTAR(B478)&amp;"."&amp;ADAPTAR(D478)&amp;YEAR(F478)&amp;"@"&amp;VLOOKUP(J478,Dominios!$A$2:$B$30,2,FALSE)</f>
        <v>ian.cardona1996@tecnicoensistemas.com.co</v>
      </c>
      <c r="L478" s="13">
        <v>16</v>
      </c>
      <c r="M478">
        <f>VLOOKUP(L478,Celulares!$A$2:$B$30,2,FALSE)</f>
        <v>3115092375</v>
      </c>
    </row>
    <row r="479" spans="1:13" ht="15.75" customHeight="1" x14ac:dyDescent="0.25">
      <c r="A479" t="s">
        <v>2456</v>
      </c>
      <c r="B479" s="2" t="s">
        <v>483</v>
      </c>
      <c r="C479" s="2" t="s">
        <v>1115</v>
      </c>
      <c r="D479" s="2" t="s">
        <v>755</v>
      </c>
      <c r="E479" s="2" t="s">
        <v>673</v>
      </c>
      <c r="F479" s="6">
        <v>32379</v>
      </c>
      <c r="G479" s="16">
        <f t="shared" ca="1" si="7"/>
        <v>32.87945205479452</v>
      </c>
      <c r="H479" s="2" t="s">
        <v>1382</v>
      </c>
      <c r="I479" t="str" cm="1">
        <f t="array" ref="I479">ADAPTAR(B479)&amp;ADAPTAR(C479)&amp;"_"&amp;ADAPTAR(E479)&amp;F479</f>
        <v>joseemiliano_molina32379</v>
      </c>
      <c r="J479" s="13">
        <v>17</v>
      </c>
      <c r="K479" t="str" cm="1">
        <f t="array" ref="K479">ADAPTAR(B479)&amp;"."&amp;ADAPTAR(D479)&amp;YEAR(F479)&amp;"@"&amp;VLOOKUP(J479,Dominios!$A$2:$B$30,2,FALSE)</f>
        <v>jose.bolanos1988@totum.com.co</v>
      </c>
      <c r="L479" s="13">
        <v>17</v>
      </c>
      <c r="M479">
        <f>VLOOKUP(L479,Celulares!$A$2:$B$30,2,FALSE)</f>
        <v>3115092369</v>
      </c>
    </row>
    <row r="480" spans="1:13" ht="15.75" customHeight="1" x14ac:dyDescent="0.25">
      <c r="A480" t="s">
        <v>2457</v>
      </c>
      <c r="B480" s="2" t="s">
        <v>1131</v>
      </c>
      <c r="C480" s="2" t="s">
        <v>1123</v>
      </c>
      <c r="D480" s="2" t="s">
        <v>845</v>
      </c>
      <c r="E480" s="2" t="s">
        <v>688</v>
      </c>
      <c r="F480" s="6">
        <v>35279</v>
      </c>
      <c r="G480" s="16">
        <f t="shared" ca="1" si="7"/>
        <v>24.934246575342467</v>
      </c>
      <c r="H480" s="2" t="s">
        <v>589</v>
      </c>
      <c r="I480" t="str" cm="1">
        <f t="array" ref="I480">ADAPTAR(B480)&amp;ADAPTAR(C480)&amp;"_"&amp;ADAPTAR(E480)&amp;F480</f>
        <v>simonmateo_escobar35279</v>
      </c>
      <c r="J480" s="13">
        <v>18</v>
      </c>
      <c r="K480" t="str" cm="1">
        <f t="array" ref="K480">ADAPTAR(B480)&amp;"."&amp;ADAPTAR(D480)&amp;YEAR(F480)&amp;"@"&amp;VLOOKUP(J480,Dominios!$A$2:$B$30,2,FALSE)</f>
        <v>simon.zuniga1996@voipcolombia.co</v>
      </c>
      <c r="L480" s="13">
        <v>18</v>
      </c>
      <c r="M480">
        <f>VLOOKUP(L480,Celulares!$A$2:$B$30,2,FALSE)</f>
        <v>3115092360</v>
      </c>
    </row>
    <row r="481" spans="1:14" ht="15.75" customHeight="1" x14ac:dyDescent="0.25">
      <c r="A481" t="s">
        <v>2458</v>
      </c>
      <c r="B481" s="2" t="s">
        <v>431</v>
      </c>
      <c r="C481" s="2" t="s">
        <v>1145</v>
      </c>
      <c r="D481" s="2" t="s">
        <v>699</v>
      </c>
      <c r="E481" s="2" t="s">
        <v>831</v>
      </c>
      <c r="F481" s="6">
        <v>32637</v>
      </c>
      <c r="G481" s="16">
        <f t="shared" ca="1" si="7"/>
        <v>32.172602739726024</v>
      </c>
      <c r="H481" s="2" t="s">
        <v>577</v>
      </c>
      <c r="I481" t="str" cm="1">
        <f t="array" ref="I481">ADAPTAR(B481)&amp;ADAPTAR(C481)&amp;"_"&amp;ADAPTAR(E481)&amp;F481</f>
        <v>luisarmando_arrieta32637</v>
      </c>
      <c r="J481" s="13">
        <v>19</v>
      </c>
      <c r="K481" t="str" cm="1">
        <f t="array" ref="K481">ADAPTAR(B481)&amp;"."&amp;ADAPTAR(D481)&amp;YEAR(F481)&amp;"@"&amp;VLOOKUP(J481,Dominios!$A$2:$B$30,2,FALSE)</f>
        <v>luis.murillo1989@vpncolombia.com.co</v>
      </c>
      <c r="L481" s="13">
        <v>19</v>
      </c>
      <c r="M481">
        <f>VLOOKUP(L481,Celulares!$A$2:$B$30,2,FALSE)</f>
        <v>3115092352</v>
      </c>
    </row>
    <row r="482" spans="1:14" ht="15.75" customHeight="1" x14ac:dyDescent="0.25">
      <c r="A482" t="s">
        <v>2459</v>
      </c>
      <c r="B482" s="2" t="s">
        <v>448</v>
      </c>
      <c r="C482" s="2" t="s">
        <v>333</v>
      </c>
      <c r="D482" s="2" t="s">
        <v>713</v>
      </c>
      <c r="E482" s="2" t="s">
        <v>795</v>
      </c>
      <c r="F482" s="6">
        <v>27621</v>
      </c>
      <c r="G482" s="16">
        <f t="shared" ca="1" si="7"/>
        <v>45.915068493150685</v>
      </c>
      <c r="H482" s="2" t="s">
        <v>573</v>
      </c>
      <c r="I482" t="str" cm="1">
        <f t="array" ref="I482">ADAPTAR(B482)&amp;ADAPTAR(C482)&amp;"_"&amp;ADAPTAR(E482)&amp;F482</f>
        <v>ivanalejandro_hoyos27621</v>
      </c>
      <c r="J482" s="13">
        <v>0</v>
      </c>
      <c r="K482" t="str" cm="1">
        <f t="array" ref="K482">ADAPTAR(B482)&amp;"."&amp;ADAPTAR(D482)&amp;YEAR(F482)&amp;"@"&amp;VLOOKUP(J482,Dominios!$A$2:$B$30,2,FALSE)</f>
        <v>ivan.betancur1975@auribus.com.co</v>
      </c>
      <c r="L482" s="13">
        <v>0</v>
      </c>
      <c r="M482">
        <f>VLOOKUP(L482,Celulares!$A$2:$B$30,2,FALSE)</f>
        <v>3115114930</v>
      </c>
    </row>
    <row r="483" spans="1:14" ht="15.75" customHeight="1" x14ac:dyDescent="0.25">
      <c r="A483" t="s">
        <v>2460</v>
      </c>
      <c r="B483" s="2" t="s">
        <v>860</v>
      </c>
      <c r="C483" s="2" t="s">
        <v>649</v>
      </c>
      <c r="D483" s="2" t="s">
        <v>702</v>
      </c>
      <c r="E483" s="2" t="s">
        <v>675</v>
      </c>
      <c r="F483" s="6">
        <v>36400</v>
      </c>
      <c r="G483" s="16">
        <f t="shared" ca="1" si="7"/>
        <v>21.863013698630137</v>
      </c>
      <c r="H483" s="2" t="s">
        <v>578</v>
      </c>
      <c r="I483" t="str" cm="1">
        <f t="array" ref="I483">ADAPTAR(B483)&amp;ADAPTAR(C483)&amp;"_"&amp;ADAPTAR(E483)&amp;F483</f>
        <v>edgararturo_rincon36400</v>
      </c>
      <c r="J483" s="13">
        <v>1</v>
      </c>
      <c r="K483" t="str" cm="1">
        <f t="array" ref="K483">ADAPTAR(B483)&amp;"."&amp;ADAPTAR(D483)&amp;YEAR(F483)&amp;"@"&amp;VLOOKUP(J483,Dominios!$A$2:$B$30,2,FALSE)</f>
        <v>edgar.mendez1999@colamus.co</v>
      </c>
      <c r="L483" s="13">
        <v>1</v>
      </c>
      <c r="M483">
        <f>VLOOKUP(L483,Celulares!$A$2:$B$30,2,FALSE)</f>
        <v>3115114916</v>
      </c>
    </row>
    <row r="484" spans="1:14" ht="15.75" customHeight="1" x14ac:dyDescent="0.25">
      <c r="A484" t="s">
        <v>2461</v>
      </c>
      <c r="B484" s="2" t="s">
        <v>507</v>
      </c>
      <c r="C484" s="2" t="s">
        <v>481</v>
      </c>
      <c r="D484" s="2" t="s">
        <v>832</v>
      </c>
      <c r="E484" s="2" t="s">
        <v>815</v>
      </c>
      <c r="F484" s="6">
        <v>30466</v>
      </c>
      <c r="G484" s="16">
        <f t="shared" ca="1" si="7"/>
        <v>38.12054794520548</v>
      </c>
      <c r="H484" s="2" t="s">
        <v>1312</v>
      </c>
      <c r="I484" t="str" cm="1">
        <f t="array" ref="I484">ADAPTAR(B484)&amp;ADAPTAR(C484)&amp;"_"&amp;ADAPTAR(E484)&amp;F484</f>
        <v>victormanuel_palacios30466</v>
      </c>
      <c r="J484" s="13">
        <v>2</v>
      </c>
      <c r="K484" t="str" cm="1">
        <f t="array" ref="K484">ADAPTAR(B484)&amp;"."&amp;ADAPTAR(D484)&amp;YEAR(F484)&amp;"@"&amp;VLOOKUP(J484,Dominios!$A$2:$B$30,2,FALSE)</f>
        <v>victor.cardenas1983@colombiamail.co</v>
      </c>
      <c r="L484" s="13">
        <v>2</v>
      </c>
      <c r="M484">
        <f>VLOOKUP(L484,Celulares!$A$2:$B$30,2,FALSE)</f>
        <v>3115114911</v>
      </c>
    </row>
    <row r="485" spans="1:14" ht="15.75" customHeight="1" x14ac:dyDescent="0.25">
      <c r="A485" t="s">
        <v>2462</v>
      </c>
      <c r="B485" s="2" t="s">
        <v>873</v>
      </c>
      <c r="C485" s="2" t="s">
        <v>662</v>
      </c>
      <c r="D485" s="2" t="s">
        <v>811</v>
      </c>
      <c r="E485" s="2" t="s">
        <v>845</v>
      </c>
      <c r="F485" s="6">
        <v>31869</v>
      </c>
      <c r="G485" s="16">
        <f t="shared" ca="1" si="7"/>
        <v>34.276712328767125</v>
      </c>
      <c r="H485" s="2" t="s">
        <v>1361</v>
      </c>
      <c r="I485" t="str" cm="1">
        <f t="array" ref="I485">ADAPTAR(B485)&amp;ADAPTAR(C485)&amp;"_"&amp;ADAPTAR(E485)&amp;F485</f>
        <v>jorgemario_zuniga31869</v>
      </c>
      <c r="J485" s="13">
        <v>3</v>
      </c>
      <c r="K485" t="str" cm="1">
        <f t="array" ref="K485">ADAPTAR(B485)&amp;"."&amp;ADAPTAR(D485)&amp;YEAR(F485)&amp;"@"&amp;VLOOKUP(J485,Dominios!$A$2:$B$30,2,FALSE)</f>
        <v>jorge.rodriguez1987@diabunter.co</v>
      </c>
      <c r="L485" s="13">
        <v>3</v>
      </c>
      <c r="M485">
        <f>VLOOKUP(L485,Celulares!$A$2:$B$30,2,FALSE)</f>
        <v>3115114910</v>
      </c>
    </row>
    <row r="486" spans="1:14" s="7" customFormat="1" ht="15.75" customHeight="1" x14ac:dyDescent="0.25">
      <c r="A486" s="7" t="s">
        <v>2463</v>
      </c>
      <c r="B486" s="8" t="s">
        <v>342</v>
      </c>
      <c r="C486" s="8" t="s">
        <v>450</v>
      </c>
      <c r="D486" s="8" t="s">
        <v>733</v>
      </c>
      <c r="E486" s="8" t="s">
        <v>701</v>
      </c>
      <c r="F486" s="9">
        <v>33217</v>
      </c>
      <c r="G486" s="17">
        <f t="shared" ca="1" si="7"/>
        <v>30.583561643835615</v>
      </c>
      <c r="H486" s="8" t="s">
        <v>569</v>
      </c>
      <c r="I486" t="str" cm="1">
        <f t="array" ref="I486">ADAPTAR(B486)&amp;ADAPTAR(C486)&amp;"_"&amp;ADAPTAR(E486)&amp;F486</f>
        <v>carlosenrique_vega33217</v>
      </c>
      <c r="J486" s="13">
        <v>4</v>
      </c>
      <c r="K486" t="str" cm="1">
        <f t="array" ref="K486">ADAPTAR(B486)&amp;"."&amp;ADAPTAR(D486)&amp;YEAR(F486)&amp;"@"&amp;VLOOKUP(J486,Dominios!$A$2:$B$30,2,FALSE)</f>
        <v>carlos.meneses1990@ebrietas.co</v>
      </c>
      <c r="L486" s="13">
        <v>4</v>
      </c>
      <c r="M486">
        <f>VLOOKUP(L486,Celulares!$A$2:$B$30,2,FALSE)</f>
        <v>3115114909</v>
      </c>
      <c r="N486" s="13"/>
    </row>
    <row r="487" spans="1:14" ht="15.75" customHeight="1" x14ac:dyDescent="0.25">
      <c r="L487" s="13"/>
    </row>
    <row r="488" spans="1:14" ht="15.75" customHeight="1" x14ac:dyDescent="0.25">
      <c r="L488" s="13"/>
    </row>
    <row r="489" spans="1:14" ht="15.75" customHeight="1" x14ac:dyDescent="0.25">
      <c r="L489" s="13"/>
    </row>
    <row r="490" spans="1:14" ht="15.75" customHeight="1" x14ac:dyDescent="0.25">
      <c r="L490" s="13"/>
    </row>
    <row r="491" spans="1:14" ht="15.75" customHeight="1" x14ac:dyDescent="0.25">
      <c r="L491" s="13"/>
    </row>
    <row r="492" spans="1:14" ht="15.75" customHeight="1" x14ac:dyDescent="0.25">
      <c r="L492" s="13"/>
    </row>
    <row r="493" spans="1:14" ht="15.75" customHeight="1" x14ac:dyDescent="0.25">
      <c r="L493" s="13"/>
    </row>
    <row r="494" spans="1:14" ht="15.75" customHeight="1" x14ac:dyDescent="0.25">
      <c r="L494" s="13"/>
    </row>
    <row r="495" spans="1:14" ht="15.75" customHeight="1" x14ac:dyDescent="0.25">
      <c r="L495" s="13"/>
    </row>
    <row r="496" spans="1:14" ht="15.75" customHeight="1" x14ac:dyDescent="0.25">
      <c r="L496" s="13"/>
    </row>
    <row r="497" spans="12:12" ht="15.75" customHeight="1" x14ac:dyDescent="0.25">
      <c r="L497" s="13"/>
    </row>
    <row r="498" spans="12:12" ht="15.75" customHeight="1" x14ac:dyDescent="0.25">
      <c r="L498" s="13"/>
    </row>
    <row r="499" spans="12:12" ht="15.75" customHeight="1" x14ac:dyDescent="0.25">
      <c r="L499" s="13"/>
    </row>
    <row r="500" spans="12:12" ht="15.75" customHeight="1" x14ac:dyDescent="0.25">
      <c r="L500" s="13"/>
    </row>
    <row r="501" spans="12:12" ht="15.75" customHeight="1" x14ac:dyDescent="0.25">
      <c r="L501" s="13"/>
    </row>
    <row r="502" spans="12:12" ht="15.75" customHeight="1" x14ac:dyDescent="0.25">
      <c r="L502" s="13"/>
    </row>
    <row r="503" spans="12:12" ht="15.75" customHeight="1" x14ac:dyDescent="0.25">
      <c r="L503" s="13"/>
    </row>
    <row r="504" spans="12:12" ht="15.75" customHeight="1" x14ac:dyDescent="0.25">
      <c r="L504" s="13"/>
    </row>
    <row r="505" spans="12:12" ht="15.75" customHeight="1" x14ac:dyDescent="0.25">
      <c r="L505" s="13"/>
    </row>
    <row r="506" spans="12:12" ht="15.75" customHeight="1" x14ac:dyDescent="0.25">
      <c r="L506" s="13"/>
    </row>
    <row r="507" spans="12:12" ht="15.75" customHeight="1" x14ac:dyDescent="0.25">
      <c r="L507" s="13"/>
    </row>
    <row r="508" spans="12:12" ht="15.75" customHeight="1" x14ac:dyDescent="0.25">
      <c r="L508" s="13"/>
    </row>
    <row r="509" spans="12:12" ht="15.75" customHeight="1" x14ac:dyDescent="0.25">
      <c r="L509" s="13"/>
    </row>
    <row r="510" spans="12:12" ht="15.75" customHeight="1" x14ac:dyDescent="0.25">
      <c r="L510" s="13"/>
    </row>
    <row r="511" spans="12:12" ht="15.75" customHeight="1" x14ac:dyDescent="0.25">
      <c r="L511" s="13"/>
    </row>
    <row r="512" spans="12:12" ht="15.75" customHeight="1" x14ac:dyDescent="0.25">
      <c r="L512" s="13"/>
    </row>
    <row r="513" spans="12:12" ht="15.75" customHeight="1" x14ac:dyDescent="0.25">
      <c r="L513" s="13"/>
    </row>
    <row r="514" spans="12:12" ht="15.75" customHeight="1" x14ac:dyDescent="0.25">
      <c r="L514" s="13"/>
    </row>
    <row r="515" spans="12:12" ht="15.75" customHeight="1" x14ac:dyDescent="0.25">
      <c r="L515" s="13"/>
    </row>
    <row r="516" spans="12:12" ht="15.75" customHeight="1" x14ac:dyDescent="0.25">
      <c r="L516" s="13"/>
    </row>
    <row r="517" spans="12:12" ht="15.75" customHeight="1" x14ac:dyDescent="0.25">
      <c r="L517" s="13"/>
    </row>
    <row r="518" spans="12:12" ht="15.75" customHeight="1" x14ac:dyDescent="0.25">
      <c r="L518" s="13"/>
    </row>
    <row r="519" spans="12:12" ht="15.75" customHeight="1" x14ac:dyDescent="0.25">
      <c r="L519" s="13"/>
    </row>
    <row r="520" spans="12:12" ht="15.75" customHeight="1" x14ac:dyDescent="0.25">
      <c r="L520" s="13"/>
    </row>
    <row r="521" spans="12:12" ht="15.75" customHeight="1" x14ac:dyDescent="0.25">
      <c r="L521" s="13"/>
    </row>
    <row r="522" spans="12:12" ht="15.75" customHeight="1" x14ac:dyDescent="0.25">
      <c r="L522" s="13"/>
    </row>
    <row r="523" spans="12:12" ht="15.75" customHeight="1" x14ac:dyDescent="0.25">
      <c r="L523" s="13"/>
    </row>
    <row r="524" spans="12:12" ht="15.75" customHeight="1" x14ac:dyDescent="0.25">
      <c r="L524" s="13"/>
    </row>
    <row r="525" spans="12:12" ht="15.75" customHeight="1" x14ac:dyDescent="0.25">
      <c r="L525" s="13"/>
    </row>
    <row r="526" spans="12:12" ht="15.75" customHeight="1" x14ac:dyDescent="0.25">
      <c r="L526" s="13"/>
    </row>
    <row r="527" spans="12:12" ht="15.75" customHeight="1" x14ac:dyDescent="0.25">
      <c r="L527" s="13"/>
    </row>
    <row r="528" spans="12:12" ht="15.75" customHeight="1" x14ac:dyDescent="0.25">
      <c r="L528" s="13"/>
    </row>
    <row r="529" spans="12:12" ht="15.75" customHeight="1" x14ac:dyDescent="0.25">
      <c r="L529" s="13"/>
    </row>
    <row r="530" spans="12:12" ht="15.75" customHeight="1" x14ac:dyDescent="0.25">
      <c r="L530" s="13"/>
    </row>
    <row r="531" spans="12:12" ht="15.75" customHeight="1" x14ac:dyDescent="0.25">
      <c r="L531" s="13"/>
    </row>
    <row r="532" spans="12:12" ht="15.75" customHeight="1" x14ac:dyDescent="0.25">
      <c r="L532" s="13"/>
    </row>
    <row r="533" spans="12:12" ht="15.75" customHeight="1" x14ac:dyDescent="0.25">
      <c r="L533" s="13"/>
    </row>
    <row r="534" spans="12:12" ht="15.75" customHeight="1" x14ac:dyDescent="0.25">
      <c r="L534" s="13"/>
    </row>
    <row r="535" spans="12:12" ht="15.75" customHeight="1" x14ac:dyDescent="0.25">
      <c r="L535" s="13"/>
    </row>
    <row r="536" spans="12:12" ht="15.75" customHeight="1" x14ac:dyDescent="0.25">
      <c r="L536" s="13"/>
    </row>
    <row r="537" spans="12:12" ht="15.75" customHeight="1" x14ac:dyDescent="0.25">
      <c r="L537" s="13"/>
    </row>
    <row r="538" spans="12:12" ht="15.75" customHeight="1" x14ac:dyDescent="0.25">
      <c r="L538" s="13"/>
    </row>
    <row r="539" spans="12:12" ht="15.75" customHeight="1" x14ac:dyDescent="0.25">
      <c r="L539" s="13"/>
    </row>
    <row r="540" spans="12:12" ht="15.75" customHeight="1" x14ac:dyDescent="0.25">
      <c r="L540" s="13"/>
    </row>
    <row r="541" spans="12:12" ht="15.75" customHeight="1" x14ac:dyDescent="0.25">
      <c r="L541" s="13"/>
    </row>
    <row r="542" spans="12:12" ht="15.75" customHeight="1" x14ac:dyDescent="0.25">
      <c r="L542" s="13"/>
    </row>
    <row r="543" spans="12:12" ht="15.75" customHeight="1" x14ac:dyDescent="0.25">
      <c r="L543" s="13"/>
    </row>
  </sheetData>
  <sortState xmlns:xlrd2="http://schemas.microsoft.com/office/spreadsheetml/2017/richdata2" ref="J2:J21">
    <sortCondition ref="J21"/>
  </sortState>
  <phoneticPr fontId="6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M544"/>
  <sheetViews>
    <sheetView zoomScaleNormal="100" workbookViewId="0">
      <selection activeCell="M543" sqref="A2:M543"/>
    </sheetView>
  </sheetViews>
  <sheetFormatPr baseColWidth="10" defaultColWidth="14.44140625" defaultRowHeight="15.75" customHeight="1" x14ac:dyDescent="0.25"/>
  <cols>
    <col min="2" max="2" width="20.109375" customWidth="1"/>
    <col min="3" max="3" width="21.44140625" customWidth="1"/>
    <col min="4" max="4" width="21.33203125" customWidth="1"/>
    <col min="5" max="5" width="22.33203125" customWidth="1"/>
    <col min="6" max="6" width="26.33203125" customWidth="1"/>
    <col min="7" max="7" width="11.88671875" style="13" customWidth="1"/>
    <col min="8" max="8" width="31.44140625" customWidth="1"/>
    <col min="9" max="9" width="32.5546875" customWidth="1"/>
    <col min="10" max="10" width="13.44140625" style="13" customWidth="1"/>
    <col min="11" max="11" width="42.88671875" customWidth="1"/>
    <col min="12" max="12" width="13.88671875" customWidth="1"/>
  </cols>
  <sheetData>
    <row r="1" spans="1:13" ht="13.2" x14ac:dyDescent="0.25">
      <c r="A1" s="1" t="s">
        <v>1436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495</v>
      </c>
      <c r="H1" s="1" t="s">
        <v>5</v>
      </c>
      <c r="I1" s="1" t="s">
        <v>2464</v>
      </c>
      <c r="J1" s="1" t="s">
        <v>2501</v>
      </c>
      <c r="K1" s="1" t="s">
        <v>2479</v>
      </c>
      <c r="L1" s="1" t="s">
        <v>2502</v>
      </c>
      <c r="M1" s="1" t="s">
        <v>2480</v>
      </c>
    </row>
    <row r="2" spans="1:13" ht="15.75" customHeight="1" x14ac:dyDescent="0.25">
      <c r="A2" t="s">
        <v>1437</v>
      </c>
      <c r="B2" s="3" t="s">
        <v>6</v>
      </c>
      <c r="C2" s="3" t="s">
        <v>38</v>
      </c>
      <c r="D2" s="3" t="s">
        <v>39</v>
      </c>
      <c r="E2" s="3" t="s">
        <v>2465</v>
      </c>
      <c r="F2" s="5">
        <v>36937</v>
      </c>
      <c r="G2" s="14">
        <f ca="1">(TODAY()-F2)/365</f>
        <v>20.391780821917809</v>
      </c>
      <c r="H2" s="3" t="s">
        <v>1163</v>
      </c>
      <c r="I2" t="str" cm="1">
        <f t="array" ref="I2">ADAPTAR(B2)&amp;ADAPTAR(C2)&amp;"_"&amp;ADAPTAR(E2)&amp;F2</f>
        <v>sofiahelena_perez36937</v>
      </c>
      <c r="J2" s="13">
        <v>0</v>
      </c>
      <c r="K2" t="str" cm="1">
        <f t="array" ref="K2">ADAPTAR(B2)&amp;"."&amp;ADAPTAR(D2)&amp;YEAR(F2)&amp;"@"&amp;VLOOKUP(J2,Dominios!$A$2:$B$30,2,FALSE)</f>
        <v>sofia.rincon2001@auribus.com.co</v>
      </c>
      <c r="L2" s="13">
        <v>0</v>
      </c>
      <c r="M2">
        <f>VLOOKUP(L2,Celulares!$A$2:$B$30,2,FALSE)</f>
        <v>3115114930</v>
      </c>
    </row>
    <row r="3" spans="1:13" ht="15.75" customHeight="1" x14ac:dyDescent="0.25">
      <c r="A3" t="s">
        <v>1438</v>
      </c>
      <c r="B3" s="3" t="s">
        <v>50</v>
      </c>
      <c r="C3" s="3" t="s">
        <v>218</v>
      </c>
      <c r="D3" s="3" t="s">
        <v>85</v>
      </c>
      <c r="E3" s="3" t="s">
        <v>219</v>
      </c>
      <c r="F3" s="5">
        <v>34479</v>
      </c>
      <c r="G3" s="14">
        <f t="shared" ref="G3:G66" ca="1" si="0">(TODAY()-F3)/365</f>
        <v>27.126027397260273</v>
      </c>
      <c r="H3" s="3" t="s">
        <v>569</v>
      </c>
      <c r="I3" t="str" cm="1">
        <f t="array" ref="I3">ADAPTAR(B3)&amp;ADAPTAR(C3)&amp;"_"&amp;ADAPTAR(E3)&amp;F3</f>
        <v>mariacristina_rondon34479</v>
      </c>
      <c r="J3" s="13">
        <v>1</v>
      </c>
      <c r="K3" t="str" cm="1">
        <f t="array" ref="K3">ADAPTAR(B3)&amp;"."&amp;ADAPTAR(D3)&amp;YEAR(F3)&amp;"@"&amp;VLOOKUP(J3,Dominios!$A$2:$B$30,2,FALSE)</f>
        <v>maria.castilla1994@colamus.co</v>
      </c>
      <c r="L3" s="13">
        <v>1</v>
      </c>
      <c r="M3">
        <f>VLOOKUP(L3,Celulares!$A$2:$B$30,2,FALSE)</f>
        <v>3115114916</v>
      </c>
    </row>
    <row r="4" spans="1:13" ht="15.75" customHeight="1" x14ac:dyDescent="0.25">
      <c r="A4" t="s">
        <v>1439</v>
      </c>
      <c r="B4" s="3" t="s">
        <v>50</v>
      </c>
      <c r="C4" s="3" t="s">
        <v>18</v>
      </c>
      <c r="D4" s="3" t="s">
        <v>220</v>
      </c>
      <c r="E4" s="3" t="s">
        <v>221</v>
      </c>
      <c r="F4" s="5">
        <v>31517</v>
      </c>
      <c r="G4" s="14">
        <f t="shared" ca="1" si="0"/>
        <v>35.241095890410961</v>
      </c>
      <c r="H4" s="3" t="s">
        <v>1268</v>
      </c>
      <c r="I4" t="str" cm="1">
        <f t="array" ref="I4">ADAPTAR(B4)&amp;ADAPTAR(C4)&amp;"_"&amp;ADAPTAR(E4)&amp;F4</f>
        <v>mariaalejandra_silva31517</v>
      </c>
      <c r="J4" s="13">
        <v>2</v>
      </c>
      <c r="K4" t="str" cm="1">
        <f t="array" ref="K4">ADAPTAR(B4)&amp;"."&amp;ADAPTAR(D4)&amp;YEAR(F4)&amp;"@"&amp;VLOOKUP(J4,Dominios!$A$2:$B$30,2,FALSE)</f>
        <v>maria.castaneda1986@colombiamail.co</v>
      </c>
      <c r="L4" s="13">
        <v>2</v>
      </c>
      <c r="M4">
        <f>VLOOKUP(L4,Celulares!$A$2:$B$30,2,FALSE)</f>
        <v>3115114911</v>
      </c>
    </row>
    <row r="5" spans="1:13" ht="15.75" customHeight="1" x14ac:dyDescent="0.25">
      <c r="A5" t="s">
        <v>1440</v>
      </c>
      <c r="B5" s="3" t="s">
        <v>198</v>
      </c>
      <c r="C5" s="3" t="s">
        <v>174</v>
      </c>
      <c r="D5" s="3" t="s">
        <v>164</v>
      </c>
      <c r="E5" s="3" t="s">
        <v>2466</v>
      </c>
      <c r="F5" s="5">
        <v>34862</v>
      </c>
      <c r="G5" s="14">
        <f t="shared" ca="1" si="0"/>
        <v>26.076712328767123</v>
      </c>
      <c r="H5" s="3" t="s">
        <v>531</v>
      </c>
      <c r="I5" t="str" cm="1">
        <f t="array" ref="I5">ADAPTAR(B5)&amp;ADAPTAR(C5)&amp;"_"&amp;ADAPTAR(E5)&amp;F5</f>
        <v>sandramilena_ramirez34862</v>
      </c>
      <c r="J5" s="13">
        <v>3</v>
      </c>
      <c r="K5" t="str" cm="1">
        <f t="array" ref="K5">ADAPTAR(B5)&amp;"."&amp;ADAPTAR(D5)&amp;YEAR(F5)&amp;"@"&amp;VLOOKUP(J5,Dominios!$A$2:$B$30,2,FALSE)</f>
        <v>sandra.ramos1995@diabunter.co</v>
      </c>
      <c r="L5" s="13">
        <v>3</v>
      </c>
      <c r="M5">
        <f>VLOOKUP(L5,Celulares!$A$2:$B$30,2,FALSE)</f>
        <v>3115114910</v>
      </c>
    </row>
    <row r="6" spans="1:13" ht="15.75" customHeight="1" x14ac:dyDescent="0.25">
      <c r="A6" t="s">
        <v>1441</v>
      </c>
      <c r="B6" s="3" t="s">
        <v>213</v>
      </c>
      <c r="C6" s="3" t="s">
        <v>50</v>
      </c>
      <c r="D6" s="3" t="s">
        <v>87</v>
      </c>
      <c r="E6" s="3" t="s">
        <v>2477</v>
      </c>
      <c r="F6" s="5">
        <v>30905</v>
      </c>
      <c r="G6" s="14">
        <f t="shared" ca="1" si="0"/>
        <v>36.917808219178085</v>
      </c>
      <c r="H6" s="3" t="s">
        <v>1163</v>
      </c>
      <c r="I6" t="str" cm="1">
        <f t="array" ref="I6">ADAPTAR(B6)&amp;ADAPTAR(C6)&amp;"_"&amp;ADAPTAR(E6)&amp;F6</f>
        <v>yolandamaria_sanchez30905</v>
      </c>
      <c r="J6" s="13">
        <v>4</v>
      </c>
      <c r="K6" t="str" cm="1">
        <f t="array" ref="K6">ADAPTAR(B6)&amp;"."&amp;ADAPTAR(D6)&amp;YEAR(F6)&amp;"@"&amp;VLOOKUP(J6,Dominios!$A$2:$B$30,2,FALSE)</f>
        <v>yolanda.bolanos1984@ebrietas.co</v>
      </c>
      <c r="L6" s="13">
        <v>4</v>
      </c>
      <c r="M6">
        <f>VLOOKUP(L6,Celulares!$A$2:$B$30,2,FALSE)</f>
        <v>3115114909</v>
      </c>
    </row>
    <row r="7" spans="1:13" ht="15.75" customHeight="1" x14ac:dyDescent="0.25">
      <c r="A7" t="s">
        <v>1442</v>
      </c>
      <c r="B7" s="3" t="s">
        <v>76</v>
      </c>
      <c r="C7" s="3" t="s">
        <v>299</v>
      </c>
      <c r="D7" s="3" t="s">
        <v>106</v>
      </c>
      <c r="E7" s="3" t="s">
        <v>2467</v>
      </c>
      <c r="F7" s="5">
        <v>29182</v>
      </c>
      <c r="G7" s="14">
        <f t="shared" ca="1" si="0"/>
        <v>41.638356164383559</v>
      </c>
      <c r="H7" s="3" t="s">
        <v>1165</v>
      </c>
      <c r="I7" t="str" cm="1">
        <f t="array" ref="I7">ADAPTAR(B7)&amp;ADAPTAR(C7)&amp;"_"&amp;ADAPTAR(E7)&amp;F7</f>
        <v>ceciliaines_hernandez29182</v>
      </c>
      <c r="J7" s="13">
        <v>5</v>
      </c>
      <c r="K7" t="str" cm="1">
        <f t="array" ref="K7">ADAPTAR(B7)&amp;"."&amp;ADAPTAR(D7)&amp;YEAR(F7)&amp;"@"&amp;VLOOKUP(J7,Dominios!$A$2:$B$30,2,FALSE)</f>
        <v>cecilia.plazas1979@elsinsonte.co</v>
      </c>
      <c r="L7" s="13">
        <v>5</v>
      </c>
      <c r="M7">
        <f>VLOOKUP(L7,Celulares!$A$2:$B$30,2,FALSE)</f>
        <v>3115060130</v>
      </c>
    </row>
    <row r="8" spans="1:13" ht="15.75" customHeight="1" x14ac:dyDescent="0.25">
      <c r="A8" t="s">
        <v>1443</v>
      </c>
      <c r="B8" s="3" t="s">
        <v>217</v>
      </c>
      <c r="C8" s="3" t="s">
        <v>7</v>
      </c>
      <c r="D8" s="3" t="s">
        <v>136</v>
      </c>
      <c r="E8" s="3" t="s">
        <v>2468</v>
      </c>
      <c r="F8" s="5">
        <v>29927</v>
      </c>
      <c r="G8" s="14">
        <f t="shared" ca="1" si="0"/>
        <v>39.597260273972601</v>
      </c>
      <c r="H8" s="3" t="s">
        <v>1166</v>
      </c>
      <c r="I8" t="str" cm="1">
        <f t="array" ref="I8">ADAPTAR(B8)&amp;ADAPTAR(C8)&amp;"_"&amp;ADAPTAR(E8)&amp;F8</f>
        <v>yuliethcamila_diaz29927</v>
      </c>
      <c r="J8" s="13">
        <v>6</v>
      </c>
      <c r="K8" t="str" cm="1">
        <f t="array" ref="K8">ADAPTAR(B8)&amp;"."&amp;ADAPTAR(D8)&amp;YEAR(F8)&amp;"@"&amp;VLOOKUP(J8,Dominios!$A$2:$B$30,2,FALSE)</f>
        <v>yulieth.baron1981@enigmaserver.co</v>
      </c>
      <c r="L8" s="13">
        <v>6</v>
      </c>
      <c r="M8">
        <f>VLOOKUP(L8,Celulares!$A$2:$B$30,2,FALSE)</f>
        <v>3115060125</v>
      </c>
    </row>
    <row r="9" spans="1:13" ht="15.75" customHeight="1" x14ac:dyDescent="0.25">
      <c r="A9" t="s">
        <v>1444</v>
      </c>
      <c r="B9" s="3" t="s">
        <v>300</v>
      </c>
      <c r="C9" s="3" t="s">
        <v>204</v>
      </c>
      <c r="D9" s="3" t="s">
        <v>89</v>
      </c>
      <c r="E9" s="3" t="s">
        <v>222</v>
      </c>
      <c r="F9" s="5">
        <v>34818</v>
      </c>
      <c r="G9" s="14">
        <f t="shared" ca="1" si="0"/>
        <v>26.197260273972603</v>
      </c>
      <c r="H9" s="3" t="s">
        <v>1167</v>
      </c>
      <c r="I9" t="str" cm="1">
        <f t="array" ref="I9">ADAPTAR(B9)&amp;ADAPTAR(C9)&amp;"_"&amp;ADAPTAR(E9)&amp;F9</f>
        <v>miriamtatiana_perez34818</v>
      </c>
      <c r="J9" s="13">
        <v>7</v>
      </c>
      <c r="K9" t="str" cm="1">
        <f t="array" ref="K9">ADAPTAR(B9)&amp;"."&amp;ADAPTAR(D9)&amp;YEAR(F9)&amp;"@"&amp;VLOOKUP(J9,Dominios!$A$2:$B$30,2,FALSE)</f>
        <v>miriam.gomez1995@hocknas.co</v>
      </c>
      <c r="L9" s="13">
        <v>7</v>
      </c>
      <c r="M9">
        <f>VLOOKUP(L9,Celulares!$A$2:$B$30,2,FALSE)</f>
        <v>3115060110</v>
      </c>
    </row>
    <row r="10" spans="1:13" ht="15.75" customHeight="1" x14ac:dyDescent="0.25">
      <c r="A10" t="s">
        <v>1445</v>
      </c>
      <c r="B10" s="3" t="s">
        <v>50</v>
      </c>
      <c r="C10" s="3" t="s">
        <v>76</v>
      </c>
      <c r="D10" s="3" t="s">
        <v>188</v>
      </c>
      <c r="E10" s="3" t="s">
        <v>250</v>
      </c>
      <c r="F10" s="5">
        <v>32625</v>
      </c>
      <c r="G10" s="14">
        <f t="shared" ca="1" si="0"/>
        <v>32.205479452054796</v>
      </c>
      <c r="H10" s="3" t="s">
        <v>1168</v>
      </c>
      <c r="I10" t="str" cm="1">
        <f t="array" ref="I10">ADAPTAR(B10)&amp;ADAPTAR(C10)&amp;"_"&amp;ADAPTAR(E10)&amp;F10</f>
        <v>mariacecilia_cubillos32625</v>
      </c>
      <c r="J10" s="13">
        <v>8</v>
      </c>
      <c r="K10" t="str" cm="1">
        <f t="array" ref="K10">ADAPTAR(B10)&amp;"."&amp;ADAPTAR(D10)&amp;YEAR(F10)&amp;"@"&amp;VLOOKUP(J10,Dominios!$A$2:$B$30,2,FALSE)</f>
        <v>maria.toro1989@hostedoceri.co</v>
      </c>
      <c r="L10" s="13">
        <v>8</v>
      </c>
      <c r="M10">
        <f>VLOOKUP(L10,Celulares!$A$2:$B$30,2,FALSE)</f>
        <v>3115060091</v>
      </c>
    </row>
    <row r="11" spans="1:13" ht="15.75" customHeight="1" x14ac:dyDescent="0.25">
      <c r="A11" t="s">
        <v>1446</v>
      </c>
      <c r="B11" s="3" t="s">
        <v>301</v>
      </c>
      <c r="C11" s="3" t="s">
        <v>31</v>
      </c>
      <c r="D11" s="3" t="s">
        <v>119</v>
      </c>
      <c r="E11" s="3" t="s">
        <v>224</v>
      </c>
      <c r="F11" s="5">
        <v>27247</v>
      </c>
      <c r="G11" s="14">
        <f t="shared" ca="1" si="0"/>
        <v>46.939726027397263</v>
      </c>
      <c r="H11" s="3" t="s">
        <v>1169</v>
      </c>
      <c r="I11" t="str" cm="1">
        <f t="array" ref="I11">ADAPTAR(B11)&amp;ADAPTAR(C11)&amp;"_"&amp;ADAPTAR(E11)&amp;F11</f>
        <v>jessicapaola_rojas27247</v>
      </c>
      <c r="J11" s="13">
        <v>9</v>
      </c>
      <c r="K11" t="str" cm="1">
        <f t="array" ref="K11">ADAPTAR(B11)&amp;"."&amp;ADAPTAR(D11)&amp;YEAR(F11)&amp;"@"&amp;VLOOKUP(J11,Dominios!$A$2:$B$30,2,FALSE)</f>
        <v>jessica.barragan1974@libertas.com.co</v>
      </c>
      <c r="L11" s="13">
        <v>9</v>
      </c>
      <c r="M11">
        <f>VLOOKUP(L11,Celulares!$A$2:$B$30,2,FALSE)</f>
        <v>3115060080</v>
      </c>
    </row>
    <row r="12" spans="1:13" ht="15.75" customHeight="1" x14ac:dyDescent="0.25">
      <c r="A12" t="s">
        <v>1447</v>
      </c>
      <c r="B12" s="3" t="s">
        <v>125</v>
      </c>
      <c r="C12" s="3" t="s">
        <v>302</v>
      </c>
      <c r="D12" s="3" t="s">
        <v>46</v>
      </c>
      <c r="E12" s="3" t="s">
        <v>225</v>
      </c>
      <c r="F12" s="5">
        <v>26890</v>
      </c>
      <c r="G12" s="14">
        <f t="shared" ca="1" si="0"/>
        <v>47.917808219178085</v>
      </c>
      <c r="H12" s="3" t="s">
        <v>1170</v>
      </c>
      <c r="I12" t="str" cm="1">
        <f t="array" ref="I12">ADAPTAR(B12)&amp;ADAPTAR(C12)&amp;"_"&amp;ADAPTAR(E12)&amp;F12</f>
        <v>juliethstefanny_vargas26890</v>
      </c>
      <c r="J12" s="13">
        <v>10</v>
      </c>
      <c r="K12" t="str" cm="1">
        <f t="array" ref="K12">ADAPTAR(B12)&amp;"."&amp;ADAPTAR(D12)&amp;YEAR(F12)&amp;"@"&amp;VLOOKUP(J12,Dominios!$A$2:$B$30,2,FALSE)</f>
        <v>julieth.rueda1973@nascitur.com.co</v>
      </c>
      <c r="L12" s="13">
        <v>10</v>
      </c>
      <c r="M12">
        <f>VLOOKUP(L12,Celulares!$A$2:$B$30,2,FALSE)</f>
        <v>3115114385</v>
      </c>
    </row>
    <row r="13" spans="1:13" ht="15.75" customHeight="1" x14ac:dyDescent="0.25">
      <c r="A13" t="s">
        <v>1448</v>
      </c>
      <c r="B13" s="3" t="s">
        <v>187</v>
      </c>
      <c r="C13" s="3" t="s">
        <v>28</v>
      </c>
      <c r="D13" s="3" t="s">
        <v>210</v>
      </c>
      <c r="E13" s="3" t="s">
        <v>2475</v>
      </c>
      <c r="F13" s="5">
        <v>28118</v>
      </c>
      <c r="G13" s="14">
        <f t="shared" ca="1" si="0"/>
        <v>44.553424657534244</v>
      </c>
      <c r="H13" s="3" t="s">
        <v>1269</v>
      </c>
      <c r="I13" t="str" cm="1">
        <f t="array" ref="I13">ADAPTAR(B13)&amp;ADAPTAR(C13)&amp;"_"&amp;ADAPTAR(E13)&amp;F13</f>
        <v>neldaconstanza_moreno28118</v>
      </c>
      <c r="J13" s="13">
        <v>11</v>
      </c>
      <c r="K13" t="str" cm="1">
        <f t="array" ref="K13">ADAPTAR(B13)&amp;"."&amp;ADAPTAR(D13)&amp;YEAR(F13)&amp;"@"&amp;VLOOKUP(J13,Dominios!$A$2:$B$30,2,FALSE)</f>
        <v>nelda.gamez1976@nemesis.ml</v>
      </c>
      <c r="L13" s="13">
        <v>11</v>
      </c>
      <c r="M13">
        <f>VLOOKUP(L13,Celulares!$A$2:$B$30,2,FALSE)</f>
        <v>3115114360</v>
      </c>
    </row>
    <row r="14" spans="1:13" ht="15.75" customHeight="1" x14ac:dyDescent="0.25">
      <c r="A14" t="s">
        <v>1449</v>
      </c>
      <c r="B14" s="3" t="s">
        <v>303</v>
      </c>
      <c r="C14" s="3" t="s">
        <v>96</v>
      </c>
      <c r="D14" s="3" t="s">
        <v>124</v>
      </c>
      <c r="E14" s="3" t="s">
        <v>191</v>
      </c>
      <c r="F14" s="5">
        <v>30098</v>
      </c>
      <c r="G14" s="14">
        <f t="shared" ca="1" si="0"/>
        <v>39.128767123287673</v>
      </c>
      <c r="H14" s="3" t="s">
        <v>1172</v>
      </c>
      <c r="I14" t="str" cm="1">
        <f t="array" ref="I14">ADAPTAR(B14)&amp;ADAPTAR(C14)&amp;"_"&amp;ADAPTAR(E14)&amp;F14</f>
        <v>lizetheliana_gutierrez30098</v>
      </c>
      <c r="J14" s="13">
        <v>12</v>
      </c>
      <c r="K14" t="str" cm="1">
        <f t="array" ref="K14">ADAPTAR(B14)&amp;"."&amp;ADAPTAR(D14)&amp;YEAR(F14)&amp;"@"&amp;VLOOKUP(J14,Dominios!$A$2:$B$30,2,FALSE)</f>
        <v>lizeth.orjuela1982@nunquam.com.co</v>
      </c>
      <c r="L14" s="13">
        <v>12</v>
      </c>
      <c r="M14">
        <f>VLOOKUP(L14,Celulares!$A$2:$B$30,2,FALSE)</f>
        <v>3115093653</v>
      </c>
    </row>
    <row r="15" spans="1:13" ht="15.75" customHeight="1" x14ac:dyDescent="0.25">
      <c r="A15" t="s">
        <v>1450</v>
      </c>
      <c r="B15" s="3" t="s">
        <v>50</v>
      </c>
      <c r="C15" s="3" t="s">
        <v>65</v>
      </c>
      <c r="D15" s="3" t="s">
        <v>59</v>
      </c>
      <c r="E15" s="3" t="s">
        <v>423</v>
      </c>
      <c r="F15" s="5">
        <v>30517</v>
      </c>
      <c r="G15" s="14">
        <f t="shared" ca="1" si="0"/>
        <v>37.980821917808221</v>
      </c>
      <c r="H15" s="3" t="s">
        <v>1173</v>
      </c>
      <c r="I15" t="str" cm="1">
        <f t="array" ref="I15">ADAPTAR(B15)&amp;ADAPTAR(C15)&amp;"_"&amp;ADAPTAR(E15)&amp;F15</f>
        <v>mariabetty_jimenez30517</v>
      </c>
      <c r="J15" s="13">
        <v>13</v>
      </c>
      <c r="K15" t="str" cm="1">
        <f t="array" ref="K15">ADAPTAR(B15)&amp;"."&amp;ADAPTAR(D15)&amp;YEAR(F15)&amp;"@"&amp;VLOOKUP(J15,Dominios!$A$2:$B$30,2,FALSE)</f>
        <v>maria.quinones1983@sempiternam.co</v>
      </c>
      <c r="L15" s="13">
        <v>13</v>
      </c>
      <c r="M15">
        <f>VLOOKUP(L15,Celulares!$A$2:$B$30,2,FALSE)</f>
        <v>3115093598</v>
      </c>
    </row>
    <row r="16" spans="1:13" ht="15.75" customHeight="1" x14ac:dyDescent="0.25">
      <c r="A16" t="s">
        <v>1451</v>
      </c>
      <c r="B16" s="3" t="s">
        <v>198</v>
      </c>
      <c r="C16" s="3" t="s">
        <v>195</v>
      </c>
      <c r="D16" s="3" t="s">
        <v>223</v>
      </c>
      <c r="E16" s="3" t="s">
        <v>71</v>
      </c>
      <c r="F16" s="5">
        <v>35538</v>
      </c>
      <c r="G16" s="14">
        <f t="shared" ca="1" si="0"/>
        <v>24.224657534246575</v>
      </c>
      <c r="H16" s="3" t="s">
        <v>1174</v>
      </c>
      <c r="I16" t="str" cm="1">
        <f t="array" ref="I16">ADAPTAR(B16)&amp;ADAPTAR(C16)&amp;"_"&amp;ADAPTAR(E16)&amp;F16</f>
        <v>sandrapatricia_munoz35538</v>
      </c>
      <c r="J16" s="13">
        <v>14</v>
      </c>
      <c r="K16" t="str" cm="1">
        <f t="array" ref="K16">ADAPTAR(B16)&amp;"."&amp;ADAPTAR(D16)&amp;YEAR(F16)&amp;"@"&amp;VLOOKUP(J16,Dominios!$A$2:$B$30,2,FALSE)</f>
        <v>sandra.torres1997@sk9.co</v>
      </c>
      <c r="L16" s="13">
        <v>14</v>
      </c>
      <c r="M16">
        <f>VLOOKUP(L16,Celulares!$A$2:$B$30,2,FALSE)</f>
        <v>3115093583</v>
      </c>
    </row>
    <row r="17" spans="1:13" ht="15.75" customHeight="1" x14ac:dyDescent="0.25">
      <c r="A17" t="s">
        <v>1452</v>
      </c>
      <c r="B17" s="3" t="s">
        <v>178</v>
      </c>
      <c r="C17" s="3" t="s">
        <v>25</v>
      </c>
      <c r="D17" s="3" t="s">
        <v>314</v>
      </c>
      <c r="E17" s="3" t="s">
        <v>226</v>
      </c>
      <c r="F17" s="5">
        <v>34993</v>
      </c>
      <c r="G17" s="14">
        <f t="shared" ca="1" si="0"/>
        <v>25.717808219178082</v>
      </c>
      <c r="H17" s="3" t="s">
        <v>1175</v>
      </c>
      <c r="I17" t="str" cm="1">
        <f t="array" ref="I17">ADAPTAR(B17)&amp;ADAPTAR(C17)&amp;"_"&amp;ADAPTAR(E17)&amp;F17</f>
        <v>monicaisabel_castro34993</v>
      </c>
      <c r="J17" s="13">
        <v>15</v>
      </c>
      <c r="K17" t="str" cm="1">
        <f t="array" ref="K17">ADAPTAR(B17)&amp;"."&amp;ADAPTAR(D17)&amp;YEAR(F17)&amp;"@"&amp;VLOOKUP(J17,Dominios!$A$2:$B$30,2,FALSE)</f>
        <v>monica.cobos1995@socialmediacolombia.com.co</v>
      </c>
      <c r="L17" s="13">
        <v>15</v>
      </c>
      <c r="M17">
        <f>VLOOKUP(L17,Celulares!$A$2:$B$30,2,FALSE)</f>
        <v>3115092386</v>
      </c>
    </row>
    <row r="18" spans="1:13" ht="15.75" customHeight="1" x14ac:dyDescent="0.25">
      <c r="A18" t="s">
        <v>1453</v>
      </c>
      <c r="B18" s="3" t="s">
        <v>50</v>
      </c>
      <c r="C18" s="3" t="s">
        <v>142</v>
      </c>
      <c r="D18" s="3" t="s">
        <v>48</v>
      </c>
      <c r="E18" s="3" t="s">
        <v>2474</v>
      </c>
      <c r="F18" s="5">
        <v>31042</v>
      </c>
      <c r="G18" s="14">
        <f t="shared" ca="1" si="0"/>
        <v>36.542465753424658</v>
      </c>
      <c r="H18" s="3" t="s">
        <v>1176</v>
      </c>
      <c r="I18" t="str" cm="1">
        <f t="array" ref="I18">ADAPTAR(B18)&amp;ADAPTAR(C18)&amp;"_"&amp;ADAPTAR(E18)&amp;F18</f>
        <v>mariaaracely_ortiz31042</v>
      </c>
      <c r="J18" s="13">
        <v>16</v>
      </c>
      <c r="K18" t="str" cm="1">
        <f t="array" ref="K18">ADAPTAR(B18)&amp;"."&amp;ADAPTAR(D18)&amp;YEAR(F18)&amp;"@"&amp;VLOOKUP(J18,Dominios!$A$2:$B$30,2,FALSE)</f>
        <v>maria.perez1984@tecnicoensistemas.com.co</v>
      </c>
      <c r="L18" s="13">
        <v>16</v>
      </c>
      <c r="M18">
        <f>VLOOKUP(L18,Celulares!$A$2:$B$30,2,FALSE)</f>
        <v>3115092375</v>
      </c>
    </row>
    <row r="19" spans="1:13" ht="15.75" customHeight="1" x14ac:dyDescent="0.25">
      <c r="A19" t="s">
        <v>1454</v>
      </c>
      <c r="B19" s="3" t="s">
        <v>93</v>
      </c>
      <c r="C19" s="3" t="s">
        <v>45</v>
      </c>
      <c r="D19" s="3" t="s">
        <v>182</v>
      </c>
      <c r="E19" s="3" t="s">
        <v>2473</v>
      </c>
      <c r="F19" s="5">
        <v>24553</v>
      </c>
      <c r="G19" s="14">
        <f t="shared" ca="1" si="0"/>
        <v>54.320547945205476</v>
      </c>
      <c r="H19" s="3" t="s">
        <v>1177</v>
      </c>
      <c r="I19" t="str" cm="1">
        <f t="array" ref="I19">ADAPTAR(B19)&amp;ADAPTAR(C19)&amp;"_"&amp;ADAPTAR(E19)&amp;F19</f>
        <v>ednarocio_alvarez24553</v>
      </c>
      <c r="J19" s="13">
        <v>17</v>
      </c>
      <c r="K19" t="str" cm="1">
        <f t="array" ref="K19">ADAPTAR(B19)&amp;"."&amp;ADAPTAR(D19)&amp;YEAR(F19)&amp;"@"&amp;VLOOKUP(J19,Dominios!$A$2:$B$30,2,FALSE)</f>
        <v>edna.villalba1967@totum.com.co</v>
      </c>
      <c r="L19" s="13">
        <v>17</v>
      </c>
      <c r="M19">
        <f>VLOOKUP(L19,Celulares!$A$2:$B$30,2,FALSE)</f>
        <v>3115092369</v>
      </c>
    </row>
    <row r="20" spans="1:13" ht="15.75" customHeight="1" x14ac:dyDescent="0.25">
      <c r="A20" t="s">
        <v>1455</v>
      </c>
      <c r="B20" s="3" t="s">
        <v>172</v>
      </c>
      <c r="C20" s="3" t="s">
        <v>149</v>
      </c>
      <c r="D20" s="3" t="s">
        <v>272</v>
      </c>
      <c r="E20" s="3" t="s">
        <v>61</v>
      </c>
      <c r="F20" s="5">
        <v>26381</v>
      </c>
      <c r="G20" s="14">
        <f t="shared" ca="1" si="0"/>
        <v>49.31232876712329</v>
      </c>
      <c r="H20" s="3" t="s">
        <v>1178</v>
      </c>
      <c r="I20" t="str" cm="1">
        <f t="array" ref="I20">ADAPTAR(B20)&amp;ADAPTAR(C20)&amp;"_"&amp;ADAPTAR(E20)&amp;F20</f>
        <v>maurenalicia_ruiz26381</v>
      </c>
      <c r="J20" s="13">
        <v>18</v>
      </c>
      <c r="K20" t="str" cm="1">
        <f t="array" ref="K20">ADAPTAR(B20)&amp;"."&amp;ADAPTAR(D20)&amp;YEAR(F20)&amp;"@"&amp;VLOOKUP(J20,Dominios!$A$2:$B$30,2,FALSE)</f>
        <v>mauren.paez1972@voipcolombia.co</v>
      </c>
      <c r="L20" s="13">
        <v>18</v>
      </c>
      <c r="M20">
        <f>VLOOKUP(L20,Celulares!$A$2:$B$30,2,FALSE)</f>
        <v>3115092360</v>
      </c>
    </row>
    <row r="21" spans="1:13" ht="15.75" customHeight="1" x14ac:dyDescent="0.25">
      <c r="A21" t="s">
        <v>1456</v>
      </c>
      <c r="B21" s="3" t="s">
        <v>21</v>
      </c>
      <c r="C21" s="3" t="s">
        <v>151</v>
      </c>
      <c r="D21" s="3" t="s">
        <v>92</v>
      </c>
      <c r="E21" s="3" t="s">
        <v>230</v>
      </c>
      <c r="F21" s="5">
        <v>28060</v>
      </c>
      <c r="G21" s="14">
        <f t="shared" ca="1" si="0"/>
        <v>44.712328767123289</v>
      </c>
      <c r="H21" s="3" t="s">
        <v>609</v>
      </c>
      <c r="I21" t="str" cm="1">
        <f t="array" ref="I21">ADAPTAR(B21)&amp;ADAPTAR(C21)&amp;"_"&amp;ADAPTAR(E21)&amp;F21</f>
        <v>catalinaviacnery_suarez28060</v>
      </c>
      <c r="J21" s="13">
        <v>19</v>
      </c>
      <c r="K21" t="str" cm="1">
        <f t="array" ref="K21">ADAPTAR(B21)&amp;"."&amp;ADAPTAR(D21)&amp;YEAR(F21)&amp;"@"&amp;VLOOKUP(J21,Dominios!$A$2:$B$30,2,FALSE)</f>
        <v>catalina.felix1976@vpncolombia.com.co</v>
      </c>
      <c r="L21" s="13">
        <v>19</v>
      </c>
      <c r="M21">
        <f>VLOOKUP(L21,Celulares!$A$2:$B$30,2,FALSE)</f>
        <v>3115092352</v>
      </c>
    </row>
    <row r="22" spans="1:13" ht="15.75" customHeight="1" x14ac:dyDescent="0.25">
      <c r="A22" t="s">
        <v>1457</v>
      </c>
      <c r="B22" s="3" t="s">
        <v>112</v>
      </c>
      <c r="C22" s="3" t="s">
        <v>23</v>
      </c>
      <c r="D22" s="3" t="s">
        <v>97</v>
      </c>
      <c r="E22" s="3" t="s">
        <v>346</v>
      </c>
      <c r="F22" s="5">
        <v>28084</v>
      </c>
      <c r="G22" s="14">
        <f t="shared" ca="1" si="0"/>
        <v>44.646575342465752</v>
      </c>
      <c r="H22" s="3" t="s">
        <v>1179</v>
      </c>
      <c r="I22" t="str" cm="1">
        <f t="array" ref="I22">ADAPTAR(B22)&amp;ADAPTAR(C22)&amp;"_"&amp;ADAPTAR(E22)&amp;F22</f>
        <v>jacquelinevanessa_romero28084</v>
      </c>
      <c r="J22" s="13">
        <v>0</v>
      </c>
      <c r="K22" t="str" cm="1">
        <f t="array" ref="K22">ADAPTAR(B22)&amp;"."&amp;ADAPTAR(D22)&amp;YEAR(F22)&amp;"@"&amp;VLOOKUP(J22,Dominios!$A$2:$B$30,2,FALSE)</f>
        <v>jacqueline.evans1976@auribus.com.co</v>
      </c>
      <c r="L22" s="13">
        <v>0</v>
      </c>
      <c r="M22">
        <f>VLOOKUP(L22,Celulares!$A$2:$B$30,2,FALSE)</f>
        <v>3115114930</v>
      </c>
    </row>
    <row r="23" spans="1:13" ht="15.75" customHeight="1" x14ac:dyDescent="0.25">
      <c r="A23" t="s">
        <v>1458</v>
      </c>
      <c r="B23" s="3" t="s">
        <v>26</v>
      </c>
      <c r="C23" s="3" t="s">
        <v>304</v>
      </c>
      <c r="D23" s="3" t="s">
        <v>161</v>
      </c>
      <c r="E23" s="3" t="s">
        <v>43</v>
      </c>
      <c r="F23" s="5">
        <v>27964</v>
      </c>
      <c r="G23" s="14">
        <f t="shared" ca="1" si="0"/>
        <v>44.975342465753428</v>
      </c>
      <c r="H23" s="3" t="s">
        <v>1180</v>
      </c>
      <c r="I23" t="str" cm="1">
        <f t="array" ref="I23">ADAPTAR(B23)&amp;ADAPTAR(C23)&amp;"_"&amp;ADAPTAR(E23)&amp;F23</f>
        <v>adrianalucia_herrera27964</v>
      </c>
      <c r="J23" s="13">
        <v>1</v>
      </c>
      <c r="K23" t="str" cm="1">
        <f t="array" ref="K23">ADAPTAR(B23)&amp;"."&amp;ADAPTAR(D23)&amp;YEAR(F23)&amp;"@"&amp;VLOOKUP(J23,Dominios!$A$2:$B$30,2,FALSE)</f>
        <v>adriana.rengifo1976@colamus.co</v>
      </c>
      <c r="L23" s="13">
        <v>1</v>
      </c>
      <c r="M23">
        <f>VLOOKUP(L23,Celulares!$A$2:$B$30,2,FALSE)</f>
        <v>3115114916</v>
      </c>
    </row>
    <row r="24" spans="1:13" ht="15.75" customHeight="1" x14ac:dyDescent="0.25">
      <c r="A24" t="s">
        <v>1459</v>
      </c>
      <c r="B24" s="3" t="s">
        <v>7</v>
      </c>
      <c r="C24" s="3" t="s">
        <v>204</v>
      </c>
      <c r="D24" s="3" t="s">
        <v>138</v>
      </c>
      <c r="E24" s="3" t="s">
        <v>779</v>
      </c>
      <c r="F24" s="5">
        <v>24639</v>
      </c>
      <c r="G24" s="14">
        <f t="shared" ca="1" si="0"/>
        <v>54.084931506849315</v>
      </c>
      <c r="H24" s="3" t="s">
        <v>1181</v>
      </c>
      <c r="I24" t="str" cm="1">
        <f t="array" ref="I24">ADAPTAR(B24)&amp;ADAPTAR(C24)&amp;"_"&amp;ADAPTAR(E24)&amp;F24</f>
        <v>camilatatiana_valencia24639</v>
      </c>
      <c r="J24" s="13">
        <v>2</v>
      </c>
      <c r="K24" t="str" cm="1">
        <f t="array" ref="K24">ADAPTAR(B24)&amp;"."&amp;ADAPTAR(D24)&amp;YEAR(F24)&amp;"@"&amp;VLOOKUP(J24,Dominios!$A$2:$B$30,2,FALSE)</f>
        <v>camila.quintero1967@colombiamail.co</v>
      </c>
      <c r="L24" s="13">
        <v>2</v>
      </c>
      <c r="M24">
        <f>VLOOKUP(L24,Celulares!$A$2:$B$30,2,FALSE)</f>
        <v>3115114911</v>
      </c>
    </row>
    <row r="25" spans="1:13" ht="15.75" customHeight="1" x14ac:dyDescent="0.25">
      <c r="A25" t="s">
        <v>1460</v>
      </c>
      <c r="B25" s="3" t="s">
        <v>305</v>
      </c>
      <c r="C25" s="3" t="s">
        <v>134</v>
      </c>
      <c r="D25" s="3" t="s">
        <v>212</v>
      </c>
      <c r="E25" s="3" t="s">
        <v>138</v>
      </c>
      <c r="F25" s="5">
        <v>23623</v>
      </c>
      <c r="G25" s="14">
        <f t="shared" ca="1" si="0"/>
        <v>56.868493150684934</v>
      </c>
      <c r="H25" s="3" t="s">
        <v>1182</v>
      </c>
      <c r="I25" t="str" cm="1">
        <f t="array" ref="I25">ADAPTAR(B25)&amp;ADAPTAR(C25)&amp;"_"&amp;ADAPTAR(E25)&amp;F25</f>
        <v>lesslylorena_quintero23623</v>
      </c>
      <c r="J25" s="13">
        <v>3</v>
      </c>
      <c r="K25" t="str" cm="1">
        <f t="array" ref="K25">ADAPTAR(B25)&amp;"."&amp;ADAPTAR(D25)&amp;YEAR(F25)&amp;"@"&amp;VLOOKUP(J25,Dominios!$A$2:$B$30,2,FALSE)</f>
        <v>lessly.gonzalez1964@diabunter.co</v>
      </c>
      <c r="L25" s="13">
        <v>3</v>
      </c>
      <c r="M25">
        <f>VLOOKUP(L25,Celulares!$A$2:$B$30,2,FALSE)</f>
        <v>3115114910</v>
      </c>
    </row>
    <row r="26" spans="1:13" ht="15.75" customHeight="1" x14ac:dyDescent="0.25">
      <c r="A26" t="s">
        <v>1461</v>
      </c>
      <c r="B26" s="3" t="s">
        <v>137</v>
      </c>
      <c r="C26" s="3" t="s">
        <v>98</v>
      </c>
      <c r="D26" s="3" t="s">
        <v>214</v>
      </c>
      <c r="E26" s="3" t="s">
        <v>2472</v>
      </c>
      <c r="F26" s="5">
        <v>25880</v>
      </c>
      <c r="G26" s="14">
        <f t="shared" ca="1" si="0"/>
        <v>50.684931506849317</v>
      </c>
      <c r="H26" s="3" t="s">
        <v>1183</v>
      </c>
      <c r="I26" t="str" cm="1">
        <f t="array" ref="I26">ADAPTAR(B26)&amp;ADAPTAR(C26)&amp;"_"&amp;ADAPTAR(E26)&amp;F26</f>
        <v>lucyelizabeth_restrepo25880</v>
      </c>
      <c r="J26" s="13">
        <v>4</v>
      </c>
      <c r="K26" t="str" cm="1">
        <f t="array" ref="K26">ADAPTAR(B26)&amp;"."&amp;ADAPTAR(D26)&amp;YEAR(F26)&amp;"@"&amp;VLOOKUP(J26,Dominios!$A$2:$B$30,2,FALSE)</f>
        <v>lucy.lopez1970@ebrietas.co</v>
      </c>
      <c r="L26" s="13">
        <v>4</v>
      </c>
      <c r="M26">
        <f>VLOOKUP(L26,Celulares!$A$2:$B$30,2,FALSE)</f>
        <v>3115114909</v>
      </c>
    </row>
    <row r="27" spans="1:13" ht="15.75" customHeight="1" x14ac:dyDescent="0.25">
      <c r="A27" t="s">
        <v>1462</v>
      </c>
      <c r="B27" s="3" t="s">
        <v>50</v>
      </c>
      <c r="C27" s="3" t="s">
        <v>159</v>
      </c>
      <c r="D27" s="3" t="s">
        <v>84</v>
      </c>
      <c r="E27" s="3" t="s">
        <v>235</v>
      </c>
      <c r="F27" s="5">
        <v>28412</v>
      </c>
      <c r="G27" s="14">
        <f t="shared" ca="1" si="0"/>
        <v>43.747945205479454</v>
      </c>
      <c r="H27" s="3" t="s">
        <v>1184</v>
      </c>
      <c r="I27" t="str" cm="1">
        <f t="array" ref="I27">ADAPTAR(B27)&amp;ADAPTAR(C27)&amp;"_"&amp;ADAPTAR(E27)&amp;F27</f>
        <v>mariateresa_giraldo28412</v>
      </c>
      <c r="J27" s="13">
        <v>5</v>
      </c>
      <c r="K27" t="str" cm="1">
        <f t="array" ref="K27">ADAPTAR(B27)&amp;"."&amp;ADAPTAR(D27)&amp;YEAR(F27)&amp;"@"&amp;VLOOKUP(J27,Dominios!$A$2:$B$30,2,FALSE)</f>
        <v>maria.prada1977@elsinsonte.co</v>
      </c>
      <c r="L27" s="13">
        <v>5</v>
      </c>
      <c r="M27">
        <f>VLOOKUP(L27,Celulares!$A$2:$B$30,2,FALSE)</f>
        <v>3115060130</v>
      </c>
    </row>
    <row r="28" spans="1:13" ht="15.75" customHeight="1" x14ac:dyDescent="0.25">
      <c r="A28" t="s">
        <v>1463</v>
      </c>
      <c r="B28" s="3" t="s">
        <v>118</v>
      </c>
      <c r="C28" s="3" t="s">
        <v>36</v>
      </c>
      <c r="D28" s="3" t="s">
        <v>57</v>
      </c>
      <c r="E28" s="3" t="s">
        <v>2471</v>
      </c>
      <c r="F28" s="5">
        <v>30048</v>
      </c>
      <c r="G28" s="14">
        <f t="shared" ca="1" si="0"/>
        <v>39.265753424657532</v>
      </c>
      <c r="H28" s="3" t="s">
        <v>1178</v>
      </c>
      <c r="I28" t="str" cm="1">
        <f t="array" ref="I28">ADAPTAR(B28)&amp;ADAPTAR(C28)&amp;"_"&amp;ADAPTAR(E28)&amp;F28</f>
        <v>jenniferalexandra_morales30048</v>
      </c>
      <c r="J28" s="13">
        <v>6</v>
      </c>
      <c r="K28" t="str" cm="1">
        <f t="array" ref="K28">ADAPTAR(B28)&amp;"."&amp;ADAPTAR(D28)&amp;YEAR(F28)&amp;"@"&amp;VLOOKUP(J28,Dominios!$A$2:$B$30,2,FALSE)</f>
        <v>jennifer.castro1982@enigmaserver.co</v>
      </c>
      <c r="L28" s="13">
        <v>6</v>
      </c>
      <c r="M28">
        <f>VLOOKUP(L28,Celulares!$A$2:$B$30,2,FALSE)</f>
        <v>3115060125</v>
      </c>
    </row>
    <row r="29" spans="1:13" ht="15.75" customHeight="1" x14ac:dyDescent="0.25">
      <c r="A29" t="s">
        <v>1464</v>
      </c>
      <c r="B29" s="3" t="s">
        <v>67</v>
      </c>
      <c r="C29" s="3" t="s">
        <v>167</v>
      </c>
      <c r="D29" s="3" t="s">
        <v>80</v>
      </c>
      <c r="E29" s="3" t="s">
        <v>236</v>
      </c>
      <c r="F29" s="5">
        <v>28361</v>
      </c>
      <c r="G29" s="14">
        <f t="shared" ca="1" si="0"/>
        <v>43.887671232876713</v>
      </c>
      <c r="H29" s="3" t="s">
        <v>569</v>
      </c>
      <c r="I29" t="str" cm="1">
        <f t="array" ref="I29">ADAPTAR(B29)&amp;ADAPTAR(C29)&amp;"_"&amp;ADAPTAR(E29)&amp;F29</f>
        <v>carmenrocio_mejia28361</v>
      </c>
      <c r="J29" s="13">
        <v>7</v>
      </c>
      <c r="K29" t="str" cm="1">
        <f t="array" ref="K29">ADAPTAR(B29)&amp;"."&amp;ADAPTAR(D29)&amp;YEAR(F29)&amp;"@"&amp;VLOOKUP(J29,Dominios!$A$2:$B$30,2,FALSE)</f>
        <v>carmen.caycedo1977@hocknas.co</v>
      </c>
      <c r="L29" s="13">
        <v>7</v>
      </c>
      <c r="M29">
        <f>VLOOKUP(L29,Celulares!$A$2:$B$30,2,FALSE)</f>
        <v>3115060110</v>
      </c>
    </row>
    <row r="30" spans="1:13" ht="15.75" customHeight="1" x14ac:dyDescent="0.25">
      <c r="A30" t="s">
        <v>1465</v>
      </c>
      <c r="B30" s="3" t="s">
        <v>24</v>
      </c>
      <c r="C30" s="3" t="s">
        <v>211</v>
      </c>
      <c r="D30" s="3" t="s">
        <v>73</v>
      </c>
      <c r="E30" s="3" t="s">
        <v>237</v>
      </c>
      <c r="F30" s="5">
        <v>27566</v>
      </c>
      <c r="G30" s="14">
        <f t="shared" ca="1" si="0"/>
        <v>46.065753424657537</v>
      </c>
      <c r="H30" s="3" t="s">
        <v>1185</v>
      </c>
      <c r="I30" t="str" cm="1">
        <f t="array" ref="I30">ADAPTAR(B30)&amp;ADAPTAR(C30)&amp;"_"&amp;ADAPTAR(E30)&amp;F30</f>
        <v>laurayesenia_arias27566</v>
      </c>
      <c r="J30" s="13">
        <v>8</v>
      </c>
      <c r="K30" t="str" cm="1">
        <f t="array" ref="K30">ADAPTAR(B30)&amp;"."&amp;ADAPTAR(D30)&amp;YEAR(F30)&amp;"@"&amp;VLOOKUP(J30,Dominios!$A$2:$B$30,2,FALSE)</f>
        <v>laura.delgado1975@hostedoceri.co</v>
      </c>
      <c r="L30" s="13">
        <v>8</v>
      </c>
      <c r="M30">
        <f>VLOOKUP(L30,Celulares!$A$2:$B$30,2,FALSE)</f>
        <v>3115060091</v>
      </c>
    </row>
    <row r="31" spans="1:13" ht="15.75" customHeight="1" x14ac:dyDescent="0.25">
      <c r="A31" t="s">
        <v>1466</v>
      </c>
      <c r="B31" s="3" t="s">
        <v>22</v>
      </c>
      <c r="C31" s="3" t="s">
        <v>306</v>
      </c>
      <c r="D31" s="3" t="s">
        <v>241</v>
      </c>
      <c r="E31" s="3" t="s">
        <v>181</v>
      </c>
      <c r="F31" s="5">
        <v>29193</v>
      </c>
      <c r="G31" s="14">
        <f t="shared" ca="1" si="0"/>
        <v>41.608219178082194</v>
      </c>
      <c r="H31" s="3" t="s">
        <v>1186</v>
      </c>
      <c r="I31" t="str" cm="1">
        <f t="array" ref="I31">ADAPTAR(B31)&amp;ADAPTAR(C31)&amp;"_"&amp;ADAPTAR(E31)&amp;F31</f>
        <v>jazminsofia_parra29193</v>
      </c>
      <c r="J31" s="13">
        <v>9</v>
      </c>
      <c r="K31" t="str" cm="1">
        <f t="array" ref="K31">ADAPTAR(B31)&amp;"."&amp;ADAPTAR(D31)&amp;YEAR(F31)&amp;"@"&amp;VLOOKUP(J31,Dominios!$A$2:$B$30,2,FALSE)</f>
        <v>jazmin.medina1979@libertas.com.co</v>
      </c>
      <c r="L31" s="13">
        <v>9</v>
      </c>
      <c r="M31">
        <f>VLOOKUP(L31,Celulares!$A$2:$B$30,2,FALSE)</f>
        <v>3115060080</v>
      </c>
    </row>
    <row r="32" spans="1:13" ht="15.75" customHeight="1" x14ac:dyDescent="0.25">
      <c r="A32" t="s">
        <v>1467</v>
      </c>
      <c r="B32" s="3" t="s">
        <v>91</v>
      </c>
      <c r="C32" s="3" t="s">
        <v>307</v>
      </c>
      <c r="D32" s="3" t="s">
        <v>77</v>
      </c>
      <c r="E32" s="3" t="s">
        <v>100</v>
      </c>
      <c r="F32" s="5">
        <v>30685</v>
      </c>
      <c r="G32" s="14">
        <f t="shared" ca="1" si="0"/>
        <v>37.520547945205479</v>
      </c>
      <c r="H32" s="3" t="s">
        <v>1187</v>
      </c>
      <c r="I32" t="str" cm="1">
        <f t="array" ref="I32">ADAPTAR(B32)&amp;ADAPTAR(C32)&amp;"_"&amp;ADAPTAR(E32)&amp;F32</f>
        <v>nubiaomaira_jaramillo30685</v>
      </c>
      <c r="J32" s="13">
        <v>10</v>
      </c>
      <c r="K32" t="str" cm="1">
        <f t="array" ref="K32">ADAPTAR(B32)&amp;"."&amp;ADAPTAR(D32)&amp;YEAR(F32)&amp;"@"&amp;VLOOKUP(J32,Dominios!$A$2:$B$30,2,FALSE)</f>
        <v>nubia.molano1984@nascitur.com.co</v>
      </c>
      <c r="L32" s="13">
        <v>10</v>
      </c>
      <c r="M32">
        <f>VLOOKUP(L32,Celulares!$A$2:$B$30,2,FALSE)</f>
        <v>3115114385</v>
      </c>
    </row>
    <row r="33" spans="1:13" ht="15.75" customHeight="1" x14ac:dyDescent="0.25">
      <c r="A33" t="s">
        <v>1468</v>
      </c>
      <c r="B33" s="3" t="s">
        <v>205</v>
      </c>
      <c r="C33" s="3" t="s">
        <v>308</v>
      </c>
      <c r="D33" s="3" t="s">
        <v>194</v>
      </c>
      <c r="E33" s="3" t="s">
        <v>2470</v>
      </c>
      <c r="F33" s="5">
        <v>31004</v>
      </c>
      <c r="G33" s="14">
        <f t="shared" ca="1" si="0"/>
        <v>36.646575342465752</v>
      </c>
      <c r="H33" s="3" t="s">
        <v>1188</v>
      </c>
      <c r="I33" t="str" cm="1">
        <f t="array" ref="I33">ADAPTAR(B33)&amp;ADAPTAR(C33)&amp;"_"&amp;ADAPTAR(E33)&amp;F33</f>
        <v>vianiskatherine_cardenas31004</v>
      </c>
      <c r="J33" s="13">
        <v>11</v>
      </c>
      <c r="K33" t="str" cm="1">
        <f t="array" ref="K33">ADAPTAR(B33)&amp;"."&amp;ADAPTAR(D33)&amp;YEAR(F33)&amp;"@"&amp;VLOOKUP(J33,Dominios!$A$2:$B$30,2,FALSE)</f>
        <v>vianis.silva1984@nemesis.ml</v>
      </c>
      <c r="L33" s="13">
        <v>11</v>
      </c>
      <c r="M33">
        <f>VLOOKUP(L33,Celulares!$A$2:$B$30,2,FALSE)</f>
        <v>3115114360</v>
      </c>
    </row>
    <row r="34" spans="1:13" ht="15.75" customHeight="1" x14ac:dyDescent="0.25">
      <c r="A34" t="s">
        <v>1469</v>
      </c>
      <c r="B34" s="3" t="s">
        <v>19</v>
      </c>
      <c r="C34" s="3" t="s">
        <v>13</v>
      </c>
      <c r="D34" s="3" t="s">
        <v>154</v>
      </c>
      <c r="E34" s="3" t="s">
        <v>238</v>
      </c>
      <c r="F34" s="5">
        <v>27526</v>
      </c>
      <c r="G34" s="14">
        <f t="shared" ca="1" si="0"/>
        <v>46.175342465753424</v>
      </c>
      <c r="H34" s="3" t="s">
        <v>575</v>
      </c>
      <c r="I34" t="str" cm="1">
        <f t="array" ref="I34">ADAPTAR(B34)&amp;ADAPTAR(C34)&amp;"_"&amp;ADAPTAR(E34)&amp;F34</f>
        <v>paulaandrea_osorio27526</v>
      </c>
      <c r="J34" s="13">
        <v>12</v>
      </c>
      <c r="K34" t="str" cm="1">
        <f t="array" ref="K34">ADAPTAR(B34)&amp;"."&amp;ADAPTAR(D34)&amp;YEAR(F34)&amp;"@"&amp;VLOOKUP(J34,Dominios!$A$2:$B$30,2,FALSE)</f>
        <v>paula.prado1975@nunquam.com.co</v>
      </c>
      <c r="L34" s="13">
        <v>12</v>
      </c>
      <c r="M34">
        <f>VLOOKUP(L34,Celulares!$A$2:$B$30,2,FALSE)</f>
        <v>3115093653</v>
      </c>
    </row>
    <row r="35" spans="1:13" ht="15.75" customHeight="1" x14ac:dyDescent="0.25">
      <c r="A35" t="s">
        <v>1470</v>
      </c>
      <c r="B35" s="3" t="s">
        <v>193</v>
      </c>
      <c r="C35" s="3" t="s">
        <v>195</v>
      </c>
      <c r="D35" s="3" t="s">
        <v>135</v>
      </c>
      <c r="E35" s="3" t="s">
        <v>177</v>
      </c>
      <c r="F35" s="5">
        <v>29612</v>
      </c>
      <c r="G35" s="14">
        <f t="shared" ca="1" si="0"/>
        <v>40.460273972602742</v>
      </c>
      <c r="H35" s="3" t="s">
        <v>1189</v>
      </c>
      <c r="I35" t="str" cm="1">
        <f t="array" ref="I35">ADAPTAR(B35)&amp;ADAPTAR(C35)&amp;"_"&amp;ADAPTAR(E35)&amp;F35</f>
        <v>stellapatricia_castillo29612</v>
      </c>
      <c r="J35" s="13">
        <v>13</v>
      </c>
      <c r="K35" t="str" cm="1">
        <f t="array" ref="K35">ADAPTAR(B35)&amp;"."&amp;ADAPTAR(D35)&amp;YEAR(F35)&amp;"@"&amp;VLOOKUP(J35,Dominios!$A$2:$B$30,2,FALSE)</f>
        <v>stella.bautista1981@sempiternam.co</v>
      </c>
      <c r="L35" s="13">
        <v>13</v>
      </c>
      <c r="M35">
        <f>VLOOKUP(L35,Celulares!$A$2:$B$30,2,FALSE)</f>
        <v>3115093598</v>
      </c>
    </row>
    <row r="36" spans="1:13" ht="15.75" customHeight="1" x14ac:dyDescent="0.25">
      <c r="A36" t="s">
        <v>1471</v>
      </c>
      <c r="B36" s="3" t="s">
        <v>120</v>
      </c>
      <c r="C36" s="3" t="s">
        <v>29</v>
      </c>
      <c r="D36" s="3" t="s">
        <v>150</v>
      </c>
      <c r="E36" s="3" t="s">
        <v>239</v>
      </c>
      <c r="F36" s="5">
        <v>29511</v>
      </c>
      <c r="G36" s="14">
        <f t="shared" ca="1" si="0"/>
        <v>40.736986301369861</v>
      </c>
      <c r="H36" s="3" t="s">
        <v>552</v>
      </c>
      <c r="I36" t="str" cm="1">
        <f t="array" ref="I36">ADAPTAR(B36)&amp;ADAPTAR(C36)&amp;"_"&amp;ADAPTAR(E36)&amp;F36</f>
        <v>jennycarolina_salazar29511</v>
      </c>
      <c r="J36" s="13">
        <v>14</v>
      </c>
      <c r="K36" t="str" cm="1">
        <f t="array" ref="K36">ADAPTAR(B36)&amp;"."&amp;ADAPTAR(D36)&amp;YEAR(F36)&amp;"@"&amp;VLOOKUP(J36,Dominios!$A$2:$B$30,2,FALSE)</f>
        <v>jenny.paredes1980@sk9.co</v>
      </c>
      <c r="L36" s="13">
        <v>14</v>
      </c>
      <c r="M36">
        <f>VLOOKUP(L36,Celulares!$A$2:$B$30,2,FALSE)</f>
        <v>3115093583</v>
      </c>
    </row>
    <row r="37" spans="1:13" ht="15.75" customHeight="1" x14ac:dyDescent="0.25">
      <c r="A37" t="s">
        <v>1472</v>
      </c>
      <c r="B37" s="3" t="s">
        <v>62</v>
      </c>
      <c r="C37" s="3" t="s">
        <v>50</v>
      </c>
      <c r="D37" s="3" t="s">
        <v>152</v>
      </c>
      <c r="E37" s="3" t="s">
        <v>516</v>
      </c>
      <c r="F37" s="5">
        <v>26180</v>
      </c>
      <c r="G37" s="14">
        <f t="shared" ca="1" si="0"/>
        <v>49.863013698630134</v>
      </c>
      <c r="H37" s="3" t="s">
        <v>549</v>
      </c>
      <c r="I37" t="str" cm="1">
        <f t="array" ref="I37">ADAPTAR(B37)&amp;ADAPTAR(C37)&amp;"_"&amp;ADAPTAR(E37)&amp;F37</f>
        <v>xiomaramaria_cardona26180</v>
      </c>
      <c r="J37" s="13">
        <v>15</v>
      </c>
      <c r="K37" t="str" cm="1">
        <f t="array" ref="K37">ADAPTAR(B37)&amp;"."&amp;ADAPTAR(D37)&amp;YEAR(F37)&amp;"@"&amp;VLOOKUP(J37,Dominios!$A$2:$B$30,2,FALSE)</f>
        <v>xiomara.jurado1971@socialmediacolombia.com.co</v>
      </c>
      <c r="L37" s="13">
        <v>15</v>
      </c>
      <c r="M37">
        <f>VLOOKUP(L37,Celulares!$A$2:$B$30,2,FALSE)</f>
        <v>3115092386</v>
      </c>
    </row>
    <row r="38" spans="1:13" ht="15.75" customHeight="1" x14ac:dyDescent="0.25">
      <c r="A38" t="s">
        <v>1473</v>
      </c>
      <c r="B38" s="3" t="s">
        <v>109</v>
      </c>
      <c r="C38" s="3" t="s">
        <v>134</v>
      </c>
      <c r="D38" s="3" t="s">
        <v>496</v>
      </c>
      <c r="E38" s="3" t="s">
        <v>240</v>
      </c>
      <c r="F38" s="5">
        <v>29009</v>
      </c>
      <c r="G38" s="14">
        <f t="shared" ca="1" si="0"/>
        <v>42.112328767123287</v>
      </c>
      <c r="H38" s="3" t="s">
        <v>1190</v>
      </c>
      <c r="I38" t="str" cm="1">
        <f t="array" ref="I38">ADAPTAR(B38)&amp;ADAPTAR(C38)&amp;"_"&amp;ADAPTAR(E38)&amp;F38</f>
        <v>ingridlorena_florez29009</v>
      </c>
      <c r="J38" s="13">
        <v>16</v>
      </c>
      <c r="K38" t="str" cm="1">
        <f t="array" ref="K38">ADAPTAR(B38)&amp;"."&amp;ADAPTAR(D38)&amp;YEAR(F38)&amp;"@"&amp;VLOOKUP(J38,Dominios!$A$2:$B$30,2,FALSE)</f>
        <v>ingrid.angarita1979@tecnicoensistemas.com.co</v>
      </c>
      <c r="L38" s="13">
        <v>16</v>
      </c>
      <c r="M38">
        <f>VLOOKUP(L38,Celulares!$A$2:$B$30,2,FALSE)</f>
        <v>3115092375</v>
      </c>
    </row>
    <row r="39" spans="1:13" ht="15.75" customHeight="1" x14ac:dyDescent="0.25">
      <c r="A39" t="s">
        <v>1474</v>
      </c>
      <c r="B39" s="3" t="s">
        <v>143</v>
      </c>
      <c r="C39" s="3" t="s">
        <v>33</v>
      </c>
      <c r="D39" s="3" t="s">
        <v>57</v>
      </c>
      <c r="E39" s="3" t="s">
        <v>241</v>
      </c>
      <c r="F39" s="5">
        <v>25457</v>
      </c>
      <c r="G39" s="14">
        <f t="shared" ca="1" si="0"/>
        <v>51.843835616438355</v>
      </c>
      <c r="H39" s="3" t="s">
        <v>569</v>
      </c>
      <c r="I39" t="str" cm="1">
        <f t="array" ref="I39">ADAPTAR(B39)&amp;ADAPTAR(C39)&amp;"_"&amp;ADAPTAR(E39)&amp;F39</f>
        <v>luzmelissa_medina25457</v>
      </c>
      <c r="J39" s="13">
        <v>17</v>
      </c>
      <c r="K39" t="str" cm="1">
        <f t="array" ref="K39">ADAPTAR(B39)&amp;"."&amp;ADAPTAR(D39)&amp;YEAR(F39)&amp;"@"&amp;VLOOKUP(J39,Dominios!$A$2:$B$30,2,FALSE)</f>
        <v>luz.castro1969@totum.com.co</v>
      </c>
      <c r="L39" s="13">
        <v>17</v>
      </c>
      <c r="M39">
        <f>VLOOKUP(L39,Celulares!$A$2:$B$30,2,FALSE)</f>
        <v>3115092369</v>
      </c>
    </row>
    <row r="40" spans="1:13" ht="15.75" customHeight="1" x14ac:dyDescent="0.25">
      <c r="A40" t="s">
        <v>1475</v>
      </c>
      <c r="B40" s="3" t="s">
        <v>24</v>
      </c>
      <c r="C40" s="3" t="s">
        <v>21</v>
      </c>
      <c r="D40" s="3" t="s">
        <v>63</v>
      </c>
      <c r="E40" s="3" t="s">
        <v>242</v>
      </c>
      <c r="F40" s="5">
        <v>27284</v>
      </c>
      <c r="G40" s="14">
        <f t="shared" ca="1" si="0"/>
        <v>46.838356164383562</v>
      </c>
      <c r="H40" s="3" t="s">
        <v>606</v>
      </c>
      <c r="I40" t="str" cm="1">
        <f t="array" ref="I40">ADAPTAR(B40)&amp;ADAPTAR(C40)&amp;"_"&amp;ADAPTAR(E40)&amp;F40</f>
        <v>lauracatalina_rivera27284</v>
      </c>
      <c r="J40" s="13">
        <v>18</v>
      </c>
      <c r="K40" t="str" cm="1">
        <f t="array" ref="K40">ADAPTAR(B40)&amp;"."&amp;ADAPTAR(D40)&amp;YEAR(F40)&amp;"@"&amp;VLOOKUP(J40,Dominios!$A$2:$B$30,2,FALSE)</f>
        <v>laura.benavidez1974@voipcolombia.co</v>
      </c>
      <c r="L40" s="13">
        <v>18</v>
      </c>
      <c r="M40">
        <f>VLOOKUP(L40,Celulares!$A$2:$B$30,2,FALSE)</f>
        <v>3115092360</v>
      </c>
    </row>
    <row r="41" spans="1:13" ht="15.75" customHeight="1" x14ac:dyDescent="0.25">
      <c r="A41" t="s">
        <v>1476</v>
      </c>
      <c r="B41" s="3" t="s">
        <v>122</v>
      </c>
      <c r="C41" s="3" t="s">
        <v>13</v>
      </c>
      <c r="D41" s="3" t="s">
        <v>53</v>
      </c>
      <c r="E41" s="3" t="s">
        <v>2469</v>
      </c>
      <c r="F41" s="5">
        <v>29715</v>
      </c>
      <c r="G41" s="14">
        <f t="shared" ca="1" si="0"/>
        <v>40.178082191780824</v>
      </c>
      <c r="H41" s="3" t="s">
        <v>1167</v>
      </c>
      <c r="I41" t="str" cm="1">
        <f t="array" ref="I41">ADAPTAR(B41)&amp;ADAPTAR(C41)&amp;"_"&amp;ADAPTAR(E41)&amp;F41</f>
        <v>johannaandrea_montoya29715</v>
      </c>
      <c r="J41" s="13">
        <v>19</v>
      </c>
      <c r="K41" t="str" cm="1">
        <f t="array" ref="K41">ADAPTAR(B41)&amp;"."&amp;ADAPTAR(D41)&amp;YEAR(F41)&amp;"@"&amp;VLOOKUP(J41,Dominios!$A$2:$B$30,2,FALSE)</f>
        <v>johanna.franco1981@vpncolombia.com.co</v>
      </c>
      <c r="L41" s="13">
        <v>19</v>
      </c>
      <c r="M41">
        <f>VLOOKUP(L41,Celulares!$A$2:$B$30,2,FALSE)</f>
        <v>3115092352</v>
      </c>
    </row>
    <row r="42" spans="1:13" ht="15.75" customHeight="1" x14ac:dyDescent="0.25">
      <c r="A42" t="s">
        <v>1477</v>
      </c>
      <c r="B42" s="3" t="s">
        <v>143</v>
      </c>
      <c r="C42" s="3" t="s">
        <v>309</v>
      </c>
      <c r="D42" s="3" t="s">
        <v>42</v>
      </c>
      <c r="E42" s="3" t="s">
        <v>243</v>
      </c>
      <c r="F42" s="5">
        <v>27023</v>
      </c>
      <c r="G42" s="14">
        <f t="shared" ca="1" si="0"/>
        <v>47.553424657534244</v>
      </c>
      <c r="H42" s="3" t="s">
        <v>1191</v>
      </c>
      <c r="I42" t="str" cm="1">
        <f t="array" ref="I42">ADAPTAR(B42)&amp;ADAPTAR(C42)&amp;"_"&amp;ADAPTAR(E42)&amp;F42</f>
        <v>luzmarina_cortes27023</v>
      </c>
      <c r="J42" s="13">
        <v>0</v>
      </c>
      <c r="K42" t="str" cm="1">
        <f t="array" ref="K42">ADAPTAR(B42)&amp;"."&amp;ADAPTAR(D42)&amp;YEAR(F42)&amp;"@"&amp;VLOOKUP(J42,Dominios!$A$2:$B$30,2,FALSE)</f>
        <v>luz.buitrago1973@auribus.com.co</v>
      </c>
      <c r="L42" s="13">
        <v>0</v>
      </c>
      <c r="M42">
        <f>VLOOKUP(L42,Celulares!$A$2:$B$30,2,FALSE)</f>
        <v>3115114930</v>
      </c>
    </row>
    <row r="43" spans="1:13" ht="15.75" customHeight="1" x14ac:dyDescent="0.25">
      <c r="A43" t="s">
        <v>1478</v>
      </c>
      <c r="B43" s="3" t="s">
        <v>37</v>
      </c>
      <c r="C43" s="3" t="s">
        <v>195</v>
      </c>
      <c r="D43" s="3" t="s">
        <v>51</v>
      </c>
      <c r="E43" s="3" t="s">
        <v>244</v>
      </c>
      <c r="F43" s="5">
        <v>20879</v>
      </c>
      <c r="G43" s="14">
        <f t="shared" ca="1" si="0"/>
        <v>64.38630136986302</v>
      </c>
      <c r="H43" s="3" t="s">
        <v>1183</v>
      </c>
      <c r="I43" t="str" cm="1">
        <f t="array" ref="I43">ADAPTAR(B43)&amp;ADAPTAR(C43)&amp;"_"&amp;ADAPTAR(E43)&amp;F43</f>
        <v>dianapatricia_correa20879</v>
      </c>
      <c r="J43" s="13">
        <v>1</v>
      </c>
      <c r="K43" t="str" cm="1">
        <f t="array" ref="K43">ADAPTAR(B43)&amp;"."&amp;ADAPTAR(D43)&amp;YEAR(F43)&amp;"@"&amp;VLOOKUP(J43,Dominios!$A$2:$B$30,2,FALSE)</f>
        <v>diana.pineda1957@colamus.co</v>
      </c>
      <c r="L43" s="13">
        <v>1</v>
      </c>
      <c r="M43">
        <f>VLOOKUP(L43,Celulares!$A$2:$B$30,2,FALSE)</f>
        <v>3115114916</v>
      </c>
    </row>
    <row r="44" spans="1:13" ht="15.75" customHeight="1" x14ac:dyDescent="0.25">
      <c r="A44" t="s">
        <v>1479</v>
      </c>
      <c r="B44" s="3" t="s">
        <v>202</v>
      </c>
      <c r="C44" s="3" t="s">
        <v>310</v>
      </c>
      <c r="D44" s="3" t="s">
        <v>89</v>
      </c>
      <c r="E44" s="3" t="s">
        <v>245</v>
      </c>
      <c r="F44" s="5">
        <v>25334</v>
      </c>
      <c r="G44" s="14">
        <f t="shared" ca="1" si="0"/>
        <v>52.180821917808217</v>
      </c>
      <c r="H44" s="3" t="s">
        <v>1236</v>
      </c>
      <c r="I44" t="str" cm="1">
        <f t="array" ref="I44">ADAPTAR(B44)&amp;ADAPTAR(C44)&amp;"_"&amp;ADAPTAR(E44)&amp;F44</f>
        <v>sthelajacinta_marin25334</v>
      </c>
      <c r="J44" s="13">
        <v>2</v>
      </c>
      <c r="K44" t="str" cm="1">
        <f t="array" ref="K44">ADAPTAR(B44)&amp;"."&amp;ADAPTAR(D44)&amp;YEAR(F44)&amp;"@"&amp;VLOOKUP(J44,Dominios!$A$2:$B$30,2,FALSE)</f>
        <v>sthela.gomez1969@colombiamail.co</v>
      </c>
      <c r="L44" s="13">
        <v>2</v>
      </c>
      <c r="M44">
        <f>VLOOKUP(L44,Celulares!$A$2:$B$30,2,FALSE)</f>
        <v>3115114911</v>
      </c>
    </row>
    <row r="45" spans="1:13" ht="15.75" customHeight="1" x14ac:dyDescent="0.25">
      <c r="A45" t="s">
        <v>1480</v>
      </c>
      <c r="B45" s="3" t="s">
        <v>50</v>
      </c>
      <c r="C45" s="3" t="s">
        <v>311</v>
      </c>
      <c r="D45" s="3" t="s">
        <v>141</v>
      </c>
      <c r="E45" s="3" t="s">
        <v>246</v>
      </c>
      <c r="F45" s="5">
        <v>22911</v>
      </c>
      <c r="G45" s="14">
        <f t="shared" ca="1" si="0"/>
        <v>58.819178082191783</v>
      </c>
      <c r="H45" s="3" t="s">
        <v>1193</v>
      </c>
      <c r="I45" t="str" cm="1">
        <f t="array" ref="I45">ADAPTAR(B45)&amp;ADAPTAR(C45)&amp;"_"&amp;ADAPTAR(E45)&amp;F45</f>
        <v>mariasocorro_rincon22911</v>
      </c>
      <c r="J45" s="13">
        <v>3</v>
      </c>
      <c r="K45" t="str" cm="1">
        <f t="array" ref="K45">ADAPTAR(B45)&amp;"."&amp;ADAPTAR(D45)&amp;YEAR(F45)&amp;"@"&amp;VLOOKUP(J45,Dominios!$A$2:$B$30,2,FALSE)</f>
        <v>maria.galeano1962@diabunter.co</v>
      </c>
      <c r="L45" s="13">
        <v>3</v>
      </c>
      <c r="M45">
        <f>VLOOKUP(L45,Celulares!$A$2:$B$30,2,FALSE)</f>
        <v>3115114910</v>
      </c>
    </row>
    <row r="46" spans="1:13" ht="15.75" customHeight="1" x14ac:dyDescent="0.25">
      <c r="A46" t="s">
        <v>1481</v>
      </c>
      <c r="B46" s="3" t="s">
        <v>208</v>
      </c>
      <c r="C46" s="3" t="s">
        <v>31</v>
      </c>
      <c r="D46" s="3" t="s">
        <v>54</v>
      </c>
      <c r="E46" s="3" t="s">
        <v>247</v>
      </c>
      <c r="F46" s="5">
        <v>33848</v>
      </c>
      <c r="G46" s="14">
        <f t="shared" ca="1" si="0"/>
        <v>28.854794520547944</v>
      </c>
      <c r="H46" s="3" t="s">
        <v>1163</v>
      </c>
      <c r="I46" t="str" cm="1">
        <f t="array" ref="I46">ADAPTAR(B46)&amp;ADAPTAR(C46)&amp;"_"&amp;ADAPTAR(E46)&amp;F46</f>
        <v>yenifferpaola_zapata33848</v>
      </c>
      <c r="J46" s="13">
        <v>4</v>
      </c>
      <c r="K46" t="str" cm="1">
        <f t="array" ref="K46">ADAPTAR(B46)&amp;"."&amp;ADAPTAR(D46)&amp;YEAR(F46)&amp;"@"&amp;VLOOKUP(J46,Dominios!$A$2:$B$30,2,FALSE)</f>
        <v>yeniffer.martinez1992@ebrietas.co</v>
      </c>
      <c r="L46" s="13">
        <v>4</v>
      </c>
      <c r="M46">
        <f>VLOOKUP(L46,Celulares!$A$2:$B$30,2,FALSE)</f>
        <v>3115114909</v>
      </c>
    </row>
    <row r="47" spans="1:13" ht="15.75" customHeight="1" x14ac:dyDescent="0.25">
      <c r="A47" t="s">
        <v>1482</v>
      </c>
      <c r="B47" s="3" t="s">
        <v>162</v>
      </c>
      <c r="C47" s="3" t="s">
        <v>8</v>
      </c>
      <c r="D47" s="3" t="s">
        <v>95</v>
      </c>
      <c r="E47" s="3" t="s">
        <v>248</v>
      </c>
      <c r="F47" s="5">
        <v>28424</v>
      </c>
      <c r="G47" s="14">
        <f t="shared" ca="1" si="0"/>
        <v>43.715068493150682</v>
      </c>
      <c r="H47" s="3" t="s">
        <v>1194</v>
      </c>
      <c r="I47" t="str" cm="1">
        <f t="array" ref="I47">ADAPTAR(B47)&amp;ADAPTAR(C47)&amp;"_"&amp;ADAPTAR(E47)&amp;F47</f>
        <v>marielavalentina_escobar28424</v>
      </c>
      <c r="J47" s="13">
        <v>5</v>
      </c>
      <c r="K47" t="str" cm="1">
        <f t="array" ref="K47">ADAPTAR(B47)&amp;"."&amp;ADAPTAR(D47)&amp;YEAR(F47)&amp;"@"&amp;VLOOKUP(J47,Dominios!$A$2:$B$30,2,FALSE)</f>
        <v>mariela.valero1977@elsinsonte.co</v>
      </c>
      <c r="L47" s="13">
        <v>5</v>
      </c>
      <c r="M47">
        <f>VLOOKUP(L47,Celulares!$A$2:$B$30,2,FALSE)</f>
        <v>3115060130</v>
      </c>
    </row>
    <row r="48" spans="1:13" ht="15.75" customHeight="1" x14ac:dyDescent="0.25">
      <c r="A48" t="s">
        <v>1483</v>
      </c>
      <c r="B48" s="3" t="s">
        <v>312</v>
      </c>
      <c r="C48" s="3" t="s">
        <v>174</v>
      </c>
      <c r="D48" s="3" t="s">
        <v>289</v>
      </c>
      <c r="E48" s="3" t="s">
        <v>249</v>
      </c>
      <c r="F48" s="5">
        <v>26168</v>
      </c>
      <c r="G48" s="14">
        <f t="shared" ca="1" si="0"/>
        <v>49.895890410958906</v>
      </c>
      <c r="H48" s="3" t="s">
        <v>575</v>
      </c>
      <c r="I48" t="str" cm="1">
        <f t="array" ref="I48">ADAPTAR(B48)&amp;ADAPTAR(C48)&amp;"_"&amp;ADAPTAR(E48)&amp;F48</f>
        <v>nardamilena_velasquez26168</v>
      </c>
      <c r="J48" s="13">
        <v>6</v>
      </c>
      <c r="K48" t="str" cm="1">
        <f t="array" ref="K48">ADAPTAR(B48)&amp;"."&amp;ADAPTAR(D48)&amp;YEAR(F48)&amp;"@"&amp;VLOOKUP(J48,Dominios!$A$2:$B$30,2,FALSE)</f>
        <v>narda.garavito1971@enigmaserver.co</v>
      </c>
      <c r="L48" s="13">
        <v>6</v>
      </c>
      <c r="M48">
        <f>VLOOKUP(L48,Celulares!$A$2:$B$30,2,FALSE)</f>
        <v>3115060125</v>
      </c>
    </row>
    <row r="49" spans="1:13" ht="15.75" customHeight="1" x14ac:dyDescent="0.25">
      <c r="A49" t="s">
        <v>1484</v>
      </c>
      <c r="B49" s="3" t="s">
        <v>178</v>
      </c>
      <c r="C49" s="3" t="s">
        <v>122</v>
      </c>
      <c r="D49" s="3" t="s">
        <v>175</v>
      </c>
      <c r="E49" s="3" t="s">
        <v>47</v>
      </c>
      <c r="F49" s="5">
        <v>36452</v>
      </c>
      <c r="G49" s="14">
        <f t="shared" ca="1" si="0"/>
        <v>21.720547945205478</v>
      </c>
      <c r="H49" s="3" t="s">
        <v>1189</v>
      </c>
      <c r="I49" t="str" cm="1">
        <f t="array" ref="I49">ADAPTAR(B49)&amp;ADAPTAR(C49)&amp;"_"&amp;ADAPTAR(E49)&amp;F49</f>
        <v>monicajohanna_gomez36452</v>
      </c>
      <c r="J49" s="13">
        <v>7</v>
      </c>
      <c r="K49" t="str" cm="1">
        <f t="array" ref="K49">ADAPTAR(B49)&amp;"."&amp;ADAPTAR(D49)&amp;YEAR(F49)&amp;"@"&amp;VLOOKUP(J49,Dominios!$A$2:$B$30,2,FALSE)</f>
        <v>monica.santanilla1999@hocknas.co</v>
      </c>
      <c r="L49" s="13">
        <v>7</v>
      </c>
      <c r="M49">
        <f>VLOOKUP(L49,Celulares!$A$2:$B$30,2,FALSE)</f>
        <v>3115060110</v>
      </c>
    </row>
    <row r="50" spans="1:13" ht="15.75" customHeight="1" x14ac:dyDescent="0.25">
      <c r="A50" t="s">
        <v>1485</v>
      </c>
      <c r="B50" s="3" t="s">
        <v>130</v>
      </c>
      <c r="C50" s="3" t="s">
        <v>313</v>
      </c>
      <c r="D50" s="3" t="s">
        <v>66</v>
      </c>
      <c r="E50" s="3" t="s">
        <v>106</v>
      </c>
      <c r="F50" s="5">
        <v>36633</v>
      </c>
      <c r="G50" s="14">
        <f t="shared" ca="1" si="0"/>
        <v>21.224657534246575</v>
      </c>
      <c r="H50" s="3" t="s">
        <v>1195</v>
      </c>
      <c r="I50" t="str" cm="1">
        <f t="array" ref="I50">ADAPTAR(B50)&amp;ADAPTAR(C50)&amp;"_"&amp;ADAPTAR(E50)&amp;F50</f>
        <v>leidyjohana_plazas36633</v>
      </c>
      <c r="J50" s="13">
        <v>8</v>
      </c>
      <c r="K50" t="str" cm="1">
        <f t="array" ref="K50">ADAPTAR(B50)&amp;"."&amp;ADAPTAR(D50)&amp;YEAR(F50)&amp;"@"&amp;VLOOKUP(J50,Dominios!$A$2:$B$30,2,FALSE)</f>
        <v>leidy.velez2000@hostedoceri.co</v>
      </c>
      <c r="L50" s="13">
        <v>8</v>
      </c>
      <c r="M50">
        <f>VLOOKUP(L50,Celulares!$A$2:$B$30,2,FALSE)</f>
        <v>3115060091</v>
      </c>
    </row>
    <row r="51" spans="1:13" ht="15.75" customHeight="1" x14ac:dyDescent="0.25">
      <c r="A51" t="s">
        <v>1486</v>
      </c>
      <c r="B51" s="3" t="s">
        <v>37</v>
      </c>
      <c r="C51" s="3" t="s">
        <v>50</v>
      </c>
      <c r="D51" s="3" t="s">
        <v>315</v>
      </c>
      <c r="E51" s="3" t="s">
        <v>89</v>
      </c>
      <c r="F51" s="5">
        <v>36349</v>
      </c>
      <c r="G51" s="14">
        <f t="shared" ca="1" si="0"/>
        <v>22.002739726027396</v>
      </c>
      <c r="H51" s="3" t="s">
        <v>1196</v>
      </c>
      <c r="I51" t="str" cm="1">
        <f t="array" ref="I51">ADAPTAR(B51)&amp;ADAPTAR(C51)&amp;"_"&amp;ADAPTAR(E51)&amp;F51</f>
        <v>dianamaria_gomez36349</v>
      </c>
      <c r="J51" s="13">
        <v>9</v>
      </c>
      <c r="K51" t="str" cm="1">
        <f t="array" ref="K51">ADAPTAR(B51)&amp;"."&amp;ADAPTAR(D51)&amp;YEAR(F51)&amp;"@"&amp;VLOOKUP(J51,Dominios!$A$2:$B$30,2,FALSE)</f>
        <v>diana.arango1999@libertas.com.co</v>
      </c>
      <c r="L51" s="13">
        <v>9</v>
      </c>
      <c r="M51">
        <f>VLOOKUP(L51,Celulares!$A$2:$B$30,2,FALSE)</f>
        <v>3115060080</v>
      </c>
    </row>
    <row r="52" spans="1:13" ht="15.75" customHeight="1" x14ac:dyDescent="0.25">
      <c r="A52" t="s">
        <v>1487</v>
      </c>
      <c r="B52" s="3" t="s">
        <v>165</v>
      </c>
      <c r="C52" s="3" t="s">
        <v>76</v>
      </c>
      <c r="D52" s="3" t="s">
        <v>88</v>
      </c>
      <c r="E52" s="3" t="s">
        <v>136</v>
      </c>
      <c r="F52" s="5">
        <v>35411</v>
      </c>
      <c r="G52" s="14">
        <f t="shared" ca="1" si="0"/>
        <v>24.572602739726026</v>
      </c>
      <c r="H52" s="3" t="s">
        <v>1197</v>
      </c>
      <c r="I52" t="str" cm="1">
        <f t="array" ref="I52">ADAPTAR(B52)&amp;ADAPTAR(C52)&amp;"_"&amp;ADAPTAR(E52)&amp;F52</f>
        <v>marthacecilia_baron35411</v>
      </c>
      <c r="J52" s="13">
        <v>10</v>
      </c>
      <c r="K52" t="str" cm="1">
        <f t="array" ref="K52">ADAPTAR(B52)&amp;"."&amp;ADAPTAR(D52)&amp;YEAR(F52)&amp;"@"&amp;VLOOKUP(J52,Dominios!$A$2:$B$30,2,FALSE)</f>
        <v>martha.pinzon1996@nascitur.com.co</v>
      </c>
      <c r="L52" s="13">
        <v>10</v>
      </c>
      <c r="M52">
        <f>VLOOKUP(L52,Celulares!$A$2:$B$30,2,FALSE)</f>
        <v>3115114385</v>
      </c>
    </row>
    <row r="53" spans="1:13" ht="15.75" customHeight="1" x14ac:dyDescent="0.25">
      <c r="A53" t="s">
        <v>1488</v>
      </c>
      <c r="B53" s="3" t="s">
        <v>134</v>
      </c>
      <c r="C53" s="3" t="s">
        <v>616</v>
      </c>
      <c r="D53" s="3" t="s">
        <v>77</v>
      </c>
      <c r="E53" s="3" t="s">
        <v>220</v>
      </c>
      <c r="F53" s="5">
        <v>34280</v>
      </c>
      <c r="G53" s="14">
        <f t="shared" ca="1" si="0"/>
        <v>27.671232876712327</v>
      </c>
      <c r="H53" s="3" t="s">
        <v>1189</v>
      </c>
      <c r="I53" t="str" cm="1">
        <f t="array" ref="I53">ADAPTAR(B53)&amp;ADAPTAR(C53)&amp;"_"&amp;ADAPTAR(E53)&amp;F53</f>
        <v>lorenajuliana_castaneda34280</v>
      </c>
      <c r="J53" s="13">
        <v>11</v>
      </c>
      <c r="K53" t="str" cm="1">
        <f t="array" ref="K53">ADAPTAR(B53)&amp;"."&amp;ADAPTAR(D53)&amp;YEAR(F53)&amp;"@"&amp;VLOOKUP(J53,Dominios!$A$2:$B$30,2,FALSE)</f>
        <v>lorena.molano1993@nemesis.ml</v>
      </c>
      <c r="L53" s="13">
        <v>11</v>
      </c>
      <c r="M53">
        <f>VLOOKUP(L53,Celulares!$A$2:$B$30,2,FALSE)</f>
        <v>3115114360</v>
      </c>
    </row>
    <row r="54" spans="1:13" ht="15.75" customHeight="1" x14ac:dyDescent="0.25">
      <c r="A54" t="s">
        <v>1489</v>
      </c>
      <c r="B54" s="3" t="s">
        <v>125</v>
      </c>
      <c r="C54" s="3" t="s">
        <v>7</v>
      </c>
      <c r="D54" s="3" t="s">
        <v>170</v>
      </c>
      <c r="E54" s="3" t="s">
        <v>124</v>
      </c>
      <c r="F54" s="5">
        <v>35084</v>
      </c>
      <c r="G54" s="14">
        <f t="shared" ca="1" si="0"/>
        <v>25.468493150684932</v>
      </c>
      <c r="H54" s="3" t="s">
        <v>1198</v>
      </c>
      <c r="I54" t="str" cm="1">
        <f t="array" ref="I54">ADAPTAR(B54)&amp;ADAPTAR(C54)&amp;"_"&amp;ADAPTAR(E54)&amp;F54</f>
        <v>juliethcamila_orjuela35084</v>
      </c>
      <c r="J54" s="13">
        <v>12</v>
      </c>
      <c r="K54" t="str" cm="1">
        <f t="array" ref="K54">ADAPTAR(B54)&amp;"."&amp;ADAPTAR(D54)&amp;YEAR(F54)&amp;"@"&amp;VLOOKUP(J54,Dominios!$A$2:$B$30,2,FALSE)</f>
        <v>julieth.cortes1996@nunquam.com.co</v>
      </c>
      <c r="L54" s="13">
        <v>12</v>
      </c>
      <c r="M54">
        <f>VLOOKUP(L54,Celulares!$A$2:$B$30,2,FALSE)</f>
        <v>3115093653</v>
      </c>
    </row>
    <row r="55" spans="1:13" ht="15.75" customHeight="1" x14ac:dyDescent="0.25">
      <c r="A55" t="s">
        <v>1490</v>
      </c>
      <c r="B55" s="3" t="s">
        <v>108</v>
      </c>
      <c r="C55" s="3" t="s">
        <v>123</v>
      </c>
      <c r="D55" s="3" t="s">
        <v>81</v>
      </c>
      <c r="E55" s="3" t="s">
        <v>85</v>
      </c>
      <c r="F55" s="5">
        <v>33835</v>
      </c>
      <c r="G55" s="14">
        <f t="shared" ca="1" si="0"/>
        <v>28.890410958904109</v>
      </c>
      <c r="H55" s="3" t="s">
        <v>1183</v>
      </c>
      <c r="I55" t="str" cm="1">
        <f t="array" ref="I55">ADAPTAR(B55)&amp;ADAPTAR(C55)&amp;"_"&amp;ADAPTAR(E55)&amp;F55</f>
        <v>gloriaastrid_castilla33835</v>
      </c>
      <c r="J55" s="13">
        <v>13</v>
      </c>
      <c r="K55" t="str" cm="1">
        <f t="array" ref="K55">ADAPTAR(B55)&amp;"."&amp;ADAPTAR(D55)&amp;YEAR(F55)&amp;"@"&amp;VLOOKUP(J55,Dominios!$A$2:$B$30,2,FALSE)</f>
        <v>gloria.zarate1992@sempiternam.co</v>
      </c>
      <c r="L55" s="13">
        <v>13</v>
      </c>
      <c r="M55">
        <f>VLOOKUP(L55,Celulares!$A$2:$B$30,2,FALSE)</f>
        <v>3115093598</v>
      </c>
    </row>
    <row r="56" spans="1:13" ht="15.75" customHeight="1" x14ac:dyDescent="0.25">
      <c r="A56" t="s">
        <v>1491</v>
      </c>
      <c r="B56" s="3" t="s">
        <v>133</v>
      </c>
      <c r="C56" s="3" t="s">
        <v>9</v>
      </c>
      <c r="D56" s="3" t="s">
        <v>113</v>
      </c>
      <c r="E56" s="3" t="s">
        <v>164</v>
      </c>
      <c r="F56" s="5">
        <v>35977</v>
      </c>
      <c r="G56" s="14">
        <f t="shared" ca="1" si="0"/>
        <v>23.021917808219179</v>
      </c>
      <c r="H56" s="3" t="s">
        <v>1183</v>
      </c>
      <c r="I56" t="str" cm="1">
        <f t="array" ref="I56">ADAPTAR(B56)&amp;ADAPTAR(C56)&amp;"_"&amp;ADAPTAR(E56)&amp;F56</f>
        <v>lisethdaniela_ramos35977</v>
      </c>
      <c r="J56" s="13">
        <v>14</v>
      </c>
      <c r="K56" t="str" cm="1">
        <f t="array" ref="K56">ADAPTAR(B56)&amp;"."&amp;ADAPTAR(D56)&amp;YEAR(F56)&amp;"@"&amp;VLOOKUP(J56,Dominios!$A$2:$B$30,2,FALSE)</f>
        <v>liseth.toledo1998@sk9.co</v>
      </c>
      <c r="L56" s="13">
        <v>14</v>
      </c>
      <c r="M56">
        <f>VLOOKUP(L56,Celulares!$A$2:$B$30,2,FALSE)</f>
        <v>3115093583</v>
      </c>
    </row>
    <row r="57" spans="1:13" ht="15.75" customHeight="1" x14ac:dyDescent="0.25">
      <c r="A57" t="s">
        <v>1492</v>
      </c>
      <c r="B57" s="3" t="s">
        <v>19</v>
      </c>
      <c r="C57" s="3" t="s">
        <v>13</v>
      </c>
      <c r="D57" s="3" t="s">
        <v>55</v>
      </c>
      <c r="E57" s="3" t="s">
        <v>223</v>
      </c>
      <c r="F57" s="5">
        <v>36500</v>
      </c>
      <c r="G57" s="14">
        <f t="shared" ca="1" si="0"/>
        <v>21.589041095890412</v>
      </c>
      <c r="H57" s="3" t="s">
        <v>1199</v>
      </c>
      <c r="I57" t="str" cm="1">
        <f t="array" ref="I57">ADAPTAR(B57)&amp;ADAPTAR(C57)&amp;"_"&amp;ADAPTAR(E57)&amp;F57</f>
        <v>paulaandrea_torres36500</v>
      </c>
      <c r="J57" s="13">
        <v>15</v>
      </c>
      <c r="K57" t="str" cm="1">
        <f t="array" ref="K57">ADAPTAR(B57)&amp;"."&amp;ADAPTAR(D57)&amp;YEAR(F57)&amp;"@"&amp;VLOOKUP(J57,Dominios!$A$2:$B$30,2,FALSE)</f>
        <v>paula.rodriguez1999@socialmediacolombia.com.co</v>
      </c>
      <c r="L57" s="13">
        <v>15</v>
      </c>
      <c r="M57">
        <f>VLOOKUP(L57,Celulares!$A$2:$B$30,2,FALSE)</f>
        <v>3115092386</v>
      </c>
    </row>
    <row r="58" spans="1:13" ht="15.75" customHeight="1" x14ac:dyDescent="0.25">
      <c r="A58" t="s">
        <v>1493</v>
      </c>
      <c r="B58" s="3" t="s">
        <v>200</v>
      </c>
      <c r="C58" s="3" t="s">
        <v>78</v>
      </c>
      <c r="D58" s="3" t="s">
        <v>316</v>
      </c>
      <c r="E58" s="3" t="s">
        <v>46</v>
      </c>
      <c r="F58" s="5">
        <v>33858</v>
      </c>
      <c r="G58" s="14">
        <f t="shared" ca="1" si="0"/>
        <v>28.827397260273973</v>
      </c>
      <c r="H58" s="3" t="s">
        <v>1186</v>
      </c>
      <c r="I58" t="str" cm="1">
        <f t="array" ref="I58">ADAPTAR(B58)&amp;ADAPTAR(C58)&amp;"_"&amp;ADAPTAR(E58)&amp;F58</f>
        <v>sonialiliana_rueda33858</v>
      </c>
      <c r="J58" s="13">
        <v>16</v>
      </c>
      <c r="K58" t="str" cm="1">
        <f t="array" ref="K58">ADAPTAR(B58)&amp;"."&amp;ADAPTAR(D58)&amp;YEAR(F58)&amp;"@"&amp;VLOOKUP(J58,Dominios!$A$2:$B$30,2,FALSE)</f>
        <v>sonia.latorre1992@tecnicoensistemas.com.co</v>
      </c>
      <c r="L58" s="13">
        <v>16</v>
      </c>
      <c r="M58">
        <f>VLOOKUP(L58,Celulares!$A$2:$B$30,2,FALSE)</f>
        <v>3115092375</v>
      </c>
    </row>
    <row r="59" spans="1:13" ht="15.75" customHeight="1" x14ac:dyDescent="0.25">
      <c r="A59" t="s">
        <v>1494</v>
      </c>
      <c r="B59" s="3" t="s">
        <v>122</v>
      </c>
      <c r="C59" s="3" t="s">
        <v>7</v>
      </c>
      <c r="D59" s="3" t="s">
        <v>177</v>
      </c>
      <c r="E59" s="3" t="s">
        <v>119</v>
      </c>
      <c r="F59" s="5">
        <v>36198</v>
      </c>
      <c r="G59" s="14">
        <f t="shared" ca="1" si="0"/>
        <v>22.416438356164385</v>
      </c>
      <c r="H59" s="3" t="s">
        <v>1200</v>
      </c>
      <c r="I59" t="str" cm="1">
        <f t="array" ref="I59">ADAPTAR(B59)&amp;ADAPTAR(C59)&amp;"_"&amp;ADAPTAR(E59)&amp;F59</f>
        <v>johannacamila_barragan36198</v>
      </c>
      <c r="J59" s="13">
        <v>17</v>
      </c>
      <c r="K59" t="str" cm="1">
        <f t="array" ref="K59">ADAPTAR(B59)&amp;"."&amp;ADAPTAR(D59)&amp;YEAR(F59)&amp;"@"&amp;VLOOKUP(J59,Dominios!$A$2:$B$30,2,FALSE)</f>
        <v>johanna.castillo1999@totum.com.co</v>
      </c>
      <c r="L59" s="13">
        <v>17</v>
      </c>
      <c r="M59">
        <f>VLOOKUP(L59,Celulares!$A$2:$B$30,2,FALSE)</f>
        <v>3115092369</v>
      </c>
    </row>
    <row r="60" spans="1:13" ht="15.75" customHeight="1" x14ac:dyDescent="0.25">
      <c r="A60" t="s">
        <v>1495</v>
      </c>
      <c r="B60" s="3" t="s">
        <v>30</v>
      </c>
      <c r="C60" s="3" t="s">
        <v>195</v>
      </c>
      <c r="D60" s="3" t="s">
        <v>203</v>
      </c>
      <c r="E60" s="3" t="s">
        <v>59</v>
      </c>
      <c r="F60" s="5">
        <v>29530</v>
      </c>
      <c r="G60" s="14">
        <f t="shared" ca="1" si="0"/>
        <v>40.684931506849317</v>
      </c>
      <c r="H60" s="3" t="s">
        <v>1201</v>
      </c>
      <c r="I60" t="str" cm="1">
        <f t="array" ref="I60">ADAPTAR(B60)&amp;ADAPTAR(C60)&amp;"_"&amp;ADAPTAR(E60)&amp;F60</f>
        <v>claudiapatricia_quinones29530</v>
      </c>
      <c r="J60" s="13">
        <v>18</v>
      </c>
      <c r="K60" t="str" cm="1">
        <f t="array" ref="K60">ADAPTAR(B60)&amp;"."&amp;ADAPTAR(D60)&amp;YEAR(F60)&amp;"@"&amp;VLOOKUP(J60,Dominios!$A$2:$B$30,2,FALSE)</f>
        <v>claudia.redondo1980@voipcolombia.co</v>
      </c>
      <c r="L60" s="13">
        <v>18</v>
      </c>
      <c r="M60">
        <f>VLOOKUP(L60,Celulares!$A$2:$B$30,2,FALSE)</f>
        <v>3115092360</v>
      </c>
    </row>
    <row r="61" spans="1:13" ht="15.75" customHeight="1" x14ac:dyDescent="0.25">
      <c r="A61" t="s">
        <v>1496</v>
      </c>
      <c r="B61" s="3" t="s">
        <v>35</v>
      </c>
      <c r="C61" s="3" t="s">
        <v>317</v>
      </c>
      <c r="D61" s="3" t="s">
        <v>39</v>
      </c>
      <c r="E61" s="3" t="s">
        <v>188</v>
      </c>
      <c r="F61" s="5">
        <v>26715</v>
      </c>
      <c r="G61" s="14">
        <f t="shared" ca="1" si="0"/>
        <v>48.397260273972606</v>
      </c>
      <c r="H61" s="3" t="s">
        <v>1188</v>
      </c>
      <c r="I61" t="str" cm="1">
        <f t="array" ref="I61">ADAPTAR(B61)&amp;ADAPTAR(C61)&amp;"_"&amp;ADAPTAR(E61)&amp;F61</f>
        <v>angelakatherin_toro26715</v>
      </c>
      <c r="J61" s="13">
        <v>19</v>
      </c>
      <c r="K61" t="str" cm="1">
        <f t="array" ref="K61">ADAPTAR(B61)&amp;"."&amp;ADAPTAR(D61)&amp;YEAR(F61)&amp;"@"&amp;VLOOKUP(J61,Dominios!$A$2:$B$30,2,FALSE)</f>
        <v>angela.rincon1973@vpncolombia.com.co</v>
      </c>
      <c r="L61" s="13">
        <v>19</v>
      </c>
      <c r="M61">
        <f>VLOOKUP(L61,Celulares!$A$2:$B$30,2,FALSE)</f>
        <v>3115092352</v>
      </c>
    </row>
    <row r="62" spans="1:13" ht="15.75" customHeight="1" x14ac:dyDescent="0.25">
      <c r="A62" t="s">
        <v>1497</v>
      </c>
      <c r="B62" s="3" t="s">
        <v>617</v>
      </c>
      <c r="C62" s="3" t="s">
        <v>134</v>
      </c>
      <c r="D62" s="3" t="s">
        <v>206</v>
      </c>
      <c r="E62" s="3" t="s">
        <v>87</v>
      </c>
      <c r="F62" s="5">
        <v>35772</v>
      </c>
      <c r="G62" s="14">
        <f t="shared" ca="1" si="0"/>
        <v>23.583561643835615</v>
      </c>
      <c r="H62" s="3" t="s">
        <v>1202</v>
      </c>
      <c r="I62" t="str" cm="1">
        <f t="array" ref="I62">ADAPTAR(B62)&amp;ADAPTAR(C62)&amp;"_"&amp;ADAPTAR(E62)&amp;F62</f>
        <v>wendylorena_bolanos35772</v>
      </c>
      <c r="J62" s="13">
        <v>0</v>
      </c>
      <c r="K62" t="str" cm="1">
        <f t="array" ref="K62">ADAPTAR(B62)&amp;"."&amp;ADAPTAR(D62)&amp;YEAR(F62)&amp;"@"&amp;VLOOKUP(J62,Dominios!$A$2:$B$30,2,FALSE)</f>
        <v>wendy.zamora1997@auribus.com.co</v>
      </c>
      <c r="L62" s="13">
        <v>0</v>
      </c>
      <c r="M62">
        <f>VLOOKUP(L62,Celulares!$A$2:$B$30,2,FALSE)</f>
        <v>3115114930</v>
      </c>
    </row>
    <row r="63" spans="1:13" ht="15.75" customHeight="1" x14ac:dyDescent="0.25">
      <c r="A63" t="s">
        <v>1498</v>
      </c>
      <c r="B63" s="3" t="s">
        <v>139</v>
      </c>
      <c r="C63" s="3" t="s">
        <v>76</v>
      </c>
      <c r="D63" s="3" t="s">
        <v>148</v>
      </c>
      <c r="E63" s="3" t="s">
        <v>251</v>
      </c>
      <c r="F63" s="5">
        <v>36475</v>
      </c>
      <c r="G63" s="14">
        <f t="shared" ca="1" si="0"/>
        <v>21.657534246575342</v>
      </c>
      <c r="H63" s="3" t="s">
        <v>1203</v>
      </c>
      <c r="I63" t="str" cm="1">
        <f t="array" ref="I63">ADAPTAR(B63)&amp;ADAPTAR(C63)&amp;"_"&amp;ADAPTAR(E63)&amp;F63</f>
        <v>ludiviacecilia_aldana36475</v>
      </c>
      <c r="J63" s="13">
        <v>1</v>
      </c>
      <c r="K63" t="str" cm="1">
        <f t="array" ref="K63">ADAPTAR(B63)&amp;"."&amp;ADAPTAR(D63)&amp;YEAR(F63)&amp;"@"&amp;VLOOKUP(J63,Dominios!$A$2:$B$30,2,FALSE)</f>
        <v>ludivia.blanco1999@colamus.co</v>
      </c>
      <c r="L63" s="13">
        <v>1</v>
      </c>
      <c r="M63">
        <f>VLOOKUP(L63,Celulares!$A$2:$B$30,2,FALSE)</f>
        <v>3115114916</v>
      </c>
    </row>
    <row r="64" spans="1:13" ht="15.75" customHeight="1" x14ac:dyDescent="0.25">
      <c r="A64" t="s">
        <v>1499</v>
      </c>
      <c r="B64" s="3" t="s">
        <v>41</v>
      </c>
      <c r="C64" s="3" t="s">
        <v>618</v>
      </c>
      <c r="D64" s="3" t="s">
        <v>55</v>
      </c>
      <c r="E64" s="3" t="s">
        <v>63</v>
      </c>
      <c r="F64" s="5">
        <v>35448</v>
      </c>
      <c r="G64" s="14">
        <f t="shared" ca="1" si="0"/>
        <v>24.471232876712328</v>
      </c>
      <c r="H64" s="3" t="s">
        <v>1204</v>
      </c>
      <c r="I64" t="str" cm="1">
        <f t="array" ref="I64">ADAPTAR(B64)&amp;ADAPTAR(C64)&amp;"_"&amp;ADAPTAR(E64)&amp;F64</f>
        <v>adelinasareth_benavidez35448</v>
      </c>
      <c r="J64" s="13">
        <v>2</v>
      </c>
      <c r="K64" t="str" cm="1">
        <f t="array" ref="K64">ADAPTAR(B64)&amp;"."&amp;ADAPTAR(D64)&amp;YEAR(F64)&amp;"@"&amp;VLOOKUP(J64,Dominios!$A$2:$B$30,2,FALSE)</f>
        <v>adelina.rodriguez1997@colombiamail.co</v>
      </c>
      <c r="L64" s="13">
        <v>2</v>
      </c>
      <c r="M64">
        <f>VLOOKUP(L64,Celulares!$A$2:$B$30,2,FALSE)</f>
        <v>3115114911</v>
      </c>
    </row>
    <row r="65" spans="1:13" ht="15.75" customHeight="1" x14ac:dyDescent="0.25">
      <c r="A65" t="s">
        <v>1500</v>
      </c>
      <c r="B65" s="3" t="s">
        <v>129</v>
      </c>
      <c r="C65" s="3" t="s">
        <v>619</v>
      </c>
      <c r="D65" s="3" t="s">
        <v>75</v>
      </c>
      <c r="E65" s="3" t="s">
        <v>117</v>
      </c>
      <c r="F65" s="5">
        <v>36404</v>
      </c>
      <c r="G65" s="14">
        <f t="shared" ca="1" si="0"/>
        <v>21.852054794520548</v>
      </c>
      <c r="H65" s="3" t="s">
        <v>1189</v>
      </c>
      <c r="I65" t="str" cm="1">
        <f t="array" ref="I65">ADAPTAR(B65)&amp;ADAPTAR(C65)&amp;"_"&amp;ADAPTAR(E65)&amp;F65</f>
        <v>kellyjhoanna_diaz36404</v>
      </c>
      <c r="J65" s="13">
        <v>3</v>
      </c>
      <c r="K65" t="str" cm="1">
        <f t="array" ref="K65">ADAPTAR(B65)&amp;"."&amp;ADAPTAR(D65)&amp;YEAR(F65)&amp;"@"&amp;VLOOKUP(J65,Dominios!$A$2:$B$30,2,FALSE)</f>
        <v>kelly.cuellar1999@diabunter.co</v>
      </c>
      <c r="L65" s="13">
        <v>3</v>
      </c>
      <c r="M65">
        <f>VLOOKUP(L65,Celulares!$A$2:$B$30,2,FALSE)</f>
        <v>3115114910</v>
      </c>
    </row>
    <row r="66" spans="1:13" ht="15.75" customHeight="1" x14ac:dyDescent="0.25">
      <c r="A66" t="s">
        <v>1501</v>
      </c>
      <c r="B66" s="3" t="s">
        <v>13</v>
      </c>
      <c r="C66" s="3" t="s">
        <v>29</v>
      </c>
      <c r="D66" s="3" t="s">
        <v>132</v>
      </c>
      <c r="E66" s="3" t="s">
        <v>186</v>
      </c>
      <c r="F66" s="5">
        <v>36666</v>
      </c>
      <c r="G66" s="14">
        <f t="shared" ca="1" si="0"/>
        <v>21.134246575342466</v>
      </c>
      <c r="H66" s="3" t="s">
        <v>1205</v>
      </c>
      <c r="I66" t="str" cm="1">
        <f t="array" ref="I66">ADAPTAR(B66)&amp;ADAPTAR(C66)&amp;"_"&amp;ADAPTAR(E66)&amp;F66</f>
        <v>andreacarolina_corredor36666</v>
      </c>
      <c r="J66" s="13">
        <v>4</v>
      </c>
      <c r="K66" t="str" cm="1">
        <f t="array" ref="K66">ADAPTAR(B66)&amp;"."&amp;ADAPTAR(D66)&amp;YEAR(F66)&amp;"@"&amp;VLOOKUP(J66,Dominios!$A$2:$B$30,2,FALSE)</f>
        <v>andrea.rubio2000@ebrietas.co</v>
      </c>
      <c r="L66" s="13">
        <v>4</v>
      </c>
      <c r="M66">
        <f>VLOOKUP(L66,Celulares!$A$2:$B$30,2,FALSE)</f>
        <v>3115114909</v>
      </c>
    </row>
    <row r="67" spans="1:13" ht="15.75" customHeight="1" x14ac:dyDescent="0.25">
      <c r="A67" t="s">
        <v>1502</v>
      </c>
      <c r="B67" s="3" t="s">
        <v>12</v>
      </c>
      <c r="C67" s="3" t="s">
        <v>311</v>
      </c>
      <c r="D67" s="3" t="s">
        <v>58</v>
      </c>
      <c r="E67" s="3" t="s">
        <v>199</v>
      </c>
      <c r="F67" s="5">
        <v>35926</v>
      </c>
      <c r="G67" s="14">
        <f t="shared" ref="G67:G130" ca="1" si="1">(TODAY()-F67)/365</f>
        <v>23.161643835616438</v>
      </c>
      <c r="H67" s="3" t="s">
        <v>1180</v>
      </c>
      <c r="I67" t="str" cm="1">
        <f t="array" ref="I67">ADAPTAR(B67)&amp;ADAPTAR(C67)&amp;"_"&amp;ADAPTAR(E67)&amp;F67</f>
        <v>ximenasocorro_lopez35926</v>
      </c>
      <c r="J67" s="13">
        <v>5</v>
      </c>
      <c r="K67" t="str" cm="1">
        <f t="array" ref="K67">ADAPTAR(B67)&amp;"."&amp;ADAPTAR(D67)&amp;YEAR(F67)&amp;"@"&amp;VLOOKUP(J67,Dominios!$A$2:$B$30,2,FALSE)</f>
        <v>ximena.ospina1998@elsinsonte.co</v>
      </c>
      <c r="L67" s="13">
        <v>5</v>
      </c>
      <c r="M67">
        <f>VLOOKUP(L67,Celulares!$A$2:$B$30,2,FALSE)</f>
        <v>3115060130</v>
      </c>
    </row>
    <row r="68" spans="1:13" ht="15.75" customHeight="1" x14ac:dyDescent="0.25">
      <c r="A68" t="s">
        <v>1503</v>
      </c>
      <c r="B68" s="3" t="s">
        <v>165</v>
      </c>
      <c r="C68" s="3" t="s">
        <v>167</v>
      </c>
      <c r="D68" s="3" t="s">
        <v>60</v>
      </c>
      <c r="E68" s="3" t="s">
        <v>252</v>
      </c>
      <c r="F68" s="5">
        <v>32586</v>
      </c>
      <c r="G68" s="14">
        <v>32</v>
      </c>
      <c r="H68" s="3" t="s">
        <v>1183</v>
      </c>
      <c r="I68" t="str" cm="1">
        <f t="array" ref="I68">ADAPTAR(B68)&amp;ADAPTAR(C68)&amp;"_"&amp;ADAPTAR(E68)&amp;F68</f>
        <v>martharocio_valderrama32586</v>
      </c>
      <c r="J68" s="13">
        <v>6</v>
      </c>
      <c r="K68" t="str" cm="1">
        <f t="array" ref="K68">ADAPTAR(B68)&amp;"."&amp;ADAPTAR(D68)&amp;YEAR(F68)&amp;"@"&amp;VLOOKUP(J68,Dominios!$A$2:$B$30,2,FALSE)</f>
        <v>martha.orozco1989@enigmaserver.co</v>
      </c>
      <c r="L68" s="13">
        <v>6</v>
      </c>
      <c r="M68">
        <f>VLOOKUP(L68,Celulares!$A$2:$B$30,2,FALSE)</f>
        <v>3115060125</v>
      </c>
    </row>
    <row r="69" spans="1:13" ht="15.75" customHeight="1" x14ac:dyDescent="0.25">
      <c r="A69" t="s">
        <v>1504</v>
      </c>
      <c r="B69" s="3" t="s">
        <v>2506</v>
      </c>
      <c r="C69" s="3" t="s">
        <v>217</v>
      </c>
      <c r="D69" s="3" t="s">
        <v>99</v>
      </c>
      <c r="E69" s="3" t="s">
        <v>253</v>
      </c>
      <c r="F69" s="5">
        <v>36441</v>
      </c>
      <c r="G69" s="14">
        <f t="shared" ca="1" si="1"/>
        <v>21.75068493150685</v>
      </c>
      <c r="H69" s="3" t="s">
        <v>1206</v>
      </c>
      <c r="I69" t="str" cm="1">
        <f t="array" ref="I69">ADAPTAR(B69)&amp;ADAPTAR(C69)&amp;"_"&amp;ADAPTAR(E69)&amp;F69</f>
        <v>veronicayulieth_cordoba36441</v>
      </c>
      <c r="J69" s="13">
        <v>7</v>
      </c>
      <c r="K69" t="str" cm="1">
        <f t="array" ref="K69">ADAPTAR(B69)&amp;"."&amp;ADAPTAR(D69)&amp;YEAR(F69)&amp;"@"&amp;VLOOKUP(J69,Dominios!$A$2:$B$30,2,FALSE)</f>
        <v>veronica.avila1999@hocknas.co</v>
      </c>
      <c r="L69" s="13">
        <v>7</v>
      </c>
      <c r="M69">
        <f>VLOOKUP(L69,Celulares!$A$2:$B$30,2,FALSE)</f>
        <v>3115060110</v>
      </c>
    </row>
    <row r="70" spans="1:13" ht="15.75" customHeight="1" x14ac:dyDescent="0.25">
      <c r="A70" t="s">
        <v>1505</v>
      </c>
      <c r="B70" s="3" t="s">
        <v>184</v>
      </c>
      <c r="C70" s="3" t="s">
        <v>29</v>
      </c>
      <c r="D70" s="3" t="s">
        <v>196</v>
      </c>
      <c r="E70" s="3" t="s">
        <v>254</v>
      </c>
      <c r="F70" s="5">
        <v>36452</v>
      </c>
      <c r="G70" s="14">
        <f t="shared" ca="1" si="1"/>
        <v>21.720547945205478</v>
      </c>
      <c r="H70" s="3" t="s">
        <v>1207</v>
      </c>
      <c r="I70" t="str" cm="1">
        <f t="array" ref="I70">ADAPTAR(B70)&amp;ADAPTAR(C70)&amp;"_"&amp;ADAPTAR(E70)&amp;F70</f>
        <v>nathaliacarolina_garzon36452</v>
      </c>
      <c r="J70" s="13">
        <v>8</v>
      </c>
      <c r="K70" t="str" cm="1">
        <f t="array" ref="K70">ADAPTAR(B70)&amp;"."&amp;ADAPTAR(D70)&amp;YEAR(F70)&amp;"@"&amp;VLOOKUP(J70,Dominios!$A$2:$B$30,2,FALSE)</f>
        <v>nathalia.montoya1999@hostedoceri.co</v>
      </c>
      <c r="L70" s="13">
        <v>8</v>
      </c>
      <c r="M70">
        <f>VLOOKUP(L70,Celulares!$A$2:$B$30,2,FALSE)</f>
        <v>3115060091</v>
      </c>
    </row>
    <row r="71" spans="1:13" ht="15.75" customHeight="1" x14ac:dyDescent="0.25">
      <c r="A71" t="s">
        <v>1506</v>
      </c>
      <c r="B71" s="3" t="s">
        <v>101</v>
      </c>
      <c r="C71" s="3" t="s">
        <v>9</v>
      </c>
      <c r="D71" s="3" t="s">
        <v>110</v>
      </c>
      <c r="E71" s="3" t="s">
        <v>255</v>
      </c>
      <c r="F71" s="5">
        <v>36633</v>
      </c>
      <c r="G71" s="14">
        <f t="shared" ca="1" si="1"/>
        <v>21.224657534246575</v>
      </c>
      <c r="H71" s="3" t="s">
        <v>566</v>
      </c>
      <c r="I71" t="str" cm="1">
        <f t="array" ref="I71">ADAPTAR(B71)&amp;ADAPTAR(C71)&amp;"_"&amp;ADAPTAR(E71)&amp;F71</f>
        <v>erikadaniela_mosquera36633</v>
      </c>
      <c r="J71" s="13">
        <v>9</v>
      </c>
      <c r="K71" t="str" cm="1">
        <f t="array" ref="K71">ADAPTAR(B71)&amp;"."&amp;ADAPTAR(D71)&amp;YEAR(F71)&amp;"@"&amp;VLOOKUP(J71,Dominios!$A$2:$B$30,2,FALSE)</f>
        <v>erika.contreras2000@libertas.com.co</v>
      </c>
      <c r="L71" s="13">
        <v>9</v>
      </c>
      <c r="M71">
        <f>VLOOKUP(L71,Celulares!$A$2:$B$30,2,FALSE)</f>
        <v>3115060080</v>
      </c>
    </row>
    <row r="72" spans="1:13" ht="15.75" customHeight="1" x14ac:dyDescent="0.25">
      <c r="A72" t="s">
        <v>1507</v>
      </c>
      <c r="B72" s="3" t="s">
        <v>10</v>
      </c>
      <c r="C72" s="3" t="s">
        <v>620</v>
      </c>
      <c r="D72" s="3" t="s">
        <v>110</v>
      </c>
      <c r="E72" s="3" t="s">
        <v>256</v>
      </c>
      <c r="F72" s="5">
        <v>36349</v>
      </c>
      <c r="G72" s="14">
        <f t="shared" ca="1" si="1"/>
        <v>22.002739726027396</v>
      </c>
      <c r="H72" s="3" t="s">
        <v>589</v>
      </c>
      <c r="I72" t="str" cm="1">
        <f t="array" ref="I72">ADAPTAR(B72)&amp;ADAPTAR(C72)&amp;"_"&amp;ADAPTAR(E72)&amp;F72</f>
        <v>marianavictoria_isaza36349</v>
      </c>
      <c r="J72" s="13">
        <v>10</v>
      </c>
      <c r="K72" t="str" cm="1">
        <f t="array" ref="K72">ADAPTAR(B72)&amp;"."&amp;ADAPTAR(D72)&amp;YEAR(F72)&amp;"@"&amp;VLOOKUP(J72,Dominios!$A$2:$B$30,2,FALSE)</f>
        <v>mariana.contreras1999@nascitur.com.co</v>
      </c>
      <c r="L72" s="13">
        <v>10</v>
      </c>
      <c r="M72">
        <f>VLOOKUP(L72,Celulares!$A$2:$B$30,2,FALSE)</f>
        <v>3115114385</v>
      </c>
    </row>
    <row r="73" spans="1:13" ht="15.75" customHeight="1" x14ac:dyDescent="0.25">
      <c r="A73" t="s">
        <v>1508</v>
      </c>
      <c r="B73" s="3" t="s">
        <v>37</v>
      </c>
      <c r="C73" s="3" t="s">
        <v>621</v>
      </c>
      <c r="D73" s="3" t="s">
        <v>100</v>
      </c>
      <c r="E73" s="3" t="s">
        <v>257</v>
      </c>
      <c r="F73" s="5">
        <v>35411</v>
      </c>
      <c r="G73" s="14">
        <f t="shared" ca="1" si="1"/>
        <v>24.572602739726026</v>
      </c>
      <c r="H73" s="3" t="s">
        <v>1208</v>
      </c>
      <c r="I73" t="str" cm="1">
        <f t="array" ref="I73">ADAPTAR(B73)&amp;ADAPTAR(C73)&amp;"_"&amp;ADAPTAR(E73)&amp;F73</f>
        <v>dianaaurora_zuniga35411</v>
      </c>
      <c r="J73" s="13">
        <v>11</v>
      </c>
      <c r="K73" t="str" cm="1">
        <f t="array" ref="K73">ADAPTAR(B73)&amp;"."&amp;ADAPTAR(D73)&amp;YEAR(F73)&amp;"@"&amp;VLOOKUP(J73,Dominios!$A$2:$B$30,2,FALSE)</f>
        <v>diana.jaramillo1996@nemesis.ml</v>
      </c>
      <c r="L73" s="13">
        <v>11</v>
      </c>
      <c r="M73">
        <f>VLOOKUP(L73,Celulares!$A$2:$B$30,2,FALSE)</f>
        <v>3115114360</v>
      </c>
    </row>
    <row r="74" spans="1:13" ht="15.75" customHeight="1" x14ac:dyDescent="0.25">
      <c r="A74" t="s">
        <v>1509</v>
      </c>
      <c r="B74" s="3" t="s">
        <v>35</v>
      </c>
      <c r="C74" s="3" t="s">
        <v>299</v>
      </c>
      <c r="D74" s="3" t="s">
        <v>258</v>
      </c>
      <c r="E74" s="3" t="s">
        <v>259</v>
      </c>
      <c r="F74" s="5">
        <v>34280</v>
      </c>
      <c r="G74" s="14">
        <f t="shared" ca="1" si="1"/>
        <v>27.671232876712327</v>
      </c>
      <c r="H74" s="3" t="s">
        <v>609</v>
      </c>
      <c r="I74" t="str" cm="1">
        <f t="array" ref="I74">ADAPTAR(B74)&amp;ADAPTAR(C74)&amp;"_"&amp;ADAPTAR(E74)&amp;F74</f>
        <v>angelaines_gil34280</v>
      </c>
      <c r="J74" s="13">
        <v>12</v>
      </c>
      <c r="K74" t="str" cm="1">
        <f t="array" ref="K74">ADAPTAR(B74)&amp;"."&amp;ADAPTAR(D74)&amp;YEAR(F74)&amp;"@"&amp;VLOOKUP(J74,Dominios!$A$2:$B$30,2,FALSE)</f>
        <v>angela.velandia1993@nunquam.com.co</v>
      </c>
      <c r="L74" s="13">
        <v>12</v>
      </c>
      <c r="M74">
        <f>VLOOKUP(L74,Celulares!$A$2:$B$30,2,FALSE)</f>
        <v>3115093653</v>
      </c>
    </row>
    <row r="75" spans="1:13" ht="15.75" customHeight="1" x14ac:dyDescent="0.25">
      <c r="A75" t="s">
        <v>1510</v>
      </c>
      <c r="B75" s="3" t="s">
        <v>192</v>
      </c>
      <c r="C75" s="3" t="s">
        <v>622</v>
      </c>
      <c r="D75" s="3" t="s">
        <v>126</v>
      </c>
      <c r="E75" s="3" t="s">
        <v>227</v>
      </c>
      <c r="F75" s="5">
        <v>35084</v>
      </c>
      <c r="G75" s="14">
        <f t="shared" ca="1" si="1"/>
        <v>25.468493150684932</v>
      </c>
      <c r="H75" s="3" t="s">
        <v>1209</v>
      </c>
      <c r="I75" t="str" cm="1">
        <f t="array" ref="I75">ADAPTAR(B75)&amp;ADAPTAR(C75)&amp;"_"&amp;ADAPTAR(E75)&amp;F75</f>
        <v>nohorasusana_ortiz35084</v>
      </c>
      <c r="J75" s="13">
        <v>13</v>
      </c>
      <c r="K75" t="str" cm="1">
        <f t="array" ref="K75">ADAPTAR(B75)&amp;"."&amp;ADAPTAR(D75)&amp;YEAR(F75)&amp;"@"&amp;VLOOKUP(J75,Dominios!$A$2:$B$30,2,FALSE)</f>
        <v>nohora.caballero1996@sempiternam.co</v>
      </c>
      <c r="L75" s="13">
        <v>13</v>
      </c>
      <c r="M75">
        <f>VLOOKUP(L75,Celulares!$A$2:$B$30,2,FALSE)</f>
        <v>3115093598</v>
      </c>
    </row>
    <row r="76" spans="1:13" ht="15.75" customHeight="1" x14ac:dyDescent="0.25">
      <c r="A76" t="s">
        <v>1511</v>
      </c>
      <c r="B76" s="3" t="s">
        <v>329</v>
      </c>
      <c r="C76" s="3" t="s">
        <v>67</v>
      </c>
      <c r="D76" s="3" t="s">
        <v>127</v>
      </c>
      <c r="E76" s="3" t="s">
        <v>260</v>
      </c>
      <c r="F76" s="5">
        <v>33835</v>
      </c>
      <c r="G76" s="14">
        <f t="shared" ca="1" si="1"/>
        <v>28.890410958904109</v>
      </c>
      <c r="H76" s="3" t="s">
        <v>1210</v>
      </c>
      <c r="I76" t="str" cm="1">
        <f t="array" ref="I76">ADAPTAR(B76)&amp;ADAPTAR(C76)&amp;"_"&amp;ADAPTAR(E76)&amp;F76</f>
        <v>leydicarmen_callejas33835</v>
      </c>
      <c r="J76" s="13">
        <v>14</v>
      </c>
      <c r="K76" t="str" cm="1">
        <f t="array" ref="K76">ADAPTAR(B76)&amp;"."&amp;ADAPTAR(D76)&amp;YEAR(F76)&amp;"@"&amp;VLOOKUP(J76,Dominios!$A$2:$B$30,2,FALSE)</f>
        <v>leydi.torres1992@sk9.co</v>
      </c>
      <c r="L76" s="13">
        <v>14</v>
      </c>
      <c r="M76">
        <f>VLOOKUP(L76,Celulares!$A$2:$B$30,2,FALSE)</f>
        <v>3115093583</v>
      </c>
    </row>
    <row r="77" spans="1:13" ht="15.75" customHeight="1" x14ac:dyDescent="0.25">
      <c r="A77" t="s">
        <v>1512</v>
      </c>
      <c r="B77" s="3" t="s">
        <v>215</v>
      </c>
      <c r="C77" s="3" t="s">
        <v>195</v>
      </c>
      <c r="D77" s="3" t="s">
        <v>44</v>
      </c>
      <c r="E77" s="3" t="s">
        <v>261</v>
      </c>
      <c r="F77" s="5">
        <v>35977</v>
      </c>
      <c r="G77" s="14">
        <f t="shared" ca="1" si="1"/>
        <v>23.021917808219179</v>
      </c>
      <c r="H77" s="3" t="s">
        <v>566</v>
      </c>
      <c r="I77" t="str" cm="1">
        <f t="array" ref="I77">ADAPTAR(B77)&amp;ADAPTAR(C77)&amp;"_"&amp;ADAPTAR(E77)&amp;F77</f>
        <v>yormarypatricia_coronado35977</v>
      </c>
      <c r="J77" s="13">
        <v>15</v>
      </c>
      <c r="K77" t="str" cm="1">
        <f t="array" ref="K77">ADAPTAR(B77)&amp;"."&amp;ADAPTAR(D77)&amp;YEAR(F77)&amp;"@"&amp;VLOOKUP(J77,Dominios!$A$2:$B$30,2,FALSE)</f>
        <v>yormary.matiz1998@socialmediacolombia.com.co</v>
      </c>
      <c r="L77" s="13">
        <v>15</v>
      </c>
      <c r="M77">
        <f>VLOOKUP(L77,Celulares!$A$2:$B$30,2,FALSE)</f>
        <v>3115092386</v>
      </c>
    </row>
    <row r="78" spans="1:13" ht="15.75" customHeight="1" x14ac:dyDescent="0.25">
      <c r="A78" t="s">
        <v>1513</v>
      </c>
      <c r="B78" s="3" t="s">
        <v>21</v>
      </c>
      <c r="C78" s="3" t="s">
        <v>623</v>
      </c>
      <c r="D78" s="3" t="s">
        <v>89</v>
      </c>
      <c r="E78" s="3" t="s">
        <v>43</v>
      </c>
      <c r="F78" s="5">
        <v>36500</v>
      </c>
      <c r="G78" s="14">
        <f t="shared" ca="1" si="1"/>
        <v>21.589041095890412</v>
      </c>
      <c r="H78" s="3" t="s">
        <v>1211</v>
      </c>
      <c r="I78" t="str" cm="1">
        <f t="array" ref="I78">ADAPTAR(B78)&amp;ADAPTAR(C78)&amp;"_"&amp;ADAPTAR(E78)&amp;F78</f>
        <v>catalinaamparo_herrera36500</v>
      </c>
      <c r="J78" s="13">
        <v>16</v>
      </c>
      <c r="K78" t="str" cm="1">
        <f t="array" ref="K78">ADAPTAR(B78)&amp;"."&amp;ADAPTAR(D78)&amp;YEAR(F78)&amp;"@"&amp;VLOOKUP(J78,Dominios!$A$2:$B$30,2,FALSE)</f>
        <v>catalina.gomez1999@tecnicoensistemas.com.co</v>
      </c>
      <c r="L78" s="13">
        <v>16</v>
      </c>
      <c r="M78">
        <f>VLOOKUP(L78,Celulares!$A$2:$B$30,2,FALSE)</f>
        <v>3115092375</v>
      </c>
    </row>
    <row r="79" spans="1:13" ht="15.75" customHeight="1" x14ac:dyDescent="0.25">
      <c r="A79" t="s">
        <v>1514</v>
      </c>
      <c r="B79" s="3" t="s">
        <v>14</v>
      </c>
      <c r="C79" s="3" t="s">
        <v>624</v>
      </c>
      <c r="D79" s="3" t="s">
        <v>160</v>
      </c>
      <c r="E79" s="3" t="s">
        <v>255</v>
      </c>
      <c r="F79" s="5">
        <v>33858</v>
      </c>
      <c r="G79" s="14">
        <f t="shared" ca="1" si="1"/>
        <v>28.827397260273973</v>
      </c>
      <c r="H79" s="3" t="s">
        <v>1212</v>
      </c>
      <c r="I79" t="str" cm="1">
        <f t="array" ref="I79">ADAPTAR(B79)&amp;ADAPTAR(C79)&amp;"_"&amp;ADAPTAR(E79)&amp;F79</f>
        <v>nataliaemilia_mosquera33858</v>
      </c>
      <c r="J79" s="13">
        <v>17</v>
      </c>
      <c r="K79" t="str" cm="1">
        <f t="array" ref="K79">ADAPTAR(B79)&amp;"."&amp;ADAPTAR(D79)&amp;YEAR(F79)&amp;"@"&amp;VLOOKUP(J79,Dominios!$A$2:$B$30,2,FALSE)</f>
        <v>natalia.carriazo1992@totum.com.co</v>
      </c>
      <c r="L79" s="13">
        <v>17</v>
      </c>
      <c r="M79">
        <f>VLOOKUP(L79,Celulares!$A$2:$B$30,2,FALSE)</f>
        <v>3115092369</v>
      </c>
    </row>
    <row r="80" spans="1:13" ht="15.75" customHeight="1" x14ac:dyDescent="0.25">
      <c r="A80" t="s">
        <v>1515</v>
      </c>
      <c r="B80" s="3" t="s">
        <v>50</v>
      </c>
      <c r="C80" s="3" t="s">
        <v>625</v>
      </c>
      <c r="D80" s="3" t="s">
        <v>115</v>
      </c>
      <c r="E80" s="3" t="s">
        <v>157</v>
      </c>
      <c r="F80" s="5">
        <v>36198</v>
      </c>
      <c r="G80" s="14">
        <f t="shared" ca="1" si="1"/>
        <v>22.416438356164385</v>
      </c>
      <c r="H80" s="3" t="s">
        <v>1213</v>
      </c>
      <c r="I80" t="str" cm="1">
        <f t="array" ref="I80">ADAPTAR(B80)&amp;ADAPTAR(C80)&amp;"_"&amp;ADAPTAR(E80)&amp;F80</f>
        <v>mariaolga_ramirez36198</v>
      </c>
      <c r="J80" s="13">
        <v>18</v>
      </c>
      <c r="K80" t="str" cm="1">
        <f t="array" ref="K80">ADAPTAR(B80)&amp;"."&amp;ADAPTAR(D80)&amp;YEAR(F80)&amp;"@"&amp;VLOOKUP(J80,Dominios!$A$2:$B$30,2,FALSE)</f>
        <v>maria.sanabria1999@voipcolombia.co</v>
      </c>
      <c r="L80" s="13">
        <v>18</v>
      </c>
      <c r="M80">
        <f>VLOOKUP(L80,Celulares!$A$2:$B$30,2,FALSE)</f>
        <v>3115092360</v>
      </c>
    </row>
    <row r="81" spans="1:13" ht="15.75" customHeight="1" x14ac:dyDescent="0.25">
      <c r="A81" t="s">
        <v>1516</v>
      </c>
      <c r="B81" s="3" t="s">
        <v>93</v>
      </c>
      <c r="C81" s="3" t="s">
        <v>18</v>
      </c>
      <c r="D81" s="3" t="s">
        <v>72</v>
      </c>
      <c r="E81" s="3" t="s">
        <v>247</v>
      </c>
      <c r="F81" s="5">
        <v>29530</v>
      </c>
      <c r="G81" s="14">
        <f t="shared" ca="1" si="1"/>
        <v>40.684931506849317</v>
      </c>
      <c r="H81" s="3" t="s">
        <v>1200</v>
      </c>
      <c r="I81" t="str" cm="1">
        <f t="array" ref="I81">ADAPTAR(B81)&amp;ADAPTAR(C81)&amp;"_"&amp;ADAPTAR(E81)&amp;F81</f>
        <v>ednaalejandra_zapata29530</v>
      </c>
      <c r="J81" s="13">
        <v>19</v>
      </c>
      <c r="K81" t="str" cm="1">
        <f t="array" ref="K81">ADAPTAR(B81)&amp;"."&amp;ADAPTAR(D81)&amp;YEAR(F81)&amp;"@"&amp;VLOOKUP(J81,Dominios!$A$2:$B$30,2,FALSE)</f>
        <v>edna.quiroga1980@vpncolombia.com.co</v>
      </c>
      <c r="L81" s="13">
        <v>19</v>
      </c>
      <c r="M81">
        <f>VLOOKUP(L81,Celulares!$A$2:$B$30,2,FALSE)</f>
        <v>3115092352</v>
      </c>
    </row>
    <row r="82" spans="1:13" ht="15.75" customHeight="1" x14ac:dyDescent="0.25">
      <c r="A82" t="s">
        <v>1517</v>
      </c>
      <c r="B82" s="3" t="s">
        <v>165</v>
      </c>
      <c r="C82" s="3" t="s">
        <v>626</v>
      </c>
      <c r="D82" s="3" t="s">
        <v>263</v>
      </c>
      <c r="E82" s="3" t="s">
        <v>262</v>
      </c>
      <c r="F82" s="5">
        <v>26715</v>
      </c>
      <c r="G82" s="14">
        <f t="shared" ca="1" si="1"/>
        <v>48.397260273972606</v>
      </c>
      <c r="H82" s="3" t="s">
        <v>1214</v>
      </c>
      <c r="I82" t="str" cm="1">
        <f t="array" ref="I82">ADAPTAR(B82)&amp;ADAPTAR(C82)&amp;"_"&amp;ADAPTAR(E82)&amp;F82</f>
        <v>marthamartina_hoyos26715</v>
      </c>
      <c r="J82" s="13">
        <v>0</v>
      </c>
      <c r="K82" t="str" cm="1">
        <f t="array" ref="K82">ADAPTAR(B82)&amp;"."&amp;ADAPTAR(D82)&amp;YEAR(F82)&amp;"@"&amp;VLOOKUP(J82,Dominios!$A$2:$B$30,2,FALSE)</f>
        <v>martha.neira1973@auribus.com.co</v>
      </c>
      <c r="L82" s="13">
        <v>0</v>
      </c>
      <c r="M82">
        <f>VLOOKUP(L82,Celulares!$A$2:$B$30,2,FALSE)</f>
        <v>3115114930</v>
      </c>
    </row>
    <row r="83" spans="1:13" ht="15.75" customHeight="1" x14ac:dyDescent="0.25">
      <c r="A83" t="s">
        <v>1518</v>
      </c>
      <c r="B83" s="3" t="s">
        <v>30</v>
      </c>
      <c r="C83" s="3" t="s">
        <v>52</v>
      </c>
      <c r="D83" s="3" t="s">
        <v>155</v>
      </c>
      <c r="E83" s="3" t="s">
        <v>264</v>
      </c>
      <c r="F83" s="5">
        <v>35772</v>
      </c>
      <c r="G83" s="14">
        <f t="shared" ca="1" si="1"/>
        <v>23.583561643835615</v>
      </c>
      <c r="H83" s="3" t="s">
        <v>1183</v>
      </c>
      <c r="I83" t="str" cm="1">
        <f t="array" ref="I83">ADAPTAR(B83)&amp;ADAPTAR(C83)&amp;"_"&amp;ADAPTAR(E83)&amp;F83</f>
        <v>claudiaibeth_jimenez35772</v>
      </c>
      <c r="J83" s="13">
        <v>1</v>
      </c>
      <c r="K83" t="str" cm="1">
        <f t="array" ref="K83">ADAPTAR(B83)&amp;"."&amp;ADAPTAR(D83)&amp;YEAR(F83)&amp;"@"&amp;VLOOKUP(J83,Dominios!$A$2:$B$30,2,FALSE)</f>
        <v>claudia.murillo1997@colamus.co</v>
      </c>
      <c r="L83" s="13">
        <v>1</v>
      </c>
      <c r="M83">
        <f>VLOOKUP(L83,Celulares!$A$2:$B$30,2,FALSE)</f>
        <v>3115114916</v>
      </c>
    </row>
    <row r="84" spans="1:13" ht="15.75" customHeight="1" x14ac:dyDescent="0.25">
      <c r="A84" t="s">
        <v>1519</v>
      </c>
      <c r="B84" s="3" t="s">
        <v>122</v>
      </c>
      <c r="C84" s="3" t="s">
        <v>159</v>
      </c>
      <c r="D84" s="3" t="s">
        <v>71</v>
      </c>
      <c r="E84" s="3" t="s">
        <v>55</v>
      </c>
      <c r="F84" s="5">
        <v>36475</v>
      </c>
      <c r="G84" s="14">
        <f t="shared" ca="1" si="1"/>
        <v>21.657534246575342</v>
      </c>
      <c r="H84" s="3" t="s">
        <v>1186</v>
      </c>
      <c r="I84" t="str" cm="1">
        <f t="array" ref="I84">ADAPTAR(B84)&amp;ADAPTAR(C84)&amp;"_"&amp;ADAPTAR(E84)&amp;F84</f>
        <v>johannateresa_rodriguez36475</v>
      </c>
      <c r="J84" s="13">
        <v>2</v>
      </c>
      <c r="K84" t="str" cm="1">
        <f t="array" ref="K84">ADAPTAR(B84)&amp;"."&amp;ADAPTAR(D84)&amp;YEAR(F84)&amp;"@"&amp;VLOOKUP(J84,Dominios!$A$2:$B$30,2,FALSE)</f>
        <v>johanna.munoz1999@colombiamail.co</v>
      </c>
      <c r="L84" s="13">
        <v>2</v>
      </c>
      <c r="M84">
        <f>VLOOKUP(L84,Celulares!$A$2:$B$30,2,FALSE)</f>
        <v>3115114911</v>
      </c>
    </row>
    <row r="85" spans="1:13" ht="15.75" customHeight="1" x14ac:dyDescent="0.25">
      <c r="A85" t="s">
        <v>1520</v>
      </c>
      <c r="B85" s="3" t="s">
        <v>17</v>
      </c>
      <c r="C85" s="3" t="s">
        <v>76</v>
      </c>
      <c r="D85" s="3" t="s">
        <v>68</v>
      </c>
      <c r="E85" s="3" t="s">
        <v>239</v>
      </c>
      <c r="F85" s="5">
        <v>27166</v>
      </c>
      <c r="G85" s="14">
        <f t="shared" ca="1" si="1"/>
        <v>47.161643835616438</v>
      </c>
      <c r="H85" s="3" t="s">
        <v>1174</v>
      </c>
      <c r="I85" t="str" cm="1">
        <f t="array" ref="I85">ADAPTAR(B85)&amp;ADAPTAR(C85)&amp;"_"&amp;ADAPTAR(E85)&amp;F85</f>
        <v>fernandacecilia_salazar27166</v>
      </c>
      <c r="J85" s="13">
        <v>3</v>
      </c>
      <c r="K85" t="str" cm="1">
        <f t="array" ref="K85">ADAPTAR(B85)&amp;"."&amp;ADAPTAR(D85)&amp;YEAR(F85)&amp;"@"&amp;VLOOKUP(J85,Dominios!$A$2:$B$30,2,FALSE)</f>
        <v>fernanda.sierra1974@diabunter.co</v>
      </c>
      <c r="L85" s="13">
        <v>3</v>
      </c>
      <c r="M85">
        <f>VLOOKUP(L85,Celulares!$A$2:$B$30,2,FALSE)</f>
        <v>3115114910</v>
      </c>
    </row>
    <row r="86" spans="1:13" ht="15.75" customHeight="1" x14ac:dyDescent="0.25">
      <c r="A86" t="s">
        <v>1521</v>
      </c>
      <c r="B86" s="3" t="s">
        <v>198</v>
      </c>
      <c r="C86" s="3" t="s">
        <v>627</v>
      </c>
      <c r="D86" s="3" t="s">
        <v>72</v>
      </c>
      <c r="E86" s="3" t="s">
        <v>225</v>
      </c>
      <c r="F86" s="5">
        <v>26573</v>
      </c>
      <c r="G86" s="14">
        <f t="shared" ca="1" si="1"/>
        <v>48.786301369863011</v>
      </c>
      <c r="H86" s="3" t="s">
        <v>1215</v>
      </c>
      <c r="I86" t="str" cm="1">
        <f t="array" ref="I86">ADAPTAR(B86)&amp;ADAPTAR(C86)&amp;"_"&amp;ADAPTAR(E86)&amp;F86</f>
        <v>sandrayaneth_vargas26573</v>
      </c>
      <c r="J86" s="13">
        <v>4</v>
      </c>
      <c r="K86" t="str" cm="1">
        <f t="array" ref="K86">ADAPTAR(B86)&amp;"."&amp;ADAPTAR(D86)&amp;YEAR(F86)&amp;"@"&amp;VLOOKUP(J86,Dominios!$A$2:$B$30,2,FALSE)</f>
        <v>sandra.quiroga1972@ebrietas.co</v>
      </c>
      <c r="L86" s="13">
        <v>4</v>
      </c>
      <c r="M86">
        <f>VLOOKUP(L86,Celulares!$A$2:$B$30,2,FALSE)</f>
        <v>3115114909</v>
      </c>
    </row>
    <row r="87" spans="1:13" ht="15.75" customHeight="1" x14ac:dyDescent="0.25">
      <c r="A87" t="s">
        <v>1522</v>
      </c>
      <c r="B87" s="3" t="s">
        <v>146</v>
      </c>
      <c r="C87" s="3" t="s">
        <v>13</v>
      </c>
      <c r="D87" s="3" t="s">
        <v>265</v>
      </c>
      <c r="E87" s="3" t="s">
        <v>168</v>
      </c>
      <c r="F87" s="5">
        <v>29816</v>
      </c>
      <c r="G87" s="14">
        <f t="shared" ca="1" si="1"/>
        <v>39.901369863013699</v>
      </c>
      <c r="H87" s="3" t="s">
        <v>1216</v>
      </c>
      <c r="I87" t="str" cm="1">
        <f t="array" ref="I87">ADAPTAR(B87)&amp;ADAPTAR(C87)&amp;"_"&amp;ADAPTAR(E87)&amp;F87</f>
        <v>marcelaandrea_beltran29816</v>
      </c>
      <c r="J87" s="13">
        <v>5</v>
      </c>
      <c r="K87" t="str" cm="1">
        <f t="array" ref="K87">ADAPTAR(B87)&amp;"."&amp;ADAPTAR(D87)&amp;YEAR(F87)&amp;"@"&amp;VLOOKUP(J87,Dominios!$A$2:$B$30,2,FALSE)</f>
        <v>marcela.osorio1981@elsinsonte.co</v>
      </c>
      <c r="L87" s="13">
        <v>5</v>
      </c>
      <c r="M87">
        <f>VLOOKUP(L87,Celulares!$A$2:$B$30,2,FALSE)</f>
        <v>3115060130</v>
      </c>
    </row>
    <row r="88" spans="1:13" ht="15.75" customHeight="1" x14ac:dyDescent="0.25">
      <c r="A88" t="s">
        <v>1523</v>
      </c>
      <c r="B88" s="3" t="s">
        <v>13</v>
      </c>
      <c r="C88" s="3" t="s">
        <v>218</v>
      </c>
      <c r="D88" s="3" t="s">
        <v>103</v>
      </c>
      <c r="E88" s="3" t="s">
        <v>267</v>
      </c>
      <c r="F88" s="5">
        <v>27539</v>
      </c>
      <c r="G88" s="14">
        <f t="shared" ca="1" si="1"/>
        <v>46.139726027397259</v>
      </c>
      <c r="H88" s="3" t="s">
        <v>1217</v>
      </c>
      <c r="I88" t="str" cm="1">
        <f t="array" ref="I88">ADAPTAR(B88)&amp;ADAPTAR(C88)&amp;"_"&amp;ADAPTAR(E88)&amp;F88</f>
        <v>andreacristina_garcia27539</v>
      </c>
      <c r="J88" s="13">
        <v>6</v>
      </c>
      <c r="K88" t="str" cm="1">
        <f t="array" ref="K88">ADAPTAR(B88)&amp;"."&amp;ADAPTAR(D88)&amp;YEAR(F88)&amp;"@"&amp;VLOOKUP(J88,Dominios!$A$2:$B$30,2,FALSE)</f>
        <v>andrea.oviedo1975@enigmaserver.co</v>
      </c>
      <c r="L88" s="13">
        <v>6</v>
      </c>
      <c r="M88">
        <f>VLOOKUP(L88,Celulares!$A$2:$B$30,2,FALSE)</f>
        <v>3115060125</v>
      </c>
    </row>
    <row r="89" spans="1:13" ht="15.75" customHeight="1" x14ac:dyDescent="0.25">
      <c r="A89" t="s">
        <v>1524</v>
      </c>
      <c r="B89" s="3" t="s">
        <v>13</v>
      </c>
      <c r="C89" s="3" t="s">
        <v>304</v>
      </c>
      <c r="D89" s="3" t="s">
        <v>89</v>
      </c>
      <c r="E89" s="3" t="s">
        <v>266</v>
      </c>
      <c r="F89" s="5">
        <v>30823</v>
      </c>
      <c r="G89" s="14">
        <f t="shared" ca="1" si="1"/>
        <v>37.142465753424659</v>
      </c>
      <c r="H89" s="3" t="s">
        <v>1197</v>
      </c>
      <c r="I89" t="str" cm="1">
        <f t="array" ref="I89">ADAPTAR(B89)&amp;ADAPTAR(C89)&amp;"_"&amp;ADAPTAR(E89)&amp;F89</f>
        <v>andrealucia_bernal30823</v>
      </c>
      <c r="J89" s="13">
        <v>7</v>
      </c>
      <c r="K89" t="str" cm="1">
        <f t="array" ref="K89">ADAPTAR(B89)&amp;"."&amp;ADAPTAR(D89)&amp;YEAR(F89)&amp;"@"&amp;VLOOKUP(J89,Dominios!$A$2:$B$30,2,FALSE)</f>
        <v>andrea.gomez1984@hocknas.co</v>
      </c>
      <c r="L89" s="13">
        <v>7</v>
      </c>
      <c r="M89">
        <f>VLOOKUP(L89,Celulares!$A$2:$B$30,2,FALSE)</f>
        <v>3115060110</v>
      </c>
    </row>
    <row r="90" spans="1:13" ht="15.75" customHeight="1" x14ac:dyDescent="0.25">
      <c r="A90" t="s">
        <v>1525</v>
      </c>
      <c r="B90" s="3" t="s">
        <v>35</v>
      </c>
      <c r="C90" s="3" t="s">
        <v>628</v>
      </c>
      <c r="D90" s="3" t="s">
        <v>68</v>
      </c>
      <c r="E90" s="3" t="s">
        <v>79</v>
      </c>
      <c r="F90" s="5">
        <v>30824</v>
      </c>
      <c r="G90" s="14">
        <f t="shared" ca="1" si="1"/>
        <v>37.139726027397259</v>
      </c>
      <c r="H90" s="3" t="s">
        <v>575</v>
      </c>
      <c r="I90" t="str" cm="1">
        <f t="array" ref="I90">ADAPTAR(B90)&amp;ADAPTAR(C90)&amp;"_"&amp;ADAPTAR(E90)&amp;F90</f>
        <v>angeladolores_zuluaga30824</v>
      </c>
      <c r="J90" s="13">
        <v>8</v>
      </c>
      <c r="K90" t="str" cm="1">
        <f t="array" ref="K90">ADAPTAR(B90)&amp;"."&amp;ADAPTAR(D90)&amp;YEAR(F90)&amp;"@"&amp;VLOOKUP(J90,Dominios!$A$2:$B$30,2,FALSE)</f>
        <v>angela.sierra1984@hostedoceri.co</v>
      </c>
      <c r="L90" s="13">
        <v>8</v>
      </c>
      <c r="M90">
        <f>VLOOKUP(L90,Celulares!$A$2:$B$30,2,FALSE)</f>
        <v>3115060091</v>
      </c>
    </row>
    <row r="91" spans="1:13" ht="15.75" customHeight="1" x14ac:dyDescent="0.25">
      <c r="A91" t="s">
        <v>1526</v>
      </c>
      <c r="B91" s="3" t="s">
        <v>16</v>
      </c>
      <c r="C91" s="3" t="s">
        <v>483</v>
      </c>
      <c r="D91" s="3" t="s">
        <v>47</v>
      </c>
      <c r="E91" s="3" t="s">
        <v>275</v>
      </c>
      <c r="F91" s="5">
        <v>28200</v>
      </c>
      <c r="G91" s="14">
        <f t="shared" ca="1" si="1"/>
        <v>44.328767123287669</v>
      </c>
      <c r="H91" s="3" t="s">
        <v>1177</v>
      </c>
      <c r="I91" t="str" cm="1">
        <f t="array" ref="I91">ADAPTAR(B91)&amp;ADAPTAR(C91)&amp;"_"&amp;ADAPTAR(E91)&amp;F91</f>
        <v>mariajose_carreno28200</v>
      </c>
      <c r="J91" s="13">
        <v>9</v>
      </c>
      <c r="K91" t="str" cm="1">
        <f t="array" ref="K91">ADAPTAR(B91)&amp;"."&amp;ADAPTAR(D91)&amp;YEAR(F91)&amp;"@"&amp;VLOOKUP(J91,Dominios!$A$2:$B$30,2,FALSE)</f>
        <v>maria.gomez1977@libertas.com.co</v>
      </c>
      <c r="L91" s="13">
        <v>9</v>
      </c>
      <c r="M91">
        <f>VLOOKUP(L91,Celulares!$A$2:$B$30,2,FALSE)</f>
        <v>3115060080</v>
      </c>
    </row>
    <row r="92" spans="1:13" ht="15.75" customHeight="1" x14ac:dyDescent="0.25">
      <c r="A92" t="s">
        <v>1527</v>
      </c>
      <c r="B92" s="3" t="s">
        <v>50</v>
      </c>
      <c r="C92" s="3" t="s">
        <v>25</v>
      </c>
      <c r="D92" s="3" t="s">
        <v>40</v>
      </c>
      <c r="E92" s="3" t="s">
        <v>107</v>
      </c>
      <c r="F92" s="5">
        <v>28213</v>
      </c>
      <c r="G92" s="14">
        <f t="shared" ca="1" si="1"/>
        <v>44.293150684931504</v>
      </c>
      <c r="H92" s="3" t="s">
        <v>1218</v>
      </c>
      <c r="I92" t="str" cm="1">
        <f t="array" ref="I92">ADAPTAR(B92)&amp;ADAPTAR(C92)&amp;"_"&amp;ADAPTAR(E92)&amp;F92</f>
        <v>mariaisabel_perez28213</v>
      </c>
      <c r="J92" s="13">
        <v>10</v>
      </c>
      <c r="K92" t="str" cm="1">
        <f t="array" ref="K92">ADAPTAR(B92)&amp;"."&amp;ADAPTAR(D92)&amp;YEAR(F92)&amp;"@"&amp;VLOOKUP(J92,Dominios!$A$2:$B$30,2,FALSE)</f>
        <v>maria.espitia1977@nascitur.com.co</v>
      </c>
      <c r="L92" s="13">
        <v>10</v>
      </c>
      <c r="M92">
        <f>VLOOKUP(L92,Celulares!$A$2:$B$30,2,FALSE)</f>
        <v>3115114385</v>
      </c>
    </row>
    <row r="93" spans="1:13" ht="15.75" customHeight="1" x14ac:dyDescent="0.25">
      <c r="A93" t="s">
        <v>1528</v>
      </c>
      <c r="B93" s="3" t="s">
        <v>91</v>
      </c>
      <c r="C93" s="3" t="s">
        <v>629</v>
      </c>
      <c r="D93" s="3" t="s">
        <v>276</v>
      </c>
      <c r="E93" s="3" t="s">
        <v>277</v>
      </c>
      <c r="F93" s="5">
        <v>32255</v>
      </c>
      <c r="G93" s="14">
        <f t="shared" ca="1" si="1"/>
        <v>33.219178082191782</v>
      </c>
      <c r="H93" s="3" t="s">
        <v>544</v>
      </c>
      <c r="I93" t="str" cm="1">
        <f t="array" ref="I93">ADAPTAR(B93)&amp;ADAPTAR(C93)&amp;"_"&amp;ADAPTAR(E93)&amp;F93</f>
        <v>nubiaisabella_molina32255</v>
      </c>
      <c r="J93" s="13">
        <v>11</v>
      </c>
      <c r="K93" t="str" cm="1">
        <f t="array" ref="K93">ADAPTAR(B93)&amp;"."&amp;ADAPTAR(D93)&amp;YEAR(F93)&amp;"@"&amp;VLOOKUP(J93,Dominios!$A$2:$B$30,2,FALSE)</f>
        <v>nubia.garzon1988@nemesis.ml</v>
      </c>
      <c r="L93" s="13">
        <v>11</v>
      </c>
      <c r="M93">
        <f>VLOOKUP(L93,Celulares!$A$2:$B$30,2,FALSE)</f>
        <v>3115114360</v>
      </c>
    </row>
    <row r="94" spans="1:13" ht="15.75" customHeight="1" x14ac:dyDescent="0.25">
      <c r="A94" t="s">
        <v>1529</v>
      </c>
      <c r="B94" s="3" t="s">
        <v>128</v>
      </c>
      <c r="C94" s="3" t="s">
        <v>304</v>
      </c>
      <c r="D94" s="3" t="s">
        <v>145</v>
      </c>
      <c r="E94" s="3" t="s">
        <v>268</v>
      </c>
      <c r="F94" s="5">
        <v>32196</v>
      </c>
      <c r="G94" s="14">
        <f t="shared" ca="1" si="1"/>
        <v>33.38082191780822</v>
      </c>
      <c r="H94" s="3" t="s">
        <v>1188</v>
      </c>
      <c r="I94" t="str" cm="1">
        <f t="array" ref="I94">ADAPTAR(B94)&amp;ADAPTAR(C94)&amp;"_"&amp;ADAPTAR(E94)&amp;F94</f>
        <v>katerinlucia_carabali32196</v>
      </c>
      <c r="J94" s="13">
        <v>12</v>
      </c>
      <c r="K94" t="str" cm="1">
        <f t="array" ref="K94">ADAPTAR(B94)&amp;"."&amp;ADAPTAR(D94)&amp;YEAR(F94)&amp;"@"&amp;VLOOKUP(J94,Dominios!$A$2:$B$30,2,FALSE)</f>
        <v>katerin.acosta1988@nunquam.com.co</v>
      </c>
      <c r="L94" s="13">
        <v>12</v>
      </c>
      <c r="M94">
        <f>VLOOKUP(L94,Celulares!$A$2:$B$30,2,FALSE)</f>
        <v>3115093653</v>
      </c>
    </row>
    <row r="95" spans="1:13" ht="15.75" customHeight="1" x14ac:dyDescent="0.25">
      <c r="A95" t="s">
        <v>1530</v>
      </c>
      <c r="B95" s="3" t="s">
        <v>98</v>
      </c>
      <c r="C95" s="3" t="s">
        <v>630</v>
      </c>
      <c r="D95" s="3" t="s">
        <v>73</v>
      </c>
      <c r="E95" s="3" t="s">
        <v>216</v>
      </c>
      <c r="F95" s="5">
        <v>30199</v>
      </c>
      <c r="G95" s="14">
        <f t="shared" ca="1" si="1"/>
        <v>38.852054794520548</v>
      </c>
      <c r="H95" s="3" t="s">
        <v>1202</v>
      </c>
      <c r="I95" t="str" cm="1">
        <f t="array" ref="I95">ADAPTAR(B95)&amp;ADAPTAR(C95)&amp;"_"&amp;ADAPTAR(E95)&amp;F95</f>
        <v>elizabethpilar_soto30199</v>
      </c>
      <c r="J95" s="13">
        <v>13</v>
      </c>
      <c r="K95" t="str" cm="1">
        <f t="array" ref="K95">ADAPTAR(B95)&amp;"."&amp;ADAPTAR(D95)&amp;YEAR(F95)&amp;"@"&amp;VLOOKUP(J95,Dominios!$A$2:$B$30,2,FALSE)</f>
        <v>elizabeth.delgado1982@sempiternam.co</v>
      </c>
      <c r="L95" s="13">
        <v>13</v>
      </c>
      <c r="M95">
        <f>VLOOKUP(L95,Celulares!$A$2:$B$30,2,FALSE)</f>
        <v>3115093598</v>
      </c>
    </row>
    <row r="96" spans="1:13" ht="15.75" customHeight="1" x14ac:dyDescent="0.25">
      <c r="A96" t="s">
        <v>1531</v>
      </c>
      <c r="B96" s="3" t="s">
        <v>9</v>
      </c>
      <c r="C96" s="3" t="s">
        <v>631</v>
      </c>
      <c r="D96" s="3" t="s">
        <v>69</v>
      </c>
      <c r="E96" s="3" t="s">
        <v>250</v>
      </c>
      <c r="F96" s="5">
        <v>31268</v>
      </c>
      <c r="G96" s="14">
        <f t="shared" ca="1" si="1"/>
        <v>35.923287671232877</v>
      </c>
      <c r="H96" s="3" t="s">
        <v>1219</v>
      </c>
      <c r="I96" t="str" cm="1">
        <f t="array" ref="I96">ADAPTAR(B96)&amp;ADAPTAR(C96)&amp;"_"&amp;ADAPTAR(E96)&amp;F96</f>
        <v>danielaraquel_cubillos31268</v>
      </c>
      <c r="J96" s="13">
        <v>14</v>
      </c>
      <c r="K96" t="str" cm="1">
        <f t="array" ref="K96">ADAPTAR(B96)&amp;"."&amp;ADAPTAR(D96)&amp;YEAR(F96)&amp;"@"&amp;VLOOKUP(J96,Dominios!$A$2:$B$30,2,FALSE)</f>
        <v>daniela.fajardo1985@sk9.co</v>
      </c>
      <c r="L96" s="13">
        <v>14</v>
      </c>
      <c r="M96">
        <f>VLOOKUP(L96,Celulares!$A$2:$B$30,2,FALSE)</f>
        <v>3115093583</v>
      </c>
    </row>
    <row r="97" spans="1:13" ht="15.75" customHeight="1" x14ac:dyDescent="0.25">
      <c r="A97" t="s">
        <v>1532</v>
      </c>
      <c r="B97" s="3" t="s">
        <v>325</v>
      </c>
      <c r="C97" s="3" t="s">
        <v>67</v>
      </c>
      <c r="D97" s="3" t="s">
        <v>79</v>
      </c>
      <c r="E97" s="3" t="s">
        <v>278</v>
      </c>
      <c r="F97" s="5">
        <v>29165</v>
      </c>
      <c r="G97" s="14">
        <f t="shared" ca="1" si="1"/>
        <v>41.684931506849317</v>
      </c>
      <c r="H97" s="3" t="s">
        <v>1173</v>
      </c>
      <c r="I97" t="str" cm="1">
        <f t="array" ref="I97">ADAPTAR(B97)&amp;ADAPTAR(C97)&amp;"_"&amp;ADAPTAR(E97)&amp;F97</f>
        <v>mariacarmen_cruz29165</v>
      </c>
      <c r="J97" s="13">
        <v>15</v>
      </c>
      <c r="K97" t="str" cm="1">
        <f t="array" ref="K97">ADAPTAR(B97)&amp;"."&amp;ADAPTAR(D97)&amp;YEAR(F97)&amp;"@"&amp;VLOOKUP(J97,Dominios!$A$2:$B$30,2,FALSE)</f>
        <v>maria.zuluaga1979@socialmediacolombia.com.co</v>
      </c>
      <c r="L97" s="13">
        <v>15</v>
      </c>
      <c r="M97">
        <f>VLOOKUP(L97,Celulares!$A$2:$B$30,2,FALSE)</f>
        <v>3115092386</v>
      </c>
    </row>
    <row r="98" spans="1:13" ht="15.75" customHeight="1" x14ac:dyDescent="0.25">
      <c r="A98" t="s">
        <v>1533</v>
      </c>
      <c r="B98" s="3" t="s">
        <v>98</v>
      </c>
      <c r="C98" s="3" t="s">
        <v>28</v>
      </c>
      <c r="D98" s="3" t="s">
        <v>173</v>
      </c>
      <c r="E98" s="3" t="s">
        <v>269</v>
      </c>
      <c r="F98" s="5">
        <v>30321</v>
      </c>
      <c r="G98" s="14">
        <f t="shared" ca="1" si="1"/>
        <v>38.517808219178079</v>
      </c>
      <c r="H98" s="3" t="s">
        <v>580</v>
      </c>
      <c r="I98" t="str" cm="1">
        <f t="array" ref="I98">ADAPTAR(B98)&amp;ADAPTAR(C98)&amp;"_"&amp;ADAPTAR(E98)&amp;F98</f>
        <v>elizabethconstanza_vasquez30321</v>
      </c>
      <c r="J98" s="13">
        <v>16</v>
      </c>
      <c r="K98" t="str" cm="1">
        <f t="array" ref="K98">ADAPTAR(B98)&amp;"."&amp;ADAPTAR(D98)&amp;YEAR(F98)&amp;"@"&amp;VLOOKUP(J98,Dominios!$A$2:$B$30,2,FALSE)</f>
        <v>elizabeth.alfaro1983@tecnicoensistemas.com.co</v>
      </c>
      <c r="L98" s="13">
        <v>16</v>
      </c>
      <c r="M98">
        <f>VLOOKUP(L98,Celulares!$A$2:$B$30,2,FALSE)</f>
        <v>3115092375</v>
      </c>
    </row>
    <row r="99" spans="1:13" ht="15.75" customHeight="1" x14ac:dyDescent="0.25">
      <c r="A99" t="s">
        <v>1534</v>
      </c>
      <c r="B99" s="3" t="s">
        <v>30</v>
      </c>
      <c r="C99" s="3" t="s">
        <v>632</v>
      </c>
      <c r="D99" s="3" t="s">
        <v>83</v>
      </c>
      <c r="E99" s="3" t="s">
        <v>270</v>
      </c>
      <c r="F99" s="5">
        <v>25079</v>
      </c>
      <c r="G99" s="14">
        <f t="shared" ca="1" si="1"/>
        <v>52.87945205479452</v>
      </c>
      <c r="H99" s="3" t="s">
        <v>606</v>
      </c>
      <c r="I99" t="str" cm="1">
        <f t="array" ref="I99">ADAPTAR(B99)&amp;ADAPTAR(C99)&amp;"_"&amp;ADAPTAR(E99)&amp;F99</f>
        <v>claudiajosefa_cortes25079</v>
      </c>
      <c r="J99" s="13">
        <v>17</v>
      </c>
      <c r="K99" t="str" cm="1">
        <f t="array" ref="K99">ADAPTAR(B99)&amp;"."&amp;ADAPTAR(D99)&amp;YEAR(F99)&amp;"@"&amp;VLOOKUP(J99,Dominios!$A$2:$B$30,2,FALSE)</f>
        <v>claudia.jurado1968@totum.com.co</v>
      </c>
      <c r="L99" s="13">
        <v>17</v>
      </c>
      <c r="M99">
        <f>VLOOKUP(L99,Celulares!$A$2:$B$30,2,FALSE)</f>
        <v>3115092369</v>
      </c>
    </row>
    <row r="100" spans="1:13" ht="15.75" customHeight="1" x14ac:dyDescent="0.25">
      <c r="A100" t="s">
        <v>1535</v>
      </c>
      <c r="B100" s="3" t="s">
        <v>174</v>
      </c>
      <c r="C100" s="3" t="s">
        <v>35</v>
      </c>
      <c r="D100" s="3" t="s">
        <v>131</v>
      </c>
      <c r="E100" s="3" t="s">
        <v>94</v>
      </c>
      <c r="F100" s="5">
        <v>27642</v>
      </c>
      <c r="G100" s="14">
        <f t="shared" ca="1" si="1"/>
        <v>45.857534246575341</v>
      </c>
      <c r="H100" s="3" t="s">
        <v>1188</v>
      </c>
      <c r="I100" t="str" cm="1">
        <f t="array" ref="I100">ADAPTAR(B100)&amp;ADAPTAR(C100)&amp;"_"&amp;ADAPTAR(E100)&amp;F100</f>
        <v>milenaangela_gonzalez27642</v>
      </c>
      <c r="J100" s="13">
        <v>18</v>
      </c>
      <c r="K100" t="str" cm="1">
        <f t="array" ref="K100">ADAPTAR(B100)&amp;"."&amp;ADAPTAR(D100)&amp;YEAR(F100)&amp;"@"&amp;VLOOKUP(J100,Dominios!$A$2:$B$30,2,FALSE)</f>
        <v>milena.dayana1975@voipcolombia.co</v>
      </c>
      <c r="L100" s="13">
        <v>18</v>
      </c>
      <c r="M100">
        <f>VLOOKUP(L100,Celulares!$A$2:$B$30,2,FALSE)</f>
        <v>3115092360</v>
      </c>
    </row>
    <row r="101" spans="1:13" ht="15.75" customHeight="1" x14ac:dyDescent="0.25">
      <c r="A101" t="s">
        <v>1536</v>
      </c>
      <c r="B101" s="3" t="s">
        <v>165</v>
      </c>
      <c r="C101" s="3" t="s">
        <v>628</v>
      </c>
      <c r="D101" s="3" t="s">
        <v>279</v>
      </c>
      <c r="E101" s="3" t="s">
        <v>280</v>
      </c>
      <c r="F101" s="5">
        <v>27179</v>
      </c>
      <c r="G101" s="14">
        <f t="shared" ca="1" si="1"/>
        <v>47.126027397260273</v>
      </c>
      <c r="H101" s="3" t="s">
        <v>1167</v>
      </c>
      <c r="I101" t="str" cm="1">
        <f t="array" ref="I101">ADAPTAR(B101)&amp;ADAPTAR(C101)&amp;"_"&amp;ADAPTAR(E101)&amp;F101</f>
        <v>marthadolores_rico27179</v>
      </c>
      <c r="J101" s="13">
        <v>19</v>
      </c>
      <c r="K101" t="str" cm="1">
        <f t="array" ref="K101">ADAPTAR(B101)&amp;"."&amp;ADAPTAR(D101)&amp;YEAR(F101)&amp;"@"&amp;VLOOKUP(J101,Dominios!$A$2:$B$30,2,FALSE)</f>
        <v>martha.nino1974@vpncolombia.com.co</v>
      </c>
      <c r="L101" s="13">
        <v>19</v>
      </c>
      <c r="M101">
        <f>VLOOKUP(L101,Celulares!$A$2:$B$30,2,FALSE)</f>
        <v>3115092352</v>
      </c>
    </row>
    <row r="102" spans="1:13" ht="15.75" customHeight="1" x14ac:dyDescent="0.25">
      <c r="A102" t="s">
        <v>1537</v>
      </c>
      <c r="B102" s="3" t="s">
        <v>190</v>
      </c>
      <c r="C102" s="3" t="s">
        <v>15</v>
      </c>
      <c r="D102" s="3" t="s">
        <v>144</v>
      </c>
      <c r="E102" s="3" t="s">
        <v>156</v>
      </c>
      <c r="F102" s="5">
        <v>26287</v>
      </c>
      <c r="G102" s="14">
        <f t="shared" ca="1" si="1"/>
        <v>49.56986301369863</v>
      </c>
      <c r="H102" s="3" t="s">
        <v>1199</v>
      </c>
      <c r="I102" t="str" cm="1">
        <f t="array" ref="I102">ADAPTAR(B102)&amp;ADAPTAR(C102)&amp;"_"&amp;ADAPTAR(E102)&amp;F102</f>
        <v>nicollucia_bohorquez26287</v>
      </c>
      <c r="J102" s="13">
        <v>0</v>
      </c>
      <c r="K102" t="str" cm="1">
        <f t="array" ref="K102">ADAPTAR(B102)&amp;"."&amp;ADAPTAR(D102)&amp;YEAR(F102)&amp;"@"&amp;VLOOKUP(J102,Dominios!$A$2:$B$30,2,FALSE)</f>
        <v>nicol.marin1971@auribus.com.co</v>
      </c>
      <c r="L102" s="13">
        <v>0</v>
      </c>
      <c r="M102">
        <f>VLOOKUP(L102,Celulares!$A$2:$B$30,2,FALSE)</f>
        <v>3115114930</v>
      </c>
    </row>
    <row r="103" spans="1:13" ht="15.75" customHeight="1" x14ac:dyDescent="0.25">
      <c r="A103" t="s">
        <v>1538</v>
      </c>
      <c r="B103" s="3" t="s">
        <v>165</v>
      </c>
      <c r="C103" s="3" t="s">
        <v>74</v>
      </c>
      <c r="D103" s="3" t="s">
        <v>251</v>
      </c>
      <c r="E103" s="3" t="s">
        <v>46</v>
      </c>
      <c r="F103" s="5">
        <v>27107</v>
      </c>
      <c r="G103" s="14">
        <f t="shared" ca="1" si="1"/>
        <v>47.323287671232876</v>
      </c>
      <c r="H103" s="3" t="s">
        <v>1220</v>
      </c>
      <c r="I103" t="str" cm="1">
        <f t="array" ref="I103">ADAPTAR(B103)&amp;ADAPTAR(C103)&amp;"_"&amp;ADAPTAR(E103)&amp;F103</f>
        <v>marthacarvajal_rueda27107</v>
      </c>
      <c r="J103" s="13">
        <v>1</v>
      </c>
      <c r="K103" t="str" cm="1">
        <f t="array" ref="K103">ADAPTAR(B103)&amp;"."&amp;ADAPTAR(D103)&amp;YEAR(F103)&amp;"@"&amp;VLOOKUP(J103,Dominios!$A$2:$B$30,2,FALSE)</f>
        <v>martha.aldana1974@colamus.co</v>
      </c>
      <c r="L103" s="13">
        <v>1</v>
      </c>
      <c r="M103">
        <f>VLOOKUP(L103,Celulares!$A$2:$B$30,2,FALSE)</f>
        <v>3115114916</v>
      </c>
    </row>
    <row r="104" spans="1:13" ht="15.75" customHeight="1" x14ac:dyDescent="0.25">
      <c r="A104" t="s">
        <v>1539</v>
      </c>
      <c r="B104" s="3" t="s">
        <v>50</v>
      </c>
      <c r="C104" s="3" t="s">
        <v>12</v>
      </c>
      <c r="D104" s="3" t="s">
        <v>153</v>
      </c>
      <c r="E104" s="3" t="s">
        <v>241</v>
      </c>
      <c r="F104" s="5">
        <v>34975</v>
      </c>
      <c r="G104" s="14">
        <f t="shared" ca="1" si="1"/>
        <v>25.767123287671232</v>
      </c>
      <c r="H104" s="3" t="s">
        <v>1221</v>
      </c>
      <c r="I104" t="str" cm="1">
        <f t="array" ref="I104">ADAPTAR(B104)&amp;ADAPTAR(C104)&amp;"_"&amp;ADAPTAR(E104)&amp;F104</f>
        <v>mariaximena_medina34975</v>
      </c>
      <c r="J104" s="13">
        <v>2</v>
      </c>
      <c r="K104" t="str" cm="1">
        <f t="array" ref="K104">ADAPTAR(B104)&amp;"."&amp;ADAPTAR(D104)&amp;YEAR(F104)&amp;"@"&amp;VLOOKUP(J104,Dominios!$A$2:$B$30,2,FALSE)</f>
        <v>maria.vargas1995@colombiamail.co</v>
      </c>
      <c r="L104" s="13">
        <v>2</v>
      </c>
      <c r="M104">
        <f>VLOOKUP(L104,Celulares!$A$2:$B$30,2,FALSE)</f>
        <v>3115114911</v>
      </c>
    </row>
    <row r="105" spans="1:13" ht="15.75" customHeight="1" x14ac:dyDescent="0.25">
      <c r="A105" t="s">
        <v>1540</v>
      </c>
      <c r="B105" s="3" t="s">
        <v>13</v>
      </c>
      <c r="C105" s="3" t="s">
        <v>633</v>
      </c>
      <c r="D105" s="3" t="s">
        <v>166</v>
      </c>
      <c r="E105" s="3" t="s">
        <v>157</v>
      </c>
      <c r="F105" s="5">
        <v>23361</v>
      </c>
      <c r="G105" s="14">
        <f t="shared" ca="1" si="1"/>
        <v>57.586301369863016</v>
      </c>
      <c r="H105" s="3" t="s">
        <v>566</v>
      </c>
      <c r="I105" t="str" cm="1">
        <f t="array" ref="I105">ADAPTAR(B105)&amp;ADAPTAR(C105)&amp;"_"&amp;ADAPTAR(E105)&amp;F105</f>
        <v>andreaconcepcion_ramirez23361</v>
      </c>
      <c r="J105" s="13">
        <v>3</v>
      </c>
      <c r="K105" t="str" cm="1">
        <f t="array" ref="K105">ADAPTAR(B105)&amp;"."&amp;ADAPTAR(D105)&amp;YEAR(F105)&amp;"@"&amp;VLOOKUP(J105,Dominios!$A$2:$B$30,2,FALSE)</f>
        <v>andrea.sarmiento1963@diabunter.co</v>
      </c>
      <c r="L105" s="13">
        <v>3</v>
      </c>
      <c r="M105">
        <f>VLOOKUP(L105,Celulares!$A$2:$B$30,2,FALSE)</f>
        <v>3115114910</v>
      </c>
    </row>
    <row r="106" spans="1:13" ht="15.75" customHeight="1" x14ac:dyDescent="0.25">
      <c r="A106" t="s">
        <v>1541</v>
      </c>
      <c r="B106" s="3" t="s">
        <v>50</v>
      </c>
      <c r="C106" s="3" t="s">
        <v>634</v>
      </c>
      <c r="D106" s="3" t="s">
        <v>121</v>
      </c>
      <c r="E106" s="3" t="s">
        <v>274</v>
      </c>
      <c r="F106" s="5">
        <v>28829</v>
      </c>
      <c r="G106" s="14">
        <f t="shared" ca="1" si="1"/>
        <v>42.605479452054794</v>
      </c>
      <c r="H106" s="3" t="s">
        <v>547</v>
      </c>
      <c r="I106" t="str" cm="1">
        <f t="array" ref="I106">ADAPTAR(B106)&amp;ADAPTAR(C106)&amp;"_"&amp;ADAPTAR(E106)&amp;F106</f>
        <v>mariamanuela_narino28829</v>
      </c>
      <c r="J106" s="13">
        <v>4</v>
      </c>
      <c r="K106" t="str" cm="1">
        <f t="array" ref="K106">ADAPTAR(B106)&amp;"."&amp;ADAPTAR(D106)&amp;YEAR(F106)&amp;"@"&amp;VLOOKUP(J106,Dominios!$A$2:$B$30,2,FALSE)</f>
        <v>maria.segura1978@ebrietas.co</v>
      </c>
      <c r="L106" s="13">
        <v>4</v>
      </c>
      <c r="M106">
        <f>VLOOKUP(L106,Celulares!$A$2:$B$30,2,FALSE)</f>
        <v>3115114909</v>
      </c>
    </row>
    <row r="107" spans="1:13" ht="15.75" customHeight="1" x14ac:dyDescent="0.25">
      <c r="A107" t="s">
        <v>1542</v>
      </c>
      <c r="B107" s="3" t="s">
        <v>13</v>
      </c>
      <c r="C107" s="3" t="s">
        <v>32</v>
      </c>
      <c r="D107" s="3" t="s">
        <v>104</v>
      </c>
      <c r="E107" s="3" t="s">
        <v>271</v>
      </c>
      <c r="F107" s="5">
        <v>26278</v>
      </c>
      <c r="G107" s="14">
        <f t="shared" ca="1" si="1"/>
        <v>49.594520547945208</v>
      </c>
      <c r="H107" s="3" t="s">
        <v>1222</v>
      </c>
      <c r="I107" t="str" cm="1">
        <f t="array" ref="I107">ADAPTAR(B107)&amp;ADAPTAR(C107)&amp;"_"&amp;ADAPTAR(E107)&amp;F107</f>
        <v>andreaelena_urazan26278</v>
      </c>
      <c r="J107" s="13">
        <v>5</v>
      </c>
      <c r="K107" t="str" cm="1">
        <f t="array" ref="K107">ADAPTAR(B107)&amp;"."&amp;ADAPTAR(D107)&amp;YEAR(F107)&amp;"@"&amp;VLOOKUP(J107,Dominios!$A$2:$B$30,2,FALSE)</f>
        <v>andrea.varela1971@elsinsonte.co</v>
      </c>
      <c r="L107" s="13">
        <v>5</v>
      </c>
      <c r="M107">
        <f>VLOOKUP(L107,Celulares!$A$2:$B$30,2,FALSE)</f>
        <v>3115060130</v>
      </c>
    </row>
    <row r="108" spans="1:13" ht="15.75" customHeight="1" x14ac:dyDescent="0.25">
      <c r="A108" t="s">
        <v>1543</v>
      </c>
      <c r="B108" s="3" t="s">
        <v>16</v>
      </c>
      <c r="C108" s="3" t="s">
        <v>159</v>
      </c>
      <c r="D108" s="3" t="s">
        <v>40</v>
      </c>
      <c r="E108" s="3" t="s">
        <v>290</v>
      </c>
      <c r="F108" s="5">
        <v>25676</v>
      </c>
      <c r="G108" s="14">
        <f t="shared" ca="1" si="1"/>
        <v>51.243835616438353</v>
      </c>
      <c r="H108" s="3" t="s">
        <v>1223</v>
      </c>
      <c r="I108" t="str" cm="1">
        <f t="array" ref="I108">ADAPTAR(B108)&amp;ADAPTAR(C108)&amp;"_"&amp;ADAPTAR(E108)&amp;F108</f>
        <v>mariateresa_borja25676</v>
      </c>
      <c r="J108" s="13">
        <v>6</v>
      </c>
      <c r="K108" t="str" cm="1">
        <f t="array" ref="K108">ADAPTAR(B108)&amp;"."&amp;ADAPTAR(D108)&amp;YEAR(F108)&amp;"@"&amp;VLOOKUP(J108,Dominios!$A$2:$B$30,2,FALSE)</f>
        <v>maria.espitia1970@enigmaserver.co</v>
      </c>
      <c r="L108" s="13">
        <v>6</v>
      </c>
      <c r="M108">
        <f>VLOOKUP(L108,Celulares!$A$2:$B$30,2,FALSE)</f>
        <v>3115060125</v>
      </c>
    </row>
    <row r="109" spans="1:13" ht="15.75" customHeight="1" x14ac:dyDescent="0.25">
      <c r="A109" t="s">
        <v>1544</v>
      </c>
      <c r="B109" s="3" t="s">
        <v>635</v>
      </c>
      <c r="C109" s="3" t="s">
        <v>50</v>
      </c>
      <c r="D109" s="3" t="s">
        <v>291</v>
      </c>
      <c r="E109" s="3" t="s">
        <v>272</v>
      </c>
      <c r="F109" s="5">
        <v>36500</v>
      </c>
      <c r="G109" s="14">
        <f t="shared" ca="1" si="1"/>
        <v>21.589041095890412</v>
      </c>
      <c r="H109" s="3" t="s">
        <v>1176</v>
      </c>
      <c r="I109" t="str" cm="1">
        <f t="array" ref="I109">ADAPTAR(B109)&amp;ADAPTAR(C109)&amp;"_"&amp;ADAPTAR(E109)&amp;F109</f>
        <v>rosamaria_paez36500</v>
      </c>
      <c r="J109" s="13">
        <v>7</v>
      </c>
      <c r="K109" t="str" cm="1">
        <f t="array" ref="K109">ADAPTAR(B109)&amp;"."&amp;ADAPTAR(D109)&amp;YEAR(F109)&amp;"@"&amp;VLOOKUP(J109,Dominios!$A$2:$B$30,2,FALSE)</f>
        <v>rosa.cely1999@hocknas.co</v>
      </c>
      <c r="L109" s="13">
        <v>7</v>
      </c>
      <c r="M109">
        <f>VLOOKUP(L109,Celulares!$A$2:$B$30,2,FALSE)</f>
        <v>3115060110</v>
      </c>
    </row>
    <row r="110" spans="1:13" ht="15.75" customHeight="1" x14ac:dyDescent="0.25">
      <c r="A110" t="s">
        <v>1545</v>
      </c>
      <c r="B110" s="3" t="s">
        <v>143</v>
      </c>
      <c r="C110" s="3" t="s">
        <v>636</v>
      </c>
      <c r="D110" s="3" t="s">
        <v>180</v>
      </c>
      <c r="E110" s="3" t="s">
        <v>273</v>
      </c>
      <c r="F110" s="5">
        <v>29364</v>
      </c>
      <c r="G110" s="14">
        <f t="shared" ca="1" si="1"/>
        <v>41.139726027397259</v>
      </c>
      <c r="H110" s="3" t="s">
        <v>1198</v>
      </c>
      <c r="I110" t="str" cm="1">
        <f t="array" ref="I110">ADAPTAR(B110)&amp;ADAPTAR(C110)&amp;"_"&amp;ADAPTAR(E110)&amp;F110</f>
        <v>luzmonserrat_hernandez29364</v>
      </c>
      <c r="J110" s="13">
        <v>8</v>
      </c>
      <c r="K110" t="str" cm="1">
        <f t="array" ref="K110">ADAPTAR(B110)&amp;"."&amp;ADAPTAR(D110)&amp;YEAR(F110)&amp;"@"&amp;VLOOKUP(J110,Dominios!$A$2:$B$30,2,FALSE)</f>
        <v>luz.murcia1980@hostedoceri.co</v>
      </c>
      <c r="L110" s="13">
        <v>8</v>
      </c>
      <c r="M110">
        <f>VLOOKUP(L110,Celulares!$A$2:$B$30,2,FALSE)</f>
        <v>3115060091</v>
      </c>
    </row>
    <row r="111" spans="1:13" ht="15.75" customHeight="1" x14ac:dyDescent="0.25">
      <c r="A111" t="s">
        <v>1546</v>
      </c>
      <c r="B111" s="3" t="s">
        <v>29</v>
      </c>
      <c r="C111" s="3" t="s">
        <v>637</v>
      </c>
      <c r="D111" s="3" t="s">
        <v>171</v>
      </c>
      <c r="E111" s="3" t="s">
        <v>197</v>
      </c>
      <c r="F111" s="5">
        <v>25260</v>
      </c>
      <c r="G111" s="14">
        <f t="shared" ca="1" si="1"/>
        <v>52.38356164383562</v>
      </c>
      <c r="H111" s="3" t="s">
        <v>1219</v>
      </c>
      <c r="I111" t="str" cm="1">
        <f t="array" ref="I111">ADAPTAR(B111)&amp;ADAPTAR(C111)&amp;"_"&amp;ADAPTAR(E111)&amp;F111</f>
        <v>carolinanuria_camacho25260</v>
      </c>
      <c r="J111" s="13">
        <v>9</v>
      </c>
      <c r="K111" t="str" cm="1">
        <f t="array" ref="K111">ADAPTAR(B111)&amp;"."&amp;ADAPTAR(D111)&amp;YEAR(F111)&amp;"@"&amp;VLOOKUP(J111,Dominios!$A$2:$B$30,2,FALSE)</f>
        <v>carolina.ortegon1969@libertas.com.co</v>
      </c>
      <c r="L111" s="13">
        <v>9</v>
      </c>
      <c r="M111">
        <f>VLOOKUP(L111,Celulares!$A$2:$B$30,2,FALSE)</f>
        <v>3115060080</v>
      </c>
    </row>
    <row r="112" spans="1:13" ht="15.75" customHeight="1" x14ac:dyDescent="0.25">
      <c r="A112" t="s">
        <v>1547</v>
      </c>
      <c r="B112" s="3" t="s">
        <v>20</v>
      </c>
      <c r="C112" s="3" t="s">
        <v>62</v>
      </c>
      <c r="D112" s="3" t="s">
        <v>183</v>
      </c>
      <c r="E112" s="3" t="s">
        <v>281</v>
      </c>
      <c r="F112" s="5">
        <v>23846</v>
      </c>
      <c r="G112" s="14">
        <f t="shared" ca="1" si="1"/>
        <v>56.257534246575339</v>
      </c>
      <c r="H112" s="3" t="s">
        <v>1201</v>
      </c>
      <c r="I112" t="str" cm="1">
        <f t="array" ref="I112">ADAPTAR(B112)&amp;ADAPTAR(C112)&amp;"_"&amp;ADAPTAR(E112)&amp;F112</f>
        <v>anaxiomara_alarcon23846</v>
      </c>
      <c r="J112" s="13">
        <v>10</v>
      </c>
      <c r="K112" t="str" cm="1">
        <f t="array" ref="K112">ADAPTAR(B112)&amp;"."&amp;ADAPTAR(D112)&amp;YEAR(F112)&amp;"@"&amp;VLOOKUP(J112,Dominios!$A$2:$B$30,2,FALSE)</f>
        <v>ana.forero1965@nascitur.com.co</v>
      </c>
      <c r="L112" s="13">
        <v>10</v>
      </c>
      <c r="M112">
        <f>VLOOKUP(L112,Celulares!$A$2:$B$30,2,FALSE)</f>
        <v>3115114385</v>
      </c>
    </row>
    <row r="113" spans="1:13" ht="15.75" customHeight="1" x14ac:dyDescent="0.25">
      <c r="A113" t="s">
        <v>1548</v>
      </c>
      <c r="B113" s="3" t="s">
        <v>114</v>
      </c>
      <c r="C113" s="3" t="s">
        <v>34</v>
      </c>
      <c r="D113" s="3" t="s">
        <v>292</v>
      </c>
      <c r="E113" s="3" t="s">
        <v>42</v>
      </c>
      <c r="F113" s="5">
        <v>35411</v>
      </c>
      <c r="G113" s="14">
        <f t="shared" ca="1" si="1"/>
        <v>24.572602739726026</v>
      </c>
      <c r="H113" s="3" t="s">
        <v>1224</v>
      </c>
      <c r="I113" t="str" cm="1">
        <f t="array" ref="I113">ADAPTAR(B113)&amp;ADAPTAR(C113)&amp;"_"&amp;ADAPTAR(E113)&amp;F113</f>
        <v>janethalba_buitrago35411</v>
      </c>
      <c r="J113" s="13">
        <v>11</v>
      </c>
      <c r="K113" t="str" cm="1">
        <f t="array" ref="K113">ADAPTAR(B113)&amp;"."&amp;ADAPTAR(D113)&amp;YEAR(F113)&amp;"@"&amp;VLOOKUP(J113,Dominios!$A$2:$B$30,2,FALSE)</f>
        <v>janeth.melo1996@nemesis.ml</v>
      </c>
      <c r="L113" s="13">
        <v>11</v>
      </c>
      <c r="M113">
        <f>VLOOKUP(L113,Celulares!$A$2:$B$30,2,FALSE)</f>
        <v>3115114360</v>
      </c>
    </row>
    <row r="114" spans="1:13" ht="15.75" customHeight="1" x14ac:dyDescent="0.25">
      <c r="A114" t="s">
        <v>1549</v>
      </c>
      <c r="B114" s="3" t="s">
        <v>11</v>
      </c>
      <c r="C114" s="3" t="s">
        <v>32</v>
      </c>
      <c r="D114" s="3" t="s">
        <v>201</v>
      </c>
      <c r="E114" s="3" t="s">
        <v>282</v>
      </c>
      <c r="F114" s="5">
        <v>27787</v>
      </c>
      <c r="G114" s="14">
        <f t="shared" ca="1" si="1"/>
        <v>45.460273972602742</v>
      </c>
      <c r="H114" s="3" t="s">
        <v>1173</v>
      </c>
      <c r="I114" t="str" cm="1">
        <f t="array" ref="I114">ADAPTAR(B114)&amp;ADAPTAR(C114)&amp;"_"&amp;ADAPTAR(E114)&amp;F114</f>
        <v>gabrielaelena_becerra27787</v>
      </c>
      <c r="J114" s="13">
        <v>12</v>
      </c>
      <c r="K114" t="str" cm="1">
        <f t="array" ref="K114">ADAPTAR(B114)&amp;"."&amp;ADAPTAR(D114)&amp;YEAR(F114)&amp;"@"&amp;VLOOKUP(J114,Dominios!$A$2:$B$30,2,FALSE)</f>
        <v>gabriela.cespedes1976@nunquam.com.co</v>
      </c>
      <c r="L114" s="13">
        <v>12</v>
      </c>
      <c r="M114">
        <f>VLOOKUP(L114,Celulares!$A$2:$B$30,2,FALSE)</f>
        <v>3115093653</v>
      </c>
    </row>
    <row r="115" spans="1:13" ht="15.75" customHeight="1" x14ac:dyDescent="0.25">
      <c r="A115" t="s">
        <v>1550</v>
      </c>
      <c r="B115" s="3" t="s">
        <v>82</v>
      </c>
      <c r="C115" s="3" t="s">
        <v>638</v>
      </c>
      <c r="D115" s="3" t="s">
        <v>186</v>
      </c>
      <c r="E115" s="3" t="s">
        <v>283</v>
      </c>
      <c r="F115" s="5">
        <v>31248</v>
      </c>
      <c r="G115" s="14">
        <f t="shared" ca="1" si="1"/>
        <v>35.978082191780821</v>
      </c>
      <c r="H115" s="3" t="s">
        <v>1201</v>
      </c>
      <c r="I115" t="str" cm="1">
        <f t="array" ref="I115">ADAPTAR(B115)&amp;ADAPTAR(C115)&amp;"_"&amp;ADAPTAR(E115)&amp;F115</f>
        <v>clemenciaencarnacion_avila31248</v>
      </c>
      <c r="J115" s="13">
        <v>13</v>
      </c>
      <c r="K115" t="str" cm="1">
        <f t="array" ref="K115">ADAPTAR(B115)&amp;"."&amp;ADAPTAR(D115)&amp;YEAR(F115)&amp;"@"&amp;VLOOKUP(J115,Dominios!$A$2:$B$30,2,FALSE)</f>
        <v>clemencia.corredor1985@sempiternam.co</v>
      </c>
      <c r="L115" s="13">
        <v>13</v>
      </c>
      <c r="M115">
        <f>VLOOKUP(L115,Celulares!$A$2:$B$30,2,FALSE)</f>
        <v>3115093598</v>
      </c>
    </row>
    <row r="116" spans="1:13" ht="15.75" customHeight="1" x14ac:dyDescent="0.25">
      <c r="A116" t="s">
        <v>1551</v>
      </c>
      <c r="B116" s="3" t="s">
        <v>130</v>
      </c>
      <c r="C116" s="3" t="s">
        <v>15</v>
      </c>
      <c r="D116" s="3" t="s">
        <v>180</v>
      </c>
      <c r="E116" s="3" t="s">
        <v>54</v>
      </c>
      <c r="F116" s="5">
        <v>35399</v>
      </c>
      <c r="G116" s="14">
        <f t="shared" ca="1" si="1"/>
        <v>24.605479452054794</v>
      </c>
      <c r="H116" s="3" t="s">
        <v>1225</v>
      </c>
      <c r="I116" t="str" cm="1">
        <f t="array" ref="I116">ADAPTAR(B116)&amp;ADAPTAR(C116)&amp;"_"&amp;ADAPTAR(E116)&amp;F116</f>
        <v>leidylucia_martinez35399</v>
      </c>
      <c r="J116" s="13">
        <v>14</v>
      </c>
      <c r="K116" t="str" cm="1">
        <f t="array" ref="K116">ADAPTAR(B116)&amp;"."&amp;ADAPTAR(D116)&amp;YEAR(F116)&amp;"@"&amp;VLOOKUP(J116,Dominios!$A$2:$B$30,2,FALSE)</f>
        <v>leidy.murcia1996@sk9.co</v>
      </c>
      <c r="L116" s="13">
        <v>14</v>
      </c>
      <c r="M116">
        <f>VLOOKUP(L116,Celulares!$A$2:$B$30,2,FALSE)</f>
        <v>3115093583</v>
      </c>
    </row>
    <row r="117" spans="1:13" ht="15.75" customHeight="1" x14ac:dyDescent="0.25">
      <c r="A117" t="s">
        <v>1552</v>
      </c>
      <c r="B117" s="3" t="s">
        <v>24</v>
      </c>
      <c r="C117" s="3" t="s">
        <v>23</v>
      </c>
      <c r="D117" s="3" t="s">
        <v>158</v>
      </c>
      <c r="E117" s="3" t="s">
        <v>284</v>
      </c>
      <c r="F117" s="5">
        <v>29975</v>
      </c>
      <c r="G117" s="14">
        <f t="shared" ca="1" si="1"/>
        <v>39.465753424657535</v>
      </c>
      <c r="H117" s="3" t="s">
        <v>1226</v>
      </c>
      <c r="I117" t="str" cm="1">
        <f t="array" ref="I117">ADAPTAR(B117)&amp;ADAPTAR(C117)&amp;"_"&amp;ADAPTAR(E117)&amp;F117</f>
        <v>lauravanessa_millan29975</v>
      </c>
      <c r="J117" s="13">
        <v>15</v>
      </c>
      <c r="K117" t="str" cm="1">
        <f t="array" ref="K117">ADAPTAR(B117)&amp;"."&amp;ADAPTAR(D117)&amp;YEAR(F117)&amp;"@"&amp;VLOOKUP(J117,Dominios!$A$2:$B$30,2,FALSE)</f>
        <v>laura.bernate1982@socialmediacolombia.com.co</v>
      </c>
      <c r="L117" s="13">
        <v>15</v>
      </c>
      <c r="M117">
        <f>VLOOKUP(L117,Celulares!$A$2:$B$30,2,FALSE)</f>
        <v>3115092386</v>
      </c>
    </row>
    <row r="118" spans="1:13" ht="15.75" customHeight="1" x14ac:dyDescent="0.25">
      <c r="A118" t="s">
        <v>1553</v>
      </c>
      <c r="B118" s="3" t="s">
        <v>90</v>
      </c>
      <c r="C118" s="3" t="s">
        <v>146</v>
      </c>
      <c r="D118" s="3" t="s">
        <v>168</v>
      </c>
      <c r="E118" s="3" t="s">
        <v>267</v>
      </c>
      <c r="F118" s="5">
        <v>26802</v>
      </c>
      <c r="G118" s="14">
        <f t="shared" ca="1" si="1"/>
        <v>48.158904109589038</v>
      </c>
      <c r="H118" s="3" t="s">
        <v>1179</v>
      </c>
      <c r="I118" t="str" cm="1">
        <f t="array" ref="I118">ADAPTAR(B118)&amp;ADAPTAR(C118)&amp;"_"&amp;ADAPTAR(E118)&amp;F118</f>
        <v>edithmarcela_garcia26802</v>
      </c>
      <c r="J118" s="13">
        <v>16</v>
      </c>
      <c r="K118" t="str" cm="1">
        <f t="array" ref="K118">ADAPTAR(B118)&amp;"."&amp;ADAPTAR(D118)&amp;YEAR(F118)&amp;"@"&amp;VLOOKUP(J118,Dominios!$A$2:$B$30,2,FALSE)</f>
        <v>edith.beltran1973@tecnicoensistemas.com.co</v>
      </c>
      <c r="L118" s="13">
        <v>16</v>
      </c>
      <c r="M118">
        <f>VLOOKUP(L118,Celulares!$A$2:$B$30,2,FALSE)</f>
        <v>3115092375</v>
      </c>
    </row>
    <row r="119" spans="1:13" ht="15.75" customHeight="1" x14ac:dyDescent="0.25">
      <c r="A119" t="s">
        <v>1554</v>
      </c>
      <c r="B119" s="3" t="s">
        <v>143</v>
      </c>
      <c r="C119" s="3" t="s">
        <v>102</v>
      </c>
      <c r="D119" s="3" t="s">
        <v>293</v>
      </c>
      <c r="E119" s="3" t="s">
        <v>170</v>
      </c>
      <c r="F119" s="5">
        <v>24249</v>
      </c>
      <c r="G119" s="14">
        <f t="shared" ca="1" si="1"/>
        <v>55.153424657534245</v>
      </c>
      <c r="H119" s="3" t="s">
        <v>1227</v>
      </c>
      <c r="I119" t="str" cm="1">
        <f t="array" ref="I119">ADAPTAR(B119)&amp;ADAPTAR(C119)&amp;"_"&amp;ADAPTAR(E119)&amp;F119</f>
        <v>luzesperanza_cortes24249</v>
      </c>
      <c r="J119" s="13">
        <v>17</v>
      </c>
      <c r="K119" t="str" cm="1">
        <f t="array" ref="K119">ADAPTAR(B119)&amp;"."&amp;ADAPTAR(D119)&amp;YEAR(F119)&amp;"@"&amp;VLOOKUP(J119,Dominios!$A$2:$B$30,2,FALSE)</f>
        <v>luz.sanchez1966@totum.com.co</v>
      </c>
      <c r="L119" s="13">
        <v>17</v>
      </c>
      <c r="M119">
        <f>VLOOKUP(L119,Celulares!$A$2:$B$30,2,FALSE)</f>
        <v>3115092369</v>
      </c>
    </row>
    <row r="120" spans="1:13" ht="15.75" customHeight="1" x14ac:dyDescent="0.25">
      <c r="A120" t="s">
        <v>1555</v>
      </c>
      <c r="B120" s="3" t="s">
        <v>70</v>
      </c>
      <c r="C120" s="3" t="s">
        <v>620</v>
      </c>
      <c r="D120" s="3" t="s">
        <v>197</v>
      </c>
      <c r="E120" s="3" t="s">
        <v>258</v>
      </c>
      <c r="F120" s="5">
        <v>27423</v>
      </c>
      <c r="G120" s="14">
        <f t="shared" ca="1" si="1"/>
        <v>46.457534246575342</v>
      </c>
      <c r="H120" s="3" t="s">
        <v>1167</v>
      </c>
      <c r="I120" t="str" cm="1">
        <f t="array" ref="I120">ADAPTAR(B120)&amp;ADAPTAR(C120)&amp;"_"&amp;ADAPTAR(E120)&amp;F120</f>
        <v>carolinevictoria_velandia27423</v>
      </c>
      <c r="J120" s="13">
        <v>18</v>
      </c>
      <c r="K120" t="str" cm="1">
        <f t="array" ref="K120">ADAPTAR(B120)&amp;"."&amp;ADAPTAR(D120)&amp;YEAR(F120)&amp;"@"&amp;VLOOKUP(J120,Dominios!$A$2:$B$30,2,FALSE)</f>
        <v>caroline.camacho1975@voipcolombia.co</v>
      </c>
      <c r="L120" s="13">
        <v>18</v>
      </c>
      <c r="M120">
        <f>VLOOKUP(L120,Celulares!$A$2:$B$30,2,FALSE)</f>
        <v>3115092360</v>
      </c>
    </row>
    <row r="121" spans="1:13" ht="15.75" customHeight="1" x14ac:dyDescent="0.25">
      <c r="A121" t="s">
        <v>1556</v>
      </c>
      <c r="B121" s="3" t="s">
        <v>189</v>
      </c>
      <c r="C121" s="3" t="s">
        <v>50</v>
      </c>
      <c r="D121" s="3" t="s">
        <v>56</v>
      </c>
      <c r="E121" s="3" t="s">
        <v>294</v>
      </c>
      <c r="F121" s="5">
        <v>28140</v>
      </c>
      <c r="G121" s="14">
        <f t="shared" ca="1" si="1"/>
        <v>44.493150684931507</v>
      </c>
      <c r="H121" s="3" t="s">
        <v>1228</v>
      </c>
      <c r="I121" t="str" cm="1">
        <f t="array" ref="I121">ADAPTAR(B121)&amp;ADAPTAR(C121)&amp;"_"&amp;ADAPTAR(E121)&amp;F121</f>
        <v>nelsymaria_cabrera28140</v>
      </c>
      <c r="J121" s="13">
        <v>19</v>
      </c>
      <c r="K121" t="str" cm="1">
        <f t="array" ref="K121">ADAPTAR(B121)&amp;"."&amp;ADAPTAR(D121)&amp;YEAR(F121)&amp;"@"&amp;VLOOKUP(J121,Dominios!$A$2:$B$30,2,FALSE)</f>
        <v>nelsy.rojas1977@vpncolombia.com.co</v>
      </c>
      <c r="L121" s="13">
        <v>19</v>
      </c>
      <c r="M121">
        <f>VLOOKUP(L121,Celulares!$A$2:$B$30,2,FALSE)</f>
        <v>3115092352</v>
      </c>
    </row>
    <row r="122" spans="1:13" ht="15.75" customHeight="1" x14ac:dyDescent="0.25">
      <c r="A122" t="s">
        <v>1557</v>
      </c>
      <c r="B122" s="3" t="s">
        <v>111</v>
      </c>
      <c r="C122" s="3" t="s">
        <v>639</v>
      </c>
      <c r="D122" s="3" t="s">
        <v>117</v>
      </c>
      <c r="E122" s="3" t="s">
        <v>285</v>
      </c>
      <c r="F122" s="5">
        <v>27773</v>
      </c>
      <c r="G122" s="14">
        <f t="shared" ca="1" si="1"/>
        <v>45.4986301369863</v>
      </c>
      <c r="H122" s="3" t="s">
        <v>1177</v>
      </c>
      <c r="I122" t="str" cm="1">
        <f t="array" ref="I122">ADAPTAR(B122)&amp;ADAPTAR(C122)&amp;"_"&amp;ADAPTAR(E122)&amp;F122</f>
        <v>irabeatriz_rivera27773</v>
      </c>
      <c r="J122" s="13">
        <v>0</v>
      </c>
      <c r="K122" t="str" cm="1">
        <f t="array" ref="K122">ADAPTAR(B122)&amp;"."&amp;ADAPTAR(D122)&amp;YEAR(F122)&amp;"@"&amp;VLOOKUP(J122,Dominios!$A$2:$B$30,2,FALSE)</f>
        <v>ira.diaz1976@auribus.com.co</v>
      </c>
      <c r="L122" s="13">
        <v>0</v>
      </c>
      <c r="M122">
        <f>VLOOKUP(L122,Celulares!$A$2:$B$30,2,FALSE)</f>
        <v>3115114930</v>
      </c>
    </row>
    <row r="123" spans="1:13" ht="15.75" customHeight="1" x14ac:dyDescent="0.25">
      <c r="A123" t="s">
        <v>1558</v>
      </c>
      <c r="B123" s="3" t="s">
        <v>20</v>
      </c>
      <c r="C123" s="3" t="s">
        <v>50</v>
      </c>
      <c r="D123" s="3" t="s">
        <v>117</v>
      </c>
      <c r="E123" s="3" t="s">
        <v>286</v>
      </c>
      <c r="F123" s="5">
        <v>26919</v>
      </c>
      <c r="G123" s="14">
        <f t="shared" ca="1" si="1"/>
        <v>47.838356164383562</v>
      </c>
      <c r="H123" s="3" t="s">
        <v>1229</v>
      </c>
      <c r="I123" t="str" cm="1">
        <f t="array" ref="I123">ADAPTAR(B123)&amp;ADAPTAR(C123)&amp;"_"&amp;ADAPTAR(E123)&amp;F123</f>
        <v>anamaria_correa26919</v>
      </c>
      <c r="J123" s="13">
        <v>1</v>
      </c>
      <c r="K123" t="str" cm="1">
        <f t="array" ref="K123">ADAPTAR(B123)&amp;"."&amp;ADAPTAR(D123)&amp;YEAR(F123)&amp;"@"&amp;VLOOKUP(J123,Dominios!$A$2:$B$30,2,FALSE)</f>
        <v>ana.diaz1973@colamus.co</v>
      </c>
      <c r="L123" s="13">
        <v>1</v>
      </c>
      <c r="M123">
        <f>VLOOKUP(L123,Celulares!$A$2:$B$30,2,FALSE)</f>
        <v>3115114916</v>
      </c>
    </row>
    <row r="124" spans="1:13" ht="15.75" customHeight="1" x14ac:dyDescent="0.25">
      <c r="A124" t="s">
        <v>1559</v>
      </c>
      <c r="B124" s="3" t="s">
        <v>163</v>
      </c>
      <c r="C124" s="3" t="s">
        <v>167</v>
      </c>
      <c r="D124" s="3" t="s">
        <v>199</v>
      </c>
      <c r="E124" s="3" t="s">
        <v>295</v>
      </c>
      <c r="F124" s="5">
        <v>29146</v>
      </c>
      <c r="G124" s="14">
        <f t="shared" ca="1" si="1"/>
        <v>41.736986301369861</v>
      </c>
      <c r="H124" s="3" t="s">
        <v>1224</v>
      </c>
      <c r="I124" t="str" cm="1">
        <f t="array" ref="I124">ADAPTAR(B124)&amp;ADAPTAR(C124)&amp;"_"&amp;ADAPTAR(E124)&amp;F124</f>
        <v>marienrocio_aguilar29146</v>
      </c>
      <c r="J124" s="13">
        <v>2</v>
      </c>
      <c r="K124" t="str" cm="1">
        <f t="array" ref="K124">ADAPTAR(B124)&amp;"."&amp;ADAPTAR(D124)&amp;YEAR(F124)&amp;"@"&amp;VLOOKUP(J124,Dominios!$A$2:$B$30,2,FALSE)</f>
        <v>marien.lopez1979@colombiamail.co</v>
      </c>
      <c r="L124" s="13">
        <v>2</v>
      </c>
      <c r="M124">
        <f>VLOOKUP(L124,Celulares!$A$2:$B$30,2,FALSE)</f>
        <v>3115114911</v>
      </c>
    </row>
    <row r="125" spans="1:13" ht="15.75" customHeight="1" x14ac:dyDescent="0.25">
      <c r="A125" t="s">
        <v>1560</v>
      </c>
      <c r="B125" s="3" t="s">
        <v>105</v>
      </c>
      <c r="C125" s="3" t="s">
        <v>179</v>
      </c>
      <c r="D125" s="3" t="s">
        <v>216</v>
      </c>
      <c r="E125" s="3" t="s">
        <v>287</v>
      </c>
      <c r="F125" s="5">
        <v>25401</v>
      </c>
      <c r="G125" s="14">
        <f t="shared" ca="1" si="1"/>
        <v>51.9972602739726</v>
      </c>
      <c r="H125" s="3" t="s">
        <v>1230</v>
      </c>
      <c r="I125" t="str" cm="1">
        <f t="array" ref="I125">ADAPTAR(B125)&amp;ADAPTAR(C125)&amp;"_"&amp;ADAPTAR(E125)&amp;F125</f>
        <v>ginnagisell_ronderos25401</v>
      </c>
      <c r="J125" s="13">
        <v>3</v>
      </c>
      <c r="K125" t="str" cm="1">
        <f t="array" ref="K125">ADAPTAR(B125)&amp;"."&amp;ADAPTAR(D125)&amp;YEAR(F125)&amp;"@"&amp;VLOOKUP(J125,Dominios!$A$2:$B$30,2,FALSE)</f>
        <v>ginna.soto1969@diabunter.co</v>
      </c>
      <c r="L125" s="13">
        <v>3</v>
      </c>
      <c r="M125">
        <f>VLOOKUP(L125,Celulares!$A$2:$B$30,2,FALSE)</f>
        <v>3115114910</v>
      </c>
    </row>
    <row r="126" spans="1:13" ht="15.75" customHeight="1" x14ac:dyDescent="0.25">
      <c r="A126" t="s">
        <v>1561</v>
      </c>
      <c r="B126" s="3" t="s">
        <v>324</v>
      </c>
      <c r="C126" s="3" t="s">
        <v>21</v>
      </c>
      <c r="D126" s="3" t="s">
        <v>207</v>
      </c>
      <c r="E126" s="3" t="s">
        <v>55</v>
      </c>
      <c r="F126" s="5">
        <v>31142</v>
      </c>
      <c r="G126" s="14">
        <f t="shared" ca="1" si="1"/>
        <v>36.268493150684932</v>
      </c>
      <c r="H126" s="3" t="s">
        <v>1181</v>
      </c>
      <c r="I126" t="str" cm="1">
        <f t="array" ref="I126">ADAPTAR(B126)&amp;ADAPTAR(C126)&amp;"_"&amp;ADAPTAR(E126)&amp;F126</f>
        <v>saracatalina_rodriguez31142</v>
      </c>
      <c r="J126" s="13">
        <v>4</v>
      </c>
      <c r="K126" t="str" cm="1">
        <f t="array" ref="K126">ADAPTAR(B126)&amp;"."&amp;ADAPTAR(D126)&amp;YEAR(F126)&amp;"@"&amp;VLOOKUP(J126,Dominios!$A$2:$B$30,2,FALSE)</f>
        <v>sara.villate1985@ebrietas.co</v>
      </c>
      <c r="L126" s="13">
        <v>4</v>
      </c>
      <c r="M126">
        <f>VLOOKUP(L126,Celulares!$A$2:$B$30,2,FALSE)</f>
        <v>3115114909</v>
      </c>
    </row>
    <row r="127" spans="1:13" ht="15.75" customHeight="1" x14ac:dyDescent="0.25">
      <c r="A127" t="s">
        <v>1562</v>
      </c>
      <c r="B127" s="3" t="s">
        <v>327</v>
      </c>
      <c r="C127" s="3" t="s">
        <v>31</v>
      </c>
      <c r="D127" s="3" t="s">
        <v>57</v>
      </c>
      <c r="E127" s="3" t="s">
        <v>288</v>
      </c>
      <c r="F127" s="5">
        <v>26400</v>
      </c>
      <c r="G127" s="14">
        <f t="shared" ca="1" si="1"/>
        <v>49.260273972602739</v>
      </c>
      <c r="H127" s="3" t="s">
        <v>609</v>
      </c>
      <c r="I127" t="str" cm="1">
        <f t="array" ref="I127">ADAPTAR(B127)&amp;ADAPTAR(C127)&amp;"_"&amp;ADAPTAR(E127)&amp;F127</f>
        <v>yurypaola_lesmes26400</v>
      </c>
      <c r="J127" s="13">
        <v>5</v>
      </c>
      <c r="K127" t="str" cm="1">
        <f t="array" ref="K127">ADAPTAR(B127)&amp;"."&amp;ADAPTAR(D127)&amp;YEAR(F127)&amp;"@"&amp;VLOOKUP(J127,Dominios!$A$2:$B$30,2,FALSE)</f>
        <v>yury.castro1972@elsinsonte.co</v>
      </c>
      <c r="L127" s="13">
        <v>5</v>
      </c>
      <c r="M127">
        <f>VLOOKUP(L127,Celulares!$A$2:$B$30,2,FALSE)</f>
        <v>3115060130</v>
      </c>
    </row>
    <row r="128" spans="1:13" ht="15.75" customHeight="1" x14ac:dyDescent="0.25">
      <c r="A128" t="s">
        <v>1563</v>
      </c>
      <c r="B128" s="3" t="s">
        <v>34</v>
      </c>
      <c r="C128" s="3" t="s">
        <v>304</v>
      </c>
      <c r="D128" s="3" t="s">
        <v>156</v>
      </c>
      <c r="E128" s="3" t="s">
        <v>289</v>
      </c>
      <c r="F128" s="5">
        <v>24175</v>
      </c>
      <c r="G128" s="14">
        <f t="shared" ca="1" si="1"/>
        <v>55.356164383561641</v>
      </c>
      <c r="H128" s="3" t="s">
        <v>1231</v>
      </c>
      <c r="I128" t="str" cm="1">
        <f t="array" ref="I128">ADAPTAR(B128)&amp;ADAPTAR(C128)&amp;"_"&amp;ADAPTAR(E128)&amp;F128</f>
        <v>albalucia_garavito24175</v>
      </c>
      <c r="J128" s="13">
        <v>6</v>
      </c>
      <c r="K128" t="str" cm="1">
        <f t="array" ref="K128">ADAPTAR(B128)&amp;"."&amp;ADAPTAR(D128)&amp;YEAR(F128)&amp;"@"&amp;VLOOKUP(J128,Dominios!$A$2:$B$30,2,FALSE)</f>
        <v>alba.bohorquez1966@enigmaserver.co</v>
      </c>
      <c r="L128" s="13">
        <v>6</v>
      </c>
      <c r="M128">
        <f>VLOOKUP(L128,Celulares!$A$2:$B$30,2,FALSE)</f>
        <v>3115060125</v>
      </c>
    </row>
    <row r="129" spans="1:13" ht="15.75" customHeight="1" x14ac:dyDescent="0.25">
      <c r="A129" t="s">
        <v>1564</v>
      </c>
      <c r="B129" s="3" t="s">
        <v>146</v>
      </c>
      <c r="C129" s="3" t="s">
        <v>18</v>
      </c>
      <c r="D129" s="3" t="s">
        <v>51</v>
      </c>
      <c r="E129" s="3" t="s">
        <v>296</v>
      </c>
      <c r="F129" s="5">
        <v>32805</v>
      </c>
      <c r="G129" s="14">
        <f t="shared" ca="1" si="1"/>
        <v>31.712328767123289</v>
      </c>
      <c r="H129" s="3" t="s">
        <v>1179</v>
      </c>
      <c r="I129" t="str" cm="1">
        <f t="array" ref="I129">ADAPTAR(B129)&amp;ADAPTAR(C129)&amp;"_"&amp;ADAPTAR(E129)&amp;F129</f>
        <v>marcelaalejandra_pinto32805</v>
      </c>
      <c r="J129" s="13">
        <v>7</v>
      </c>
      <c r="K129" t="str" cm="1">
        <f t="array" ref="K129">ADAPTAR(B129)&amp;"."&amp;ADAPTAR(D129)&amp;YEAR(F129)&amp;"@"&amp;VLOOKUP(J129,Dominios!$A$2:$B$30,2,FALSE)</f>
        <v>marcela.pineda1989@hocknas.co</v>
      </c>
      <c r="L129" s="13">
        <v>7</v>
      </c>
      <c r="M129">
        <f>VLOOKUP(L129,Celulares!$A$2:$B$30,2,FALSE)</f>
        <v>3115060110</v>
      </c>
    </row>
    <row r="130" spans="1:13" ht="15.75" customHeight="1" x14ac:dyDescent="0.25">
      <c r="A130" t="s">
        <v>1565</v>
      </c>
      <c r="B130" s="3" t="s">
        <v>140</v>
      </c>
      <c r="C130" s="3" t="s">
        <v>209</v>
      </c>
      <c r="D130" s="3" t="s">
        <v>2507</v>
      </c>
      <c r="E130" s="3" t="s">
        <v>71</v>
      </c>
      <c r="F130" s="5">
        <v>26163</v>
      </c>
      <c r="G130" s="14">
        <f t="shared" ca="1" si="1"/>
        <v>49.909589041095892</v>
      </c>
      <c r="H130" s="3" t="s">
        <v>544</v>
      </c>
      <c r="I130" t="str" cm="1">
        <f t="array" ref="I130">ADAPTAR(B130)&amp;ADAPTAR(C130)&amp;"_"&amp;ADAPTAR(E130)&amp;F130</f>
        <v>luisaviviana_munoz26163</v>
      </c>
      <c r="J130" s="13">
        <v>8</v>
      </c>
      <c r="K130" t="str" cm="1">
        <f t="array" ref="K130">ADAPTAR(B130)&amp;"."&amp;ADAPTAR(D130)&amp;YEAR(F130)&amp;"@"&amp;VLOOKUP(J130,Dominios!$A$2:$B$30,2,FALSE)</f>
        <v>luisa.pineres1971@hostedoceri.co</v>
      </c>
      <c r="L130" s="13">
        <v>8</v>
      </c>
      <c r="M130">
        <f>VLOOKUP(L130,Celulares!$A$2:$B$30,2,FALSE)</f>
        <v>3115060091</v>
      </c>
    </row>
    <row r="131" spans="1:13" ht="15.75" customHeight="1" x14ac:dyDescent="0.25">
      <c r="A131" t="s">
        <v>1566</v>
      </c>
      <c r="B131" s="3" t="s">
        <v>176</v>
      </c>
      <c r="C131" s="3" t="s">
        <v>179</v>
      </c>
      <c r="D131" s="3" t="s">
        <v>54</v>
      </c>
      <c r="E131" s="3" t="s">
        <v>226</v>
      </c>
      <c r="F131" s="5">
        <v>29526</v>
      </c>
      <c r="G131" s="14">
        <f t="shared" ref="G131:G194" ca="1" si="2">(TODAY()-F131)/365</f>
        <v>40.695890410958903</v>
      </c>
      <c r="H131" s="3" t="s">
        <v>1178</v>
      </c>
      <c r="I131" t="str" cm="1">
        <f t="array" ref="I131">ADAPTAR(B131)&amp;ADAPTAR(C131)&amp;"_"&amp;ADAPTAR(E131)&amp;F131</f>
        <v>monicagisell_castro29526</v>
      </c>
      <c r="J131" s="13">
        <v>9</v>
      </c>
      <c r="K131" t="str" cm="1">
        <f t="array" ref="K131">ADAPTAR(B131)&amp;"."&amp;ADAPTAR(D131)&amp;YEAR(F131)&amp;"@"&amp;VLOOKUP(J131,Dominios!$A$2:$B$30,2,FALSE)</f>
        <v>monica.martinez1980@libertas.com.co</v>
      </c>
      <c r="L131" s="13">
        <v>9</v>
      </c>
      <c r="M131">
        <f>VLOOKUP(L131,Celulares!$A$2:$B$30,2,FALSE)</f>
        <v>3115060080</v>
      </c>
    </row>
    <row r="132" spans="1:13" ht="15.75" customHeight="1" x14ac:dyDescent="0.25">
      <c r="A132" t="s">
        <v>1567</v>
      </c>
      <c r="B132" s="3" t="s">
        <v>37</v>
      </c>
      <c r="C132" s="3" t="s">
        <v>18</v>
      </c>
      <c r="D132" s="3" t="s">
        <v>169</v>
      </c>
      <c r="E132" s="3" t="s">
        <v>227</v>
      </c>
      <c r="F132" s="5">
        <v>27965</v>
      </c>
      <c r="G132" s="14">
        <f t="shared" ca="1" si="2"/>
        <v>44.972602739726028</v>
      </c>
      <c r="H132" s="3" t="s">
        <v>1227</v>
      </c>
      <c r="I132" t="str" cm="1">
        <f t="array" ref="I132">ADAPTAR(B132)&amp;ADAPTAR(C132)&amp;"_"&amp;ADAPTAR(E132)&amp;F132</f>
        <v>dianaalejandra_ortiz27965</v>
      </c>
      <c r="J132" s="13">
        <v>10</v>
      </c>
      <c r="K132" t="str" cm="1">
        <f t="array" ref="K132">ADAPTAR(B132)&amp;"."&amp;ADAPTAR(D132)&amp;YEAR(F132)&amp;"@"&amp;VLOOKUP(J132,Dominios!$A$2:$B$30,2,FALSE)</f>
        <v>diana.rodriguez1976@nascitur.com.co</v>
      </c>
      <c r="L132" s="13">
        <v>10</v>
      </c>
      <c r="M132">
        <f>VLOOKUP(L132,Celulares!$A$2:$B$30,2,FALSE)</f>
        <v>3115114385</v>
      </c>
    </row>
    <row r="133" spans="1:13" ht="15.75" customHeight="1" x14ac:dyDescent="0.25">
      <c r="A133" t="s">
        <v>1568</v>
      </c>
      <c r="B133" s="3" t="s">
        <v>319</v>
      </c>
      <c r="C133" s="3" t="s">
        <v>27</v>
      </c>
      <c r="D133" s="3" t="s">
        <v>56</v>
      </c>
      <c r="E133" s="3" t="s">
        <v>228</v>
      </c>
      <c r="F133" s="5">
        <v>31646</v>
      </c>
      <c r="G133" s="14">
        <f t="shared" ca="1" si="2"/>
        <v>34.887671232876713</v>
      </c>
      <c r="H133" s="3" t="s">
        <v>1216</v>
      </c>
      <c r="I133" t="str" cm="1">
        <f t="array" ref="I133">ADAPTAR(B133)&amp;ADAPTAR(C133)&amp;"_"&amp;ADAPTAR(E133)&amp;F133</f>
        <v>geraldineamanda_alvarez31646</v>
      </c>
      <c r="J133" s="13">
        <v>11</v>
      </c>
      <c r="K133" t="str" cm="1">
        <f t="array" ref="K133">ADAPTAR(B133)&amp;"."&amp;ADAPTAR(D133)&amp;YEAR(F133)&amp;"@"&amp;VLOOKUP(J133,Dominios!$A$2:$B$30,2,FALSE)</f>
        <v>geraldine.rojas1986@nemesis.ml</v>
      </c>
      <c r="L133" s="13">
        <v>11</v>
      </c>
      <c r="M133">
        <f>VLOOKUP(L133,Celulares!$A$2:$B$30,2,FALSE)</f>
        <v>3115114360</v>
      </c>
    </row>
    <row r="134" spans="1:13" ht="15.75" customHeight="1" x14ac:dyDescent="0.25">
      <c r="A134" t="s">
        <v>1569</v>
      </c>
      <c r="B134" s="3" t="s">
        <v>64</v>
      </c>
      <c r="C134" s="3" t="s">
        <v>318</v>
      </c>
      <c r="D134" s="3" t="s">
        <v>297</v>
      </c>
      <c r="E134" s="3" t="s">
        <v>229</v>
      </c>
      <c r="F134" s="5">
        <v>28836</v>
      </c>
      <c r="G134" s="14">
        <f t="shared" ca="1" si="2"/>
        <v>42.586301369863016</v>
      </c>
      <c r="H134" s="3" t="s">
        <v>559</v>
      </c>
      <c r="I134" t="str" cm="1">
        <f t="array" ref="I134">ADAPTAR(B134)&amp;ADAPTAR(C134)&amp;"_"&amp;ADAPTAR(E134)&amp;F134</f>
        <v>angiemaritza_ruiz28836</v>
      </c>
      <c r="J134" s="13">
        <v>12</v>
      </c>
      <c r="K134" t="str" cm="1">
        <f t="array" ref="K134">ADAPTAR(B134)&amp;"."&amp;ADAPTAR(D134)&amp;YEAR(F134)&amp;"@"&amp;VLOOKUP(J134,Dominios!$A$2:$B$30,2,FALSE)</f>
        <v>angie.trujillo1978@nunquam.com.co</v>
      </c>
      <c r="L134" s="13">
        <v>12</v>
      </c>
      <c r="M134">
        <f>VLOOKUP(L134,Celulares!$A$2:$B$30,2,FALSE)</f>
        <v>3115093653</v>
      </c>
    </row>
    <row r="135" spans="1:13" ht="15.75" customHeight="1" x14ac:dyDescent="0.25">
      <c r="A135" t="s">
        <v>1570</v>
      </c>
      <c r="B135" s="3" t="s">
        <v>116</v>
      </c>
      <c r="C135" s="3" t="s">
        <v>320</v>
      </c>
      <c r="D135" s="3" t="s">
        <v>72</v>
      </c>
      <c r="E135" s="3" t="s">
        <v>230</v>
      </c>
      <c r="F135" s="5">
        <v>29382</v>
      </c>
      <c r="G135" s="14">
        <f t="shared" ca="1" si="2"/>
        <v>41.090410958904108</v>
      </c>
      <c r="H135" s="3" t="s">
        <v>1232</v>
      </c>
      <c r="I135" t="str" cm="1">
        <f t="array" ref="I135">ADAPTAR(B135)&amp;ADAPTAR(C135)&amp;"_"&amp;ADAPTAR(E135)&amp;F135</f>
        <v>jeanetheester_suarez29382</v>
      </c>
      <c r="J135" s="13">
        <v>13</v>
      </c>
      <c r="K135" t="str" cm="1">
        <f t="array" ref="K135">ADAPTAR(B135)&amp;"."&amp;ADAPTAR(D135)&amp;YEAR(F135)&amp;"@"&amp;VLOOKUP(J135,Dominios!$A$2:$B$30,2,FALSE)</f>
        <v>jeanethe.quiroga1980@sempiternam.co</v>
      </c>
      <c r="L135" s="13">
        <v>13</v>
      </c>
      <c r="M135">
        <f>VLOOKUP(L135,Celulares!$A$2:$B$30,2,FALSE)</f>
        <v>3115093598</v>
      </c>
    </row>
    <row r="136" spans="1:13" ht="15.75" customHeight="1" x14ac:dyDescent="0.25">
      <c r="A136" t="s">
        <v>1571</v>
      </c>
      <c r="B136" s="3" t="s">
        <v>324</v>
      </c>
      <c r="C136" s="3" t="s">
        <v>306</v>
      </c>
      <c r="D136" s="3" t="s">
        <v>49</v>
      </c>
      <c r="E136" s="3" t="s">
        <v>231</v>
      </c>
      <c r="F136" s="5">
        <v>31255</v>
      </c>
      <c r="G136" s="14">
        <f t="shared" ca="1" si="2"/>
        <v>35.958904109589042</v>
      </c>
      <c r="H136" s="3" t="s">
        <v>535</v>
      </c>
      <c r="I136" t="str" cm="1">
        <f t="array" ref="I136">ADAPTAR(B136)&amp;ADAPTAR(C136)&amp;"_"&amp;ADAPTAR(E136)&amp;F136</f>
        <v>sarasofia_romero31255</v>
      </c>
      <c r="J136" s="13">
        <v>14</v>
      </c>
      <c r="K136" t="str" cm="1">
        <f t="array" ref="K136">ADAPTAR(B136)&amp;"."&amp;ADAPTAR(D136)&amp;YEAR(F136)&amp;"@"&amp;VLOOKUP(J136,Dominios!$A$2:$B$30,2,FALSE)</f>
        <v>sara.urdaneta1985@sk9.co</v>
      </c>
      <c r="L136" s="13">
        <v>14</v>
      </c>
      <c r="M136">
        <f>VLOOKUP(L136,Celulares!$A$2:$B$30,2,FALSE)</f>
        <v>3115093583</v>
      </c>
    </row>
    <row r="137" spans="1:13" ht="15.75" customHeight="1" x14ac:dyDescent="0.25">
      <c r="A137" t="s">
        <v>1572</v>
      </c>
      <c r="B137" s="3" t="s">
        <v>325</v>
      </c>
      <c r="C137" s="3" t="s">
        <v>28</v>
      </c>
      <c r="D137" s="3" t="s">
        <v>191</v>
      </c>
      <c r="E137" s="3" t="s">
        <v>43</v>
      </c>
      <c r="F137" s="5">
        <v>28092</v>
      </c>
      <c r="G137" s="14">
        <f t="shared" ca="1" si="2"/>
        <v>44.624657534246573</v>
      </c>
      <c r="H137" s="3" t="s">
        <v>1180</v>
      </c>
      <c r="I137" t="str" cm="1">
        <f t="array" ref="I137">ADAPTAR(B137)&amp;ADAPTAR(C137)&amp;"_"&amp;ADAPTAR(E137)&amp;F137</f>
        <v>mariaconstanza_herrera28092</v>
      </c>
      <c r="J137" s="13">
        <v>15</v>
      </c>
      <c r="K137" t="str" cm="1">
        <f t="array" ref="K137">ADAPTAR(B137)&amp;"."&amp;ADAPTAR(D137)&amp;YEAR(F137)&amp;"@"&amp;VLOOKUP(J137,Dominios!$A$2:$B$30,2,FALSE)</f>
        <v>maria.gutierrez1976@socialmediacolombia.com.co</v>
      </c>
      <c r="L137" s="13">
        <v>15</v>
      </c>
      <c r="M137">
        <f>VLOOKUP(L137,Celulares!$A$2:$B$30,2,FALSE)</f>
        <v>3115092386</v>
      </c>
    </row>
    <row r="138" spans="1:13" ht="15.75" customHeight="1" x14ac:dyDescent="0.25">
      <c r="A138" t="s">
        <v>1573</v>
      </c>
      <c r="B138" s="3" t="s">
        <v>326</v>
      </c>
      <c r="C138" s="3" t="s">
        <v>36</v>
      </c>
      <c r="D138" s="3" t="s">
        <v>61</v>
      </c>
      <c r="E138" s="3" t="s">
        <v>232</v>
      </c>
      <c r="F138" s="5">
        <v>30666</v>
      </c>
      <c r="G138" s="14">
        <f t="shared" ca="1" si="2"/>
        <v>37.57260273972603</v>
      </c>
      <c r="H138" s="3" t="s">
        <v>1233</v>
      </c>
      <c r="I138" t="str" cm="1">
        <f t="array" ref="I138">ADAPTAR(B138)&amp;ADAPTAR(C138)&amp;"_"&amp;ADAPTAR(E138)&amp;F138</f>
        <v>jeimyalexandra_valencia30666</v>
      </c>
      <c r="J138" s="13">
        <v>16</v>
      </c>
      <c r="K138" t="str" cm="1">
        <f t="array" ref="K138">ADAPTAR(B138)&amp;"."&amp;ADAPTAR(D138)&amp;YEAR(F138)&amp;"@"&amp;VLOOKUP(J138,Dominios!$A$2:$B$30,2,FALSE)</f>
        <v>jeimy.ruiz1983@tecnicoensistemas.com.co</v>
      </c>
      <c r="L138" s="13">
        <v>16</v>
      </c>
      <c r="M138">
        <f>VLOOKUP(L138,Celulares!$A$2:$B$30,2,FALSE)</f>
        <v>3115092375</v>
      </c>
    </row>
    <row r="139" spans="1:13" ht="15.75" customHeight="1" x14ac:dyDescent="0.25">
      <c r="A139" t="s">
        <v>1574</v>
      </c>
      <c r="B139" s="3" t="s">
        <v>50</v>
      </c>
      <c r="C139" s="3" t="s">
        <v>321</v>
      </c>
      <c r="D139" s="3" t="s">
        <v>94</v>
      </c>
      <c r="E139" s="3" t="s">
        <v>233</v>
      </c>
      <c r="F139" s="5">
        <v>30757</v>
      </c>
      <c r="G139" s="14">
        <f t="shared" ca="1" si="2"/>
        <v>37.323287671232876</v>
      </c>
      <c r="H139" s="3" t="s">
        <v>1232</v>
      </c>
      <c r="I139" t="str" cm="1">
        <f t="array" ref="I139">ADAPTAR(B139)&amp;ADAPTAR(C139)&amp;"_"&amp;ADAPTAR(E139)&amp;F139</f>
        <v>mariaaixa_quintero30757</v>
      </c>
      <c r="J139" s="13">
        <v>17</v>
      </c>
      <c r="K139" t="str" cm="1">
        <f t="array" ref="K139">ADAPTAR(B139)&amp;"."&amp;ADAPTAR(D139)&amp;YEAR(F139)&amp;"@"&amp;VLOOKUP(J139,Dominios!$A$2:$B$30,2,FALSE)</f>
        <v>maria.gonzalez1984@totum.com.co</v>
      </c>
      <c r="L139" s="13">
        <v>17</v>
      </c>
      <c r="M139">
        <f>VLOOKUP(L139,Celulares!$A$2:$B$30,2,FALSE)</f>
        <v>3115092369</v>
      </c>
    </row>
    <row r="140" spans="1:13" ht="15.75" customHeight="1" x14ac:dyDescent="0.25">
      <c r="A140" t="s">
        <v>1575</v>
      </c>
      <c r="B140" s="3" t="s">
        <v>322</v>
      </c>
      <c r="C140" s="3" t="s">
        <v>323</v>
      </c>
      <c r="D140" s="3" t="s">
        <v>147</v>
      </c>
      <c r="E140" s="3" t="s">
        <v>234</v>
      </c>
      <c r="F140" s="5">
        <v>31449</v>
      </c>
      <c r="G140" s="14">
        <f t="shared" ca="1" si="2"/>
        <v>35.42739726027397</v>
      </c>
      <c r="H140" s="3" t="s">
        <v>1234</v>
      </c>
      <c r="I140" t="str" cm="1">
        <f t="array" ref="I140">ADAPTAR(B140)&amp;ADAPTAR(C140)&amp;"_"&amp;ADAPTAR(E140)&amp;F140</f>
        <v>dayannayurley_restrepo31449</v>
      </c>
      <c r="J140" s="13">
        <v>18</v>
      </c>
      <c r="K140" t="str" cm="1">
        <f t="array" ref="K140">ADAPTAR(B140)&amp;"."&amp;ADAPTAR(D140)&amp;YEAR(F140)&amp;"@"&amp;VLOOKUP(J140,Dominios!$A$2:$B$30,2,FALSE)</f>
        <v>dayanna.mera1986@voipcolombia.co</v>
      </c>
      <c r="L140" s="13">
        <v>18</v>
      </c>
      <c r="M140">
        <f>VLOOKUP(L140,Celulares!$A$2:$B$30,2,FALSE)</f>
        <v>3115092360</v>
      </c>
    </row>
    <row r="141" spans="1:13" ht="15.75" customHeight="1" x14ac:dyDescent="0.25">
      <c r="A141" t="s">
        <v>1576</v>
      </c>
      <c r="B141" s="3" t="s">
        <v>195</v>
      </c>
      <c r="C141" s="3" t="s">
        <v>185</v>
      </c>
      <c r="D141" s="3" t="s">
        <v>86</v>
      </c>
      <c r="E141" s="3" t="s">
        <v>55</v>
      </c>
      <c r="F141" s="5">
        <v>30696</v>
      </c>
      <c r="G141" s="14">
        <f t="shared" ca="1" si="2"/>
        <v>37.490410958904107</v>
      </c>
      <c r="H141" s="3" t="s">
        <v>1235</v>
      </c>
      <c r="I141" t="str" cm="1">
        <f t="array" ref="I141">ADAPTAR(B141)&amp;ADAPTAR(C141)&amp;"_"&amp;ADAPTAR(E141)&amp;F141</f>
        <v>patriciayovana_rodriguez30696</v>
      </c>
      <c r="J141" s="13">
        <v>19</v>
      </c>
      <c r="K141" t="str" cm="1">
        <f t="array" ref="K141">ADAPTAR(B141)&amp;"."&amp;ADAPTAR(D141)&amp;YEAR(F141)&amp;"@"&amp;VLOOKUP(J141,Dominios!$A$2:$B$30,2,FALSE)</f>
        <v>patricia.sosa1984@vpncolombia.com.co</v>
      </c>
      <c r="L141" s="13">
        <v>19</v>
      </c>
      <c r="M141">
        <f>VLOOKUP(L141,Celulares!$A$2:$B$30,2,FALSE)</f>
        <v>3115092352</v>
      </c>
    </row>
    <row r="142" spans="1:13" ht="15.75" customHeight="1" x14ac:dyDescent="0.25">
      <c r="A142" t="s">
        <v>1577</v>
      </c>
      <c r="B142" s="3" t="s">
        <v>328</v>
      </c>
      <c r="C142" s="3" t="s">
        <v>23</v>
      </c>
      <c r="D142" s="3" t="s">
        <v>84</v>
      </c>
      <c r="E142" s="3" t="s">
        <v>298</v>
      </c>
      <c r="F142" s="5">
        <v>25007</v>
      </c>
      <c r="G142" s="14">
        <f t="shared" ca="1" si="2"/>
        <v>53.076712328767123</v>
      </c>
      <c r="H142" s="3" t="s">
        <v>1236</v>
      </c>
      <c r="I142" t="str" cm="1">
        <f t="array" ref="I142">ADAPTAR(B142)&amp;ADAPTAR(C142)&amp;"_"&amp;ADAPTAR(E142)&amp;F142</f>
        <v>karolvanessa_jaimes25007</v>
      </c>
      <c r="J142" s="13">
        <v>0</v>
      </c>
      <c r="K142" t="str" cm="1">
        <f t="array" ref="K142">ADAPTAR(B142)&amp;"."&amp;ADAPTAR(D142)&amp;YEAR(F142)&amp;"@"&amp;VLOOKUP(J142,Dominios!$A$2:$B$30,2,FALSE)</f>
        <v>karol.prada1968@auribus.com.co</v>
      </c>
      <c r="L142" s="13">
        <v>0</v>
      </c>
      <c r="M142">
        <f>VLOOKUP(L142,Celulares!$A$2:$B$30,2,FALSE)</f>
        <v>3115114930</v>
      </c>
    </row>
    <row r="143" spans="1:13" ht="15.75" customHeight="1" x14ac:dyDescent="0.25">
      <c r="A143" t="s">
        <v>1578</v>
      </c>
      <c r="B143" s="3" t="s">
        <v>901</v>
      </c>
      <c r="C143" s="3" t="s">
        <v>893</v>
      </c>
      <c r="D143" s="3" t="s">
        <v>713</v>
      </c>
      <c r="E143" s="3" t="s">
        <v>796</v>
      </c>
      <c r="F143" s="5">
        <v>24680</v>
      </c>
      <c r="G143" s="14">
        <f t="shared" ca="1" si="2"/>
        <v>53.972602739726028</v>
      </c>
      <c r="H143" s="3" t="s">
        <v>1191</v>
      </c>
      <c r="I143" t="str" cm="1">
        <f t="array" ref="I143">ADAPTAR(B143)&amp;ADAPTAR(C143)&amp;"_"&amp;ADAPTAR(E143)&amp;F143</f>
        <v>paolaesther_arboleda24680</v>
      </c>
      <c r="J143" s="13">
        <v>1</v>
      </c>
      <c r="K143" t="str" cm="1">
        <f t="array" ref="K143">ADAPTAR(B143)&amp;"."&amp;ADAPTAR(D143)&amp;YEAR(F143)&amp;"@"&amp;VLOOKUP(J143,Dominios!$A$2:$B$30,2,FALSE)</f>
        <v>paola.betancur1967@colamus.co</v>
      </c>
      <c r="L143" s="13">
        <v>1</v>
      </c>
      <c r="M143">
        <f>VLOOKUP(L143,Celulares!$A$2:$B$30,2,FALSE)</f>
        <v>3115114916</v>
      </c>
    </row>
    <row r="144" spans="1:13" ht="15.75" customHeight="1" x14ac:dyDescent="0.25">
      <c r="A144" t="s">
        <v>1579</v>
      </c>
      <c r="B144" s="3" t="s">
        <v>902</v>
      </c>
      <c r="C144" s="3" t="s">
        <v>629</v>
      </c>
      <c r="D144" s="3" t="s">
        <v>714</v>
      </c>
      <c r="E144" s="3" t="s">
        <v>835</v>
      </c>
      <c r="F144" s="5">
        <v>26805</v>
      </c>
      <c r="G144" s="14">
        <f t="shared" ca="1" si="2"/>
        <v>48.150684931506852</v>
      </c>
      <c r="H144" s="3" t="s">
        <v>1180</v>
      </c>
      <c r="I144" t="str" cm="1">
        <f t="array" ref="I144">ADAPTAR(B144)&amp;ADAPTAR(C144)&amp;"_"&amp;ADAPTAR(E144)&amp;F144</f>
        <v>renataisabella_henao26805</v>
      </c>
      <c r="J144" s="13">
        <v>2</v>
      </c>
      <c r="K144" t="str" cm="1">
        <f t="array" ref="K144">ADAPTAR(B144)&amp;"."&amp;ADAPTAR(D144)&amp;YEAR(F144)&amp;"@"&amp;VLOOKUP(J144,Dominios!$A$2:$B$30,2,FALSE)</f>
        <v>renata.diaz1973@colombiamail.co</v>
      </c>
      <c r="L144" s="13">
        <v>2</v>
      </c>
      <c r="M144">
        <f>VLOOKUP(L144,Celulares!$A$2:$B$30,2,FALSE)</f>
        <v>3115114911</v>
      </c>
    </row>
    <row r="145" spans="1:13" ht="15.75" customHeight="1" x14ac:dyDescent="0.25">
      <c r="A145" t="s">
        <v>1580</v>
      </c>
      <c r="B145" s="3" t="s">
        <v>903</v>
      </c>
      <c r="C145" s="3" t="s">
        <v>8</v>
      </c>
      <c r="D145" s="3" t="s">
        <v>715</v>
      </c>
      <c r="E145" s="3" t="s">
        <v>801</v>
      </c>
      <c r="F145" s="5">
        <v>31824</v>
      </c>
      <c r="G145" s="14">
        <f t="shared" ca="1" si="2"/>
        <v>34.4</v>
      </c>
      <c r="H145" s="3" t="s">
        <v>1236</v>
      </c>
      <c r="I145" t="str" cm="1">
        <f t="array" ref="I145">ADAPTAR(B145)&amp;ADAPTAR(C145)&amp;"_"&amp;ADAPTAR(E145)&amp;F145</f>
        <v>emmavalentina_mesa31824</v>
      </c>
      <c r="J145" s="13">
        <v>3</v>
      </c>
      <c r="K145" t="str" cm="1">
        <f t="array" ref="K145">ADAPTAR(B145)&amp;"."&amp;ADAPTAR(D145)&amp;YEAR(F145)&amp;"@"&amp;VLOOKUP(J145,Dominios!$A$2:$B$30,2,FALSE)</f>
        <v>emma.garcia1987@diabunter.co</v>
      </c>
      <c r="L145" s="13">
        <v>3</v>
      </c>
      <c r="M145">
        <f>VLOOKUP(L145,Celulares!$A$2:$B$30,2,FALSE)</f>
        <v>3115114910</v>
      </c>
    </row>
    <row r="146" spans="1:13" ht="15.75" customHeight="1" x14ac:dyDescent="0.25">
      <c r="A146" t="s">
        <v>1581</v>
      </c>
      <c r="B146" s="3" t="s">
        <v>898</v>
      </c>
      <c r="C146" s="3" t="s">
        <v>397</v>
      </c>
      <c r="D146" s="3" t="s">
        <v>716</v>
      </c>
      <c r="E146" s="3" t="s">
        <v>761</v>
      </c>
      <c r="F146" s="5">
        <v>33179</v>
      </c>
      <c r="G146" s="14">
        <f t="shared" ca="1" si="2"/>
        <v>30.687671232876713</v>
      </c>
      <c r="H146" s="3" t="s">
        <v>580</v>
      </c>
      <c r="I146" t="str" cm="1">
        <f t="array" ref="I146">ADAPTAR(B146)&amp;ADAPTAR(C146)&amp;"_"&amp;ADAPTAR(E146)&amp;F146</f>
        <v>mariajose_montoya33179</v>
      </c>
      <c r="J146" s="13">
        <v>4</v>
      </c>
      <c r="K146" t="str" cm="1">
        <f t="array" ref="K146">ADAPTAR(B146)&amp;"."&amp;ADAPTAR(D146)&amp;YEAR(F146)&amp;"@"&amp;VLOOKUP(J146,Dominios!$A$2:$B$30,2,FALSE)</f>
        <v>maria.vergara1990@ebrietas.co</v>
      </c>
      <c r="L146" s="13">
        <v>4</v>
      </c>
      <c r="M146">
        <f>VLOOKUP(L146,Celulares!$A$2:$B$30,2,FALSE)</f>
        <v>3115114909</v>
      </c>
    </row>
    <row r="147" spans="1:13" ht="15.75" customHeight="1" x14ac:dyDescent="0.25">
      <c r="A147" t="s">
        <v>1582</v>
      </c>
      <c r="B147" s="3" t="s">
        <v>904</v>
      </c>
      <c r="C147" s="3" t="s">
        <v>894</v>
      </c>
      <c r="D147" s="3" t="s">
        <v>704</v>
      </c>
      <c r="E147" s="3" t="s">
        <v>780</v>
      </c>
      <c r="F147" s="5">
        <v>37238</v>
      </c>
      <c r="G147" s="14">
        <f t="shared" ca="1" si="2"/>
        <v>19.567123287671233</v>
      </c>
      <c r="H147" s="3" t="s">
        <v>1201</v>
      </c>
      <c r="I147" t="str" cm="1">
        <f t="array" ref="I147">ADAPTAR(B147)&amp;ADAPTAR(C147)&amp;"_"&amp;ADAPTAR(E147)&amp;F147</f>
        <v>agustinaignacia_amaya37238</v>
      </c>
      <c r="J147" s="13">
        <v>5</v>
      </c>
      <c r="K147" t="str" cm="1">
        <f t="array" ref="K147">ADAPTAR(B147)&amp;"."&amp;ADAPTAR(D147)&amp;YEAR(F147)&amp;"@"&amp;VLOOKUP(J147,Dominios!$A$2:$B$30,2,FALSE)</f>
        <v>agustina.patino2001@elsinsonte.co</v>
      </c>
      <c r="L147" s="13">
        <v>5</v>
      </c>
      <c r="M147">
        <f>VLOOKUP(L147,Celulares!$A$2:$B$30,2,FALSE)</f>
        <v>3115060130</v>
      </c>
    </row>
    <row r="148" spans="1:13" ht="15.75" customHeight="1" x14ac:dyDescent="0.25">
      <c r="A148" t="s">
        <v>1583</v>
      </c>
      <c r="B148" s="3" t="s">
        <v>898</v>
      </c>
      <c r="C148" s="3" t="s">
        <v>18</v>
      </c>
      <c r="D148" s="3" t="s">
        <v>717</v>
      </c>
      <c r="E148" s="3" t="s">
        <v>824</v>
      </c>
      <c r="F148" s="5">
        <v>30194</v>
      </c>
      <c r="G148" s="14">
        <f t="shared" ca="1" si="2"/>
        <v>38.865753424657534</v>
      </c>
      <c r="H148" s="3" t="s">
        <v>1186</v>
      </c>
      <c r="I148" t="str" cm="1">
        <f t="array" ref="I148">ADAPTAR(B148)&amp;ADAPTAR(C148)&amp;"_"&amp;ADAPTAR(E148)&amp;F148</f>
        <v>mariaalejandra_jaramillo30194</v>
      </c>
      <c r="J148" s="13">
        <v>6</v>
      </c>
      <c r="K148" t="str" cm="1">
        <f t="array" ref="K148">ADAPTAR(B148)&amp;"."&amp;ADAPTAR(D148)&amp;YEAR(F148)&amp;"@"&amp;VLOOKUP(J148,Dominios!$A$2:$B$30,2,FALSE)</f>
        <v>maria.vasquez1982@enigmaserver.co</v>
      </c>
      <c r="L148" s="13">
        <v>6</v>
      </c>
      <c r="M148">
        <f>VLOOKUP(L148,Celulares!$A$2:$B$30,2,FALSE)</f>
        <v>3115060125</v>
      </c>
    </row>
    <row r="149" spans="1:13" ht="15.75" customHeight="1" x14ac:dyDescent="0.25">
      <c r="A149" t="s">
        <v>1584</v>
      </c>
      <c r="B149" s="3" t="s">
        <v>905</v>
      </c>
      <c r="C149" s="3" t="s">
        <v>16</v>
      </c>
      <c r="D149" s="3" t="s">
        <v>681</v>
      </c>
      <c r="E149" s="3" t="s">
        <v>738</v>
      </c>
      <c r="F149" s="5">
        <v>25462</v>
      </c>
      <c r="G149" s="14">
        <f t="shared" ca="1" si="2"/>
        <v>51.830136986301369</v>
      </c>
      <c r="H149" s="3" t="s">
        <v>1227</v>
      </c>
      <c r="I149" t="str" cm="1">
        <f t="array" ref="I149">ADAPTAR(B149)&amp;ADAPTAR(C149)&amp;"_"&amp;ADAPTAR(E149)&amp;F149</f>
        <v>dulcemaria_polo25462</v>
      </c>
      <c r="J149" s="13">
        <v>7</v>
      </c>
      <c r="K149" t="str" cm="1">
        <f t="array" ref="K149">ADAPTAR(B149)&amp;"."&amp;ADAPTAR(D149)&amp;YEAR(F149)&amp;"@"&amp;VLOOKUP(J149,Dominios!$A$2:$B$30,2,FALSE)</f>
        <v>dulce.reyes1969@hocknas.co</v>
      </c>
      <c r="L149" s="13">
        <v>7</v>
      </c>
      <c r="M149">
        <f>VLOOKUP(L149,Celulares!$A$2:$B$30,2,FALSE)</f>
        <v>3115060110</v>
      </c>
    </row>
    <row r="150" spans="1:13" ht="15.75" customHeight="1" x14ac:dyDescent="0.25">
      <c r="A150" t="s">
        <v>1585</v>
      </c>
      <c r="B150" s="3" t="s">
        <v>898</v>
      </c>
      <c r="C150" s="3" t="s">
        <v>17</v>
      </c>
      <c r="D150" s="3" t="s">
        <v>718</v>
      </c>
      <c r="E150" s="3" t="s">
        <v>829</v>
      </c>
      <c r="F150" s="5">
        <v>28801</v>
      </c>
      <c r="G150" s="14">
        <f t="shared" ca="1" si="2"/>
        <v>42.682191780821917</v>
      </c>
      <c r="H150" s="3" t="s">
        <v>544</v>
      </c>
      <c r="I150" t="str" cm="1">
        <f t="array" ref="I150">ADAPTAR(B150)&amp;ADAPTAR(C150)&amp;"_"&amp;ADAPTAR(E150)&amp;F150</f>
        <v>mariafernanda_palacio28801</v>
      </c>
      <c r="J150" s="13">
        <v>8</v>
      </c>
      <c r="K150" t="str" cm="1">
        <f t="array" ref="K150">ADAPTAR(B150)&amp;"."&amp;ADAPTAR(D150)&amp;YEAR(F150)&amp;"@"&amp;VLOOKUP(J150,Dominios!$A$2:$B$30,2,FALSE)</f>
        <v>maria.mercado1978@hostedoceri.co</v>
      </c>
      <c r="L150" s="13">
        <v>8</v>
      </c>
      <c r="M150">
        <f>VLOOKUP(L150,Celulares!$A$2:$B$30,2,FALSE)</f>
        <v>3115060091</v>
      </c>
    </row>
    <row r="151" spans="1:13" ht="15.75" customHeight="1" x14ac:dyDescent="0.25">
      <c r="A151" t="s">
        <v>1586</v>
      </c>
      <c r="B151" s="3" t="s">
        <v>906</v>
      </c>
      <c r="C151" s="3" t="s">
        <v>894</v>
      </c>
      <c r="D151" s="3" t="s">
        <v>719</v>
      </c>
      <c r="E151" s="3" t="s">
        <v>458</v>
      </c>
      <c r="F151" s="5">
        <v>25758</v>
      </c>
      <c r="G151" s="14">
        <f t="shared" ca="1" si="2"/>
        <v>51.019178082191779</v>
      </c>
      <c r="H151" s="3" t="s">
        <v>1237</v>
      </c>
      <c r="I151" t="str" cm="1">
        <f t="array" ref="I151">ADAPTAR(B151)&amp;ADAPTAR(C151)&amp;"_"&amp;ADAPTAR(E151)&amp;F151</f>
        <v>josefaignacia_bravo25758</v>
      </c>
      <c r="J151" s="13">
        <v>9</v>
      </c>
      <c r="K151" t="str" cm="1">
        <f t="array" ref="K151">ADAPTAR(B151)&amp;"."&amp;ADAPTAR(D151)&amp;YEAR(F151)&amp;"@"&amp;VLOOKUP(J151,Dominios!$A$2:$B$30,2,FALSE)</f>
        <v>josefa.suarez1970@libertas.com.co</v>
      </c>
      <c r="L151" s="13">
        <v>9</v>
      </c>
      <c r="M151">
        <f>VLOOKUP(L151,Celulares!$A$2:$B$30,2,FALSE)</f>
        <v>3115060080</v>
      </c>
    </row>
    <row r="152" spans="1:13" ht="15.75" customHeight="1" x14ac:dyDescent="0.25">
      <c r="A152" t="s">
        <v>1587</v>
      </c>
      <c r="B152" s="3" t="s">
        <v>907</v>
      </c>
      <c r="C152" s="3" t="s">
        <v>629</v>
      </c>
      <c r="D152" s="3" t="s">
        <v>297</v>
      </c>
      <c r="E152" s="3" t="s">
        <v>724</v>
      </c>
      <c r="F152" s="5">
        <v>33352</v>
      </c>
      <c r="G152" s="14">
        <f t="shared" ca="1" si="2"/>
        <v>30.213698630136985</v>
      </c>
      <c r="H152" s="3" t="s">
        <v>1182</v>
      </c>
      <c r="I152" t="str" cm="1">
        <f t="array" ref="I152">ADAPTAR(B152)&amp;ADAPTAR(C152)&amp;"_"&amp;ADAPTAR(E152)&amp;F152</f>
        <v>miaisabella_solano33352</v>
      </c>
      <c r="J152" s="13">
        <v>10</v>
      </c>
      <c r="K152" t="str" cm="1">
        <f t="array" ref="K152">ADAPTAR(B152)&amp;"."&amp;ADAPTAR(D152)&amp;YEAR(F152)&amp;"@"&amp;VLOOKUP(J152,Dominios!$A$2:$B$30,2,FALSE)</f>
        <v>mia.trujillo1991@nascitur.com.co</v>
      </c>
      <c r="L152" s="13">
        <v>10</v>
      </c>
      <c r="M152">
        <f>VLOOKUP(L152,Celulares!$A$2:$B$30,2,FALSE)</f>
        <v>3115114385</v>
      </c>
    </row>
    <row r="153" spans="1:13" ht="15.75" customHeight="1" x14ac:dyDescent="0.25">
      <c r="A153" t="s">
        <v>1588</v>
      </c>
      <c r="B153" s="3" t="s">
        <v>908</v>
      </c>
      <c r="C153" s="3" t="s">
        <v>620</v>
      </c>
      <c r="D153" s="3" t="s">
        <v>720</v>
      </c>
      <c r="E153" s="3" t="s">
        <v>845</v>
      </c>
      <c r="F153" s="5">
        <v>26604</v>
      </c>
      <c r="G153" s="14">
        <f t="shared" ca="1" si="2"/>
        <v>48.701369863013696</v>
      </c>
      <c r="H153" s="3" t="s">
        <v>1199</v>
      </c>
      <c r="I153" t="str" cm="1">
        <f t="array" ref="I153">ADAPTAR(B153)&amp;ADAPTAR(C153)&amp;"_"&amp;ADAPTAR(E153)&amp;F153</f>
        <v>anavictoria_zuniga26604</v>
      </c>
      <c r="J153" s="13">
        <v>11</v>
      </c>
      <c r="K153" t="str" cm="1">
        <f t="array" ref="K153">ADAPTAR(B153)&amp;"."&amp;ADAPTAR(D153)&amp;YEAR(F153)&amp;"@"&amp;VLOOKUP(J153,Dominios!$A$2:$B$30,2,FALSE)</f>
        <v>ana.herrera1972@nemesis.ml</v>
      </c>
      <c r="L153" s="13">
        <v>11</v>
      </c>
      <c r="M153">
        <f>VLOOKUP(L153,Celulares!$A$2:$B$30,2,FALSE)</f>
        <v>3115114360</v>
      </c>
    </row>
    <row r="154" spans="1:13" ht="15.75" customHeight="1" x14ac:dyDescent="0.25">
      <c r="A154" t="s">
        <v>1589</v>
      </c>
      <c r="B154" s="3" t="s">
        <v>16</v>
      </c>
      <c r="C154" s="3" t="s">
        <v>6</v>
      </c>
      <c r="D154" s="3" t="s">
        <v>239</v>
      </c>
      <c r="E154" s="3" t="s">
        <v>785</v>
      </c>
      <c r="F154" s="5">
        <v>29758</v>
      </c>
      <c r="G154" s="14">
        <f t="shared" ca="1" si="2"/>
        <v>40.060273972602737</v>
      </c>
      <c r="H154" s="3" t="s">
        <v>1199</v>
      </c>
      <c r="I154" t="str" cm="1">
        <f t="array" ref="I154">ADAPTAR(B154)&amp;ADAPTAR(C154)&amp;"_"&amp;ADAPTAR(E154)&amp;F154</f>
        <v>mariasofia_cano29758</v>
      </c>
      <c r="J154" s="13">
        <v>12</v>
      </c>
      <c r="K154" t="str" cm="1">
        <f t="array" ref="K154">ADAPTAR(B154)&amp;"."&amp;ADAPTAR(D154)&amp;YEAR(F154)&amp;"@"&amp;VLOOKUP(J154,Dominios!$A$2:$B$30,2,FALSE)</f>
        <v>maria.salazar1981@nunquam.com.co</v>
      </c>
      <c r="L154" s="13">
        <v>12</v>
      </c>
      <c r="M154">
        <f>VLOOKUP(L154,Celulares!$A$2:$B$30,2,FALSE)</f>
        <v>3115093653</v>
      </c>
    </row>
    <row r="155" spans="1:13" ht="15.75" customHeight="1" x14ac:dyDescent="0.25">
      <c r="A155" t="s">
        <v>1590</v>
      </c>
      <c r="B155" s="3" t="s">
        <v>909</v>
      </c>
      <c r="C155" s="3" t="s">
        <v>8</v>
      </c>
      <c r="D155" s="3" t="s">
        <v>721</v>
      </c>
      <c r="E155" s="3" t="s">
        <v>740</v>
      </c>
      <c r="F155" s="5">
        <v>29259</v>
      </c>
      <c r="G155" s="14">
        <f t="shared" ca="1" si="2"/>
        <v>41.42739726027397</v>
      </c>
      <c r="H155" s="3" t="s">
        <v>1238</v>
      </c>
      <c r="I155" t="str" cm="1">
        <f t="array" ref="I155">ADAPTAR(B155)&amp;ADAPTAR(C155)&amp;"_"&amp;ADAPTAR(E155)&amp;F155</f>
        <v>isabellavalentina_ortega29259</v>
      </c>
      <c r="J155" s="13">
        <v>13</v>
      </c>
      <c r="K155" t="str" cm="1">
        <f t="array" ref="K155">ADAPTAR(B155)&amp;"."&amp;ADAPTAR(D155)&amp;YEAR(F155)&amp;"@"&amp;VLOOKUP(J155,Dominios!$A$2:$B$30,2,FALSE)</f>
        <v>isabella.aguilar1980@sempiternam.co</v>
      </c>
      <c r="L155" s="13">
        <v>13</v>
      </c>
      <c r="M155">
        <f>VLOOKUP(L155,Celulares!$A$2:$B$30,2,FALSE)</f>
        <v>3115093598</v>
      </c>
    </row>
    <row r="156" spans="1:13" ht="15.75" customHeight="1" x14ac:dyDescent="0.25">
      <c r="A156" t="s">
        <v>1591</v>
      </c>
      <c r="B156" s="3" t="s">
        <v>910</v>
      </c>
      <c r="C156" s="3" t="s">
        <v>620</v>
      </c>
      <c r="D156" s="3" t="s">
        <v>722</v>
      </c>
      <c r="E156" s="3" t="s">
        <v>848</v>
      </c>
      <c r="F156" s="5">
        <v>26811</v>
      </c>
      <c r="G156" s="14">
        <f t="shared" ca="1" si="2"/>
        <v>48.134246575342466</v>
      </c>
      <c r="H156" s="3" t="s">
        <v>1182</v>
      </c>
      <c r="I156" t="str" cm="1">
        <f t="array" ref="I156">ADAPTAR(B156)&amp;ADAPTAR(C156)&amp;"_"&amp;ADAPTAR(E156)&amp;F156</f>
        <v>miavictoria_marquez26811</v>
      </c>
      <c r="J156" s="13">
        <v>14</v>
      </c>
      <c r="K156" t="str" cm="1">
        <f t="array" ref="K156">ADAPTAR(B156)&amp;"."&amp;ADAPTAR(D156)&amp;YEAR(F156)&amp;"@"&amp;VLOOKUP(J156,Dominios!$A$2:$B$30,2,FALSE)</f>
        <v>mia.barrera1973@sk9.co</v>
      </c>
      <c r="L156" s="13">
        <v>14</v>
      </c>
      <c r="M156">
        <f>VLOOKUP(L156,Celulares!$A$2:$B$30,2,FALSE)</f>
        <v>3115093583</v>
      </c>
    </row>
    <row r="157" spans="1:13" ht="15.75" customHeight="1" x14ac:dyDescent="0.25">
      <c r="A157" t="s">
        <v>1592</v>
      </c>
      <c r="B157" s="3" t="s">
        <v>911</v>
      </c>
      <c r="C157" s="3" t="s">
        <v>629</v>
      </c>
      <c r="D157" s="3" t="s">
        <v>723</v>
      </c>
      <c r="E157" s="3" t="s">
        <v>220</v>
      </c>
      <c r="F157" s="5">
        <v>24833</v>
      </c>
      <c r="G157" s="14">
        <f t="shared" ca="1" si="2"/>
        <v>53.553424657534244</v>
      </c>
      <c r="H157" s="3" t="s">
        <v>1239</v>
      </c>
      <c r="I157" t="str" cm="1">
        <f t="array" ref="I157">ADAPTAR(B157)&amp;ADAPTAR(C157)&amp;"_"&amp;ADAPTAR(E157)&amp;F157</f>
        <v>victoriaisabella_castaneda24833</v>
      </c>
      <c r="J157" s="13">
        <v>15</v>
      </c>
      <c r="K157" t="str" cm="1">
        <f t="array" ref="K157">ADAPTAR(B157)&amp;"."&amp;ADAPTAR(D157)&amp;YEAR(F157)&amp;"@"&amp;VLOOKUP(J157,Dominios!$A$2:$B$30,2,FALSE)</f>
        <v>victoria.paez1967@socialmediacolombia.com.co</v>
      </c>
      <c r="L157" s="13">
        <v>15</v>
      </c>
      <c r="M157">
        <f>VLOOKUP(L157,Celulares!$A$2:$B$30,2,FALSE)</f>
        <v>3115092386</v>
      </c>
    </row>
    <row r="158" spans="1:13" ht="15.75" customHeight="1" x14ac:dyDescent="0.25">
      <c r="A158" t="s">
        <v>1593</v>
      </c>
      <c r="B158" s="3" t="s">
        <v>903</v>
      </c>
      <c r="C158" s="3" t="s">
        <v>15</v>
      </c>
      <c r="D158" s="3" t="s">
        <v>724</v>
      </c>
      <c r="E158" s="3" t="s">
        <v>826</v>
      </c>
      <c r="F158" s="5">
        <v>34150</v>
      </c>
      <c r="G158" s="14">
        <f t="shared" ca="1" si="2"/>
        <v>28.027397260273972</v>
      </c>
      <c r="H158" s="3" t="s">
        <v>588</v>
      </c>
      <c r="I158" t="str" cm="1">
        <f t="array" ref="I158">ADAPTAR(B158)&amp;ADAPTAR(C158)&amp;"_"&amp;ADAPTAR(E158)&amp;F158</f>
        <v>emmalucia_mejia34150</v>
      </c>
      <c r="J158" s="13">
        <v>16</v>
      </c>
      <c r="K158" t="str" cm="1">
        <f t="array" ref="K158">ADAPTAR(B158)&amp;"."&amp;ADAPTAR(D158)&amp;YEAR(F158)&amp;"@"&amp;VLOOKUP(J158,Dominios!$A$2:$B$30,2,FALSE)</f>
        <v>emma.solano1993@tecnicoensistemas.com.co</v>
      </c>
      <c r="L158" s="13">
        <v>16</v>
      </c>
      <c r="M158">
        <f>VLOOKUP(L158,Celulares!$A$2:$B$30,2,FALSE)</f>
        <v>3115092375</v>
      </c>
    </row>
    <row r="159" spans="1:13" ht="15.75" customHeight="1" x14ac:dyDescent="0.25">
      <c r="A159" t="s">
        <v>1594</v>
      </c>
      <c r="B159" s="3" t="s">
        <v>898</v>
      </c>
      <c r="C159" s="3" t="s">
        <v>8</v>
      </c>
      <c r="D159" s="3" t="s">
        <v>42</v>
      </c>
      <c r="E159" s="3" t="s">
        <v>804</v>
      </c>
      <c r="F159" s="5">
        <v>26680</v>
      </c>
      <c r="G159" s="14">
        <f t="shared" ca="1" si="2"/>
        <v>48.493150684931507</v>
      </c>
      <c r="H159" s="3" t="s">
        <v>1240</v>
      </c>
      <c r="I159" t="str" cm="1">
        <f t="array" ref="I159">ADAPTAR(B159)&amp;ADAPTAR(C159)&amp;"_"&amp;ADAPTAR(E159)&amp;F159</f>
        <v>mariavalentina_miranda26680</v>
      </c>
      <c r="J159" s="13">
        <v>17</v>
      </c>
      <c r="K159" t="str" cm="1">
        <f t="array" ref="K159">ADAPTAR(B159)&amp;"."&amp;ADAPTAR(D159)&amp;YEAR(F159)&amp;"@"&amp;VLOOKUP(J159,Dominios!$A$2:$B$30,2,FALSE)</f>
        <v>maria.buitrago1973@totum.com.co</v>
      </c>
      <c r="L159" s="13">
        <v>17</v>
      </c>
      <c r="M159">
        <f>VLOOKUP(L159,Celulares!$A$2:$B$30,2,FALSE)</f>
        <v>3115092369</v>
      </c>
    </row>
    <row r="160" spans="1:13" ht="15.75" customHeight="1" x14ac:dyDescent="0.25">
      <c r="A160" t="s">
        <v>1595</v>
      </c>
      <c r="B160" s="3" t="s">
        <v>20</v>
      </c>
      <c r="C160" s="3" t="s">
        <v>15</v>
      </c>
      <c r="D160" s="3" t="s">
        <v>698</v>
      </c>
      <c r="E160" s="3" t="s">
        <v>742</v>
      </c>
      <c r="F160" s="5">
        <v>37141</v>
      </c>
      <c r="G160" s="14">
        <f t="shared" ca="1" si="2"/>
        <v>19.832876712328765</v>
      </c>
      <c r="H160" s="3" t="s">
        <v>1237</v>
      </c>
      <c r="I160" t="str" cm="1">
        <f t="array" ref="I160">ADAPTAR(B160)&amp;ADAPTAR(C160)&amp;"_"&amp;ADAPTAR(E160)&amp;F160</f>
        <v>analucia_florez37141</v>
      </c>
      <c r="J160" s="13">
        <v>18</v>
      </c>
      <c r="K160" t="str" cm="1">
        <f t="array" ref="K160">ADAPTAR(B160)&amp;"."&amp;ADAPTAR(D160)&amp;YEAR(F160)&amp;"@"&amp;VLOOKUP(J160,Dominios!$A$2:$B$30,2,FALSE)</f>
        <v>ana.calderon2001@voipcolombia.co</v>
      </c>
      <c r="L160" s="13">
        <v>18</v>
      </c>
      <c r="M160">
        <f>VLOOKUP(L160,Celulares!$A$2:$B$30,2,FALSE)</f>
        <v>3115092360</v>
      </c>
    </row>
    <row r="161" spans="1:13" ht="15.75" customHeight="1" x14ac:dyDescent="0.25">
      <c r="A161" t="s">
        <v>1596</v>
      </c>
      <c r="B161" s="3" t="s">
        <v>16</v>
      </c>
      <c r="C161" s="3" t="s">
        <v>624</v>
      </c>
      <c r="D161" s="3" t="s">
        <v>725</v>
      </c>
      <c r="E161" s="3" t="s">
        <v>802</v>
      </c>
      <c r="F161" s="5">
        <v>30638</v>
      </c>
      <c r="G161" s="14">
        <f t="shared" ca="1" si="2"/>
        <v>37.649315068493152</v>
      </c>
      <c r="H161" s="3" t="s">
        <v>1199</v>
      </c>
      <c r="I161" t="str" cm="1">
        <f t="array" ref="I161">ADAPTAR(B161)&amp;ADAPTAR(C161)&amp;"_"&amp;ADAPTAR(E161)&amp;F161</f>
        <v>mariaemilia_castro30638</v>
      </c>
      <c r="J161" s="13">
        <v>19</v>
      </c>
      <c r="K161" t="str" cm="1">
        <f t="array" ref="K161">ADAPTAR(B161)&amp;"."&amp;ADAPTAR(D161)&amp;YEAR(F161)&amp;"@"&amp;VLOOKUP(J161,Dominios!$A$2:$B$30,2,FALSE)</f>
        <v>maria.ochoa1983@vpncolombia.com.co</v>
      </c>
      <c r="L161" s="13">
        <v>19</v>
      </c>
      <c r="M161">
        <f>VLOOKUP(L161,Celulares!$A$2:$B$30,2,FALSE)</f>
        <v>3115092352</v>
      </c>
    </row>
    <row r="162" spans="1:13" ht="15.75" customHeight="1" x14ac:dyDescent="0.25">
      <c r="A162" t="s">
        <v>1597</v>
      </c>
      <c r="B162" s="3" t="s">
        <v>912</v>
      </c>
      <c r="C162" s="3" t="s">
        <v>629</v>
      </c>
      <c r="D162" s="3" t="s">
        <v>141</v>
      </c>
      <c r="E162" s="3" t="s">
        <v>787</v>
      </c>
      <c r="F162" s="5">
        <v>28274</v>
      </c>
      <c r="G162" s="14">
        <f t="shared" ca="1" si="2"/>
        <v>44.126027397260273</v>
      </c>
      <c r="H162" s="3" t="s">
        <v>1241</v>
      </c>
      <c r="I162" t="str" cm="1">
        <f t="array" ref="I162">ADAPTAR(B162)&amp;ADAPTAR(C162)&amp;"_"&amp;ADAPTAR(E162)&amp;F162</f>
        <v>dannaisabella_duran28274</v>
      </c>
      <c r="J162" s="13">
        <v>0</v>
      </c>
      <c r="K162" t="str" cm="1">
        <f t="array" ref="K162">ADAPTAR(B162)&amp;"."&amp;ADAPTAR(D162)&amp;YEAR(F162)&amp;"@"&amp;VLOOKUP(J162,Dominios!$A$2:$B$30,2,FALSE)</f>
        <v>danna.galeano1977@auribus.com.co</v>
      </c>
      <c r="L162" s="13">
        <v>0</v>
      </c>
      <c r="M162">
        <f>VLOOKUP(L162,Celulares!$A$2:$B$30,2,FALSE)</f>
        <v>3115114930</v>
      </c>
    </row>
    <row r="163" spans="1:13" ht="15.75" customHeight="1" x14ac:dyDescent="0.25">
      <c r="A163" t="s">
        <v>1598</v>
      </c>
      <c r="B163" s="3" t="s">
        <v>898</v>
      </c>
      <c r="C163" s="3" t="s">
        <v>895</v>
      </c>
      <c r="D163" s="3" t="s">
        <v>693</v>
      </c>
      <c r="E163" s="3" t="s">
        <v>711</v>
      </c>
      <c r="F163" s="5">
        <v>36840</v>
      </c>
      <c r="G163" s="14">
        <f t="shared" ca="1" si="2"/>
        <v>20.657534246575342</v>
      </c>
      <c r="H163" s="3" t="s">
        <v>1182</v>
      </c>
      <c r="I163" t="str" cm="1">
        <f t="array" ref="I163">ADAPTAR(B163)&amp;ADAPTAR(C163)&amp;"_"&amp;ADAPTAR(E163)&amp;F163</f>
        <v>mariaceleste_carvajal36840</v>
      </c>
      <c r="J163" s="13">
        <v>1</v>
      </c>
      <c r="K163" t="str" cm="1">
        <f t="array" ref="K163">ADAPTAR(B163)&amp;"."&amp;ADAPTAR(D163)&amp;YEAR(F163)&amp;"@"&amp;VLOOKUP(J163,Dominios!$A$2:$B$30,2,FALSE)</f>
        <v>maria.delgado2000@colamus.co</v>
      </c>
      <c r="L163" s="13">
        <v>1</v>
      </c>
      <c r="M163">
        <f>VLOOKUP(L163,Celulares!$A$2:$B$30,2,FALSE)</f>
        <v>3115114916</v>
      </c>
    </row>
    <row r="164" spans="1:13" ht="15.75" customHeight="1" x14ac:dyDescent="0.25">
      <c r="A164" t="s">
        <v>1599</v>
      </c>
      <c r="B164" s="3" t="s">
        <v>898</v>
      </c>
      <c r="C164" s="3" t="s">
        <v>25</v>
      </c>
      <c r="D164" s="3" t="s">
        <v>726</v>
      </c>
      <c r="E164" s="3" t="s">
        <v>794</v>
      </c>
      <c r="F164" s="5">
        <v>25632</v>
      </c>
      <c r="G164" s="14">
        <f t="shared" ca="1" si="2"/>
        <v>51.364383561643834</v>
      </c>
      <c r="H164" s="3" t="s">
        <v>1242</v>
      </c>
      <c r="I164" t="str" cm="1">
        <f t="array" ref="I164">ADAPTAR(B164)&amp;ADAPTAR(C164)&amp;"_"&amp;ADAPTAR(E164)&amp;F164</f>
        <v>mariaisabel_sarmiento25632</v>
      </c>
      <c r="J164" s="13">
        <v>2</v>
      </c>
      <c r="K164" t="str" cm="1">
        <f t="array" ref="K164">ADAPTAR(B164)&amp;"."&amp;ADAPTAR(D164)&amp;YEAR(F164)&amp;"@"&amp;VLOOKUP(J164,Dominios!$A$2:$B$30,2,FALSE)</f>
        <v>maria.espinosa1970@colombiamail.co</v>
      </c>
      <c r="L164" s="13">
        <v>2</v>
      </c>
      <c r="M164">
        <f>VLOOKUP(L164,Celulares!$A$2:$B$30,2,FALSE)</f>
        <v>3115114911</v>
      </c>
    </row>
    <row r="165" spans="1:13" ht="15.75" customHeight="1" x14ac:dyDescent="0.25">
      <c r="A165" t="s">
        <v>1600</v>
      </c>
      <c r="B165" s="3" t="s">
        <v>898</v>
      </c>
      <c r="C165" s="3" t="s">
        <v>424</v>
      </c>
      <c r="D165" s="3" t="s">
        <v>727</v>
      </c>
      <c r="E165" s="3" t="s">
        <v>680</v>
      </c>
      <c r="F165" s="5">
        <v>31934</v>
      </c>
      <c r="G165" s="14">
        <f t="shared" ca="1" si="2"/>
        <v>34.098630136986301</v>
      </c>
      <c r="H165" s="3" t="s">
        <v>1243</v>
      </c>
      <c r="I165" t="str" cm="1">
        <f t="array" ref="I165">ADAPTAR(B165)&amp;ADAPTAR(C165)&amp;"_"&amp;ADAPTAR(E165)&amp;F165</f>
        <v>mariajesus_garzon31934</v>
      </c>
      <c r="J165" s="13">
        <v>3</v>
      </c>
      <c r="K165" t="str" cm="1">
        <f t="array" ref="K165">ADAPTAR(B165)&amp;"."&amp;ADAPTAR(D165)&amp;YEAR(F165)&amp;"@"&amp;VLOOKUP(J165,Dominios!$A$2:$B$30,2,FALSE)</f>
        <v>maria.nunez1987@diabunter.co</v>
      </c>
      <c r="L165" s="13">
        <v>3</v>
      </c>
      <c r="M165">
        <f>VLOOKUP(L165,Celulares!$A$2:$B$30,2,FALSE)</f>
        <v>3115114910</v>
      </c>
    </row>
    <row r="166" spans="1:13" ht="15.75" customHeight="1" x14ac:dyDescent="0.25">
      <c r="A166" t="s">
        <v>1601</v>
      </c>
      <c r="B166" s="3" t="s">
        <v>912</v>
      </c>
      <c r="C166" s="3" t="s">
        <v>8</v>
      </c>
      <c r="D166" s="3" t="s">
        <v>728</v>
      </c>
      <c r="E166" s="3" t="s">
        <v>239</v>
      </c>
      <c r="F166" s="5">
        <v>35128</v>
      </c>
      <c r="G166" s="14">
        <f t="shared" ca="1" si="2"/>
        <v>25.347945205479451</v>
      </c>
      <c r="H166" s="3" t="s">
        <v>549</v>
      </c>
      <c r="I166" t="str" cm="1">
        <f t="array" ref="I166">ADAPTAR(B166)&amp;ADAPTAR(C166)&amp;"_"&amp;ADAPTAR(E166)&amp;F166</f>
        <v>dannavalentina_salazar35128</v>
      </c>
      <c r="J166" s="13">
        <v>4</v>
      </c>
      <c r="K166" t="str" cm="1">
        <f t="array" ref="K166">ADAPTAR(B166)&amp;"."&amp;ADAPTAR(D166)&amp;YEAR(F166)&amp;"@"&amp;VLOOKUP(J166,Dominios!$A$2:$B$30,2,FALSE)</f>
        <v>danna.gonzales1996@ebrietas.co</v>
      </c>
      <c r="L166" s="13">
        <v>4</v>
      </c>
      <c r="M166">
        <f>VLOOKUP(L166,Celulares!$A$2:$B$30,2,FALSE)</f>
        <v>3115114909</v>
      </c>
    </row>
    <row r="167" spans="1:13" ht="15.75" customHeight="1" x14ac:dyDescent="0.25">
      <c r="A167" t="s">
        <v>1602</v>
      </c>
      <c r="B167" s="3" t="s">
        <v>898</v>
      </c>
      <c r="C167" s="3" t="s">
        <v>7</v>
      </c>
      <c r="D167" s="3" t="s">
        <v>729</v>
      </c>
      <c r="E167" s="3" t="s">
        <v>806</v>
      </c>
      <c r="F167" s="5">
        <v>34300</v>
      </c>
      <c r="G167" s="14">
        <f t="shared" ca="1" si="2"/>
        <v>27.616438356164384</v>
      </c>
      <c r="H167" s="3" t="s">
        <v>1244</v>
      </c>
      <c r="I167" t="str" cm="1">
        <f t="array" ref="I167">ADAPTAR(B167)&amp;ADAPTAR(C167)&amp;"_"&amp;ADAPTAR(E167)&amp;F167</f>
        <v>mariacamila_vanegas34300</v>
      </c>
      <c r="J167" s="13">
        <v>5</v>
      </c>
      <c r="K167" t="str" cm="1">
        <f t="array" ref="K167">ADAPTAR(B167)&amp;"."&amp;ADAPTAR(D167)&amp;YEAR(F167)&amp;"@"&amp;VLOOKUP(J167,Dominios!$A$2:$B$30,2,FALSE)</f>
        <v>maria.fonseca1993@elsinsonte.co</v>
      </c>
      <c r="L167" s="13">
        <v>5</v>
      </c>
      <c r="M167">
        <f>VLOOKUP(L167,Celulares!$A$2:$B$30,2,FALSE)</f>
        <v>3115060130</v>
      </c>
    </row>
    <row r="168" spans="1:13" ht="15.75" customHeight="1" x14ac:dyDescent="0.25">
      <c r="A168" t="s">
        <v>1603</v>
      </c>
      <c r="B168" s="3" t="s">
        <v>913</v>
      </c>
      <c r="C168" s="3" t="s">
        <v>8</v>
      </c>
      <c r="D168" s="3" t="s">
        <v>730</v>
      </c>
      <c r="E168" s="3" t="s">
        <v>849</v>
      </c>
      <c r="F168" s="5">
        <v>29053</v>
      </c>
      <c r="G168" s="14">
        <f t="shared" ca="1" si="2"/>
        <v>41.991780821917807</v>
      </c>
      <c r="H168" s="3" t="s">
        <v>1189</v>
      </c>
      <c r="I168" t="str" cm="1">
        <f t="array" ref="I168">ADAPTAR(B168)&amp;ADAPTAR(C168)&amp;"_"&amp;ADAPTAR(E168)&amp;F168</f>
        <v>sarahvalentina_guerrero29053</v>
      </c>
      <c r="J168" s="13">
        <v>6</v>
      </c>
      <c r="K168" t="str" cm="1">
        <f t="array" ref="K168">ADAPTAR(B168)&amp;"."&amp;ADAPTAR(D168)&amp;YEAR(F168)&amp;"@"&amp;VLOOKUP(J168,Dominios!$A$2:$B$30,2,FALSE)</f>
        <v>sarah.perez1979@enigmaserver.co</v>
      </c>
      <c r="L168" s="13">
        <v>6</v>
      </c>
      <c r="M168">
        <f>VLOOKUP(L168,Celulares!$A$2:$B$30,2,FALSE)</f>
        <v>3115060125</v>
      </c>
    </row>
    <row r="169" spans="1:13" ht="15.75" customHeight="1" x14ac:dyDescent="0.25">
      <c r="A169" t="s">
        <v>1604</v>
      </c>
      <c r="B169" s="3" t="s">
        <v>914</v>
      </c>
      <c r="C169" s="3" t="s">
        <v>32</v>
      </c>
      <c r="D169" s="3" t="s">
        <v>731</v>
      </c>
      <c r="E169" s="3" t="s">
        <v>775</v>
      </c>
      <c r="F169" s="5">
        <v>34734</v>
      </c>
      <c r="G169" s="14">
        <f t="shared" ca="1" si="2"/>
        <v>26.427397260273974</v>
      </c>
      <c r="H169" s="3" t="s">
        <v>1237</v>
      </c>
      <c r="I169" t="str" cm="1">
        <f t="array" ref="I169">ADAPTAR(B169)&amp;ADAPTAR(C169)&amp;"_"&amp;ADAPTAR(E169)&amp;F169</f>
        <v>sarahelena_bermudez34734</v>
      </c>
      <c r="J169" s="13">
        <v>7</v>
      </c>
      <c r="K169" t="str" cm="1">
        <f t="array" ref="K169">ADAPTAR(B169)&amp;"."&amp;ADAPTAR(D169)&amp;YEAR(F169)&amp;"@"&amp;VLOOKUP(J169,Dominios!$A$2:$B$30,2,FALSE)</f>
        <v>sarah.meza1995@hocknas.co</v>
      </c>
      <c r="L169" s="13">
        <v>7</v>
      </c>
      <c r="M169">
        <f>VLOOKUP(L169,Celulares!$A$2:$B$30,2,FALSE)</f>
        <v>3115060110</v>
      </c>
    </row>
    <row r="170" spans="1:13" ht="15.75" customHeight="1" x14ac:dyDescent="0.25">
      <c r="A170" t="s">
        <v>1605</v>
      </c>
      <c r="B170" s="3" t="s">
        <v>907</v>
      </c>
      <c r="C170" s="3" t="s">
        <v>8</v>
      </c>
      <c r="D170" s="3" t="s">
        <v>732</v>
      </c>
      <c r="E170" s="3" t="s">
        <v>817</v>
      </c>
      <c r="F170" s="5">
        <v>26228</v>
      </c>
      <c r="G170" s="14">
        <f t="shared" ca="1" si="2"/>
        <v>49.731506849315068</v>
      </c>
      <c r="H170" s="3" t="s">
        <v>1245</v>
      </c>
      <c r="I170" t="str" cm="1">
        <f t="array" ref="I170">ADAPTAR(B170)&amp;ADAPTAR(C170)&amp;"_"&amp;ADAPTAR(E170)&amp;F170</f>
        <v>miavalentina_castillo26228</v>
      </c>
      <c r="J170" s="13">
        <v>8</v>
      </c>
      <c r="K170" t="str" cm="1">
        <f t="array" ref="K170">ADAPTAR(B170)&amp;"."&amp;ADAPTAR(D170)&amp;YEAR(F170)&amp;"@"&amp;VLOOKUP(J170,Dominios!$A$2:$B$30,2,FALSE)</f>
        <v>mia.pinzon1971@hostedoceri.co</v>
      </c>
      <c r="L170" s="13">
        <v>8</v>
      </c>
      <c r="M170">
        <f>VLOOKUP(L170,Celulares!$A$2:$B$30,2,FALSE)</f>
        <v>3115060091</v>
      </c>
    </row>
    <row r="171" spans="1:13" ht="15.75" customHeight="1" x14ac:dyDescent="0.25">
      <c r="A171" t="s">
        <v>1606</v>
      </c>
      <c r="B171" s="3" t="s">
        <v>898</v>
      </c>
      <c r="C171" s="3" t="s">
        <v>482</v>
      </c>
      <c r="D171" s="3" t="s">
        <v>733</v>
      </c>
      <c r="E171" s="3" t="s">
        <v>841</v>
      </c>
      <c r="F171" s="5">
        <v>27190</v>
      </c>
      <c r="G171" s="14">
        <f t="shared" ca="1" si="2"/>
        <v>47.095890410958901</v>
      </c>
      <c r="H171" s="3" t="s">
        <v>1246</v>
      </c>
      <c r="I171" t="str" cm="1">
        <f t="array" ref="I171">ADAPTAR(B171)&amp;ADAPTAR(C171)&amp;"_"&amp;ADAPTAR(E171)&amp;F171</f>
        <v>mariaantonia_galvis27190</v>
      </c>
      <c r="J171" s="13">
        <v>9</v>
      </c>
      <c r="K171" t="str" cm="1">
        <f t="array" ref="K171">ADAPTAR(B171)&amp;"."&amp;ADAPTAR(D171)&amp;YEAR(F171)&amp;"@"&amp;VLOOKUP(J171,Dominios!$A$2:$B$30,2,FALSE)</f>
        <v>maria.meneses1974@libertas.com.co</v>
      </c>
      <c r="L171" s="13">
        <v>9</v>
      </c>
      <c r="M171">
        <f>VLOOKUP(L171,Celulares!$A$2:$B$30,2,FALSE)</f>
        <v>3115060080</v>
      </c>
    </row>
    <row r="172" spans="1:13" ht="15.75" customHeight="1" x14ac:dyDescent="0.25">
      <c r="A172" t="s">
        <v>1607</v>
      </c>
      <c r="B172" s="3" t="s">
        <v>16</v>
      </c>
      <c r="C172" s="3" t="s">
        <v>896</v>
      </c>
      <c r="D172" s="3" t="s">
        <v>734</v>
      </c>
      <c r="E172" s="3" t="s">
        <v>765</v>
      </c>
      <c r="F172" s="5">
        <v>27712</v>
      </c>
      <c r="G172" s="14">
        <f t="shared" ca="1" si="2"/>
        <v>45.665753424657531</v>
      </c>
      <c r="H172" s="3" t="s">
        <v>588</v>
      </c>
      <c r="I172" t="str" cm="1">
        <f t="array" ref="I172">ADAPTAR(B172)&amp;ADAPTAR(C172)&amp;"_"&amp;ADAPTAR(E172)&amp;F172</f>
        <v>mariapaz_estrada27712</v>
      </c>
      <c r="J172" s="13">
        <v>10</v>
      </c>
      <c r="K172" t="str" cm="1">
        <f t="array" ref="K172">ADAPTAR(B172)&amp;"."&amp;ADAPTAR(D172)&amp;YEAR(F172)&amp;"@"&amp;VLOOKUP(J172,Dominios!$A$2:$B$30,2,FALSE)</f>
        <v>maria.ramirez1975@nascitur.com.co</v>
      </c>
      <c r="L172" s="13">
        <v>10</v>
      </c>
      <c r="M172">
        <f>VLOOKUP(L172,Celulares!$A$2:$B$30,2,FALSE)</f>
        <v>3115114385</v>
      </c>
    </row>
    <row r="173" spans="1:13" ht="15.75" customHeight="1" x14ac:dyDescent="0.25">
      <c r="A173" t="s">
        <v>1608</v>
      </c>
      <c r="B173" s="3" t="s">
        <v>324</v>
      </c>
      <c r="C173" s="3" t="s">
        <v>6</v>
      </c>
      <c r="D173" s="3" t="s">
        <v>735</v>
      </c>
      <c r="E173" s="3" t="s">
        <v>717</v>
      </c>
      <c r="F173" s="5">
        <v>35667</v>
      </c>
      <c r="G173" s="14">
        <f t="shared" ca="1" si="2"/>
        <v>23.87123287671233</v>
      </c>
      <c r="H173" s="3" t="s">
        <v>1247</v>
      </c>
      <c r="I173" t="str" cm="1">
        <f t="array" ref="I173">ADAPTAR(B173)&amp;ADAPTAR(C173)&amp;"_"&amp;ADAPTAR(E173)&amp;F173</f>
        <v>sarasofia_vasquez35667</v>
      </c>
      <c r="J173" s="13">
        <v>11</v>
      </c>
      <c r="K173" t="str" cm="1">
        <f t="array" ref="K173">ADAPTAR(B173)&amp;"."&amp;ADAPTAR(D173)&amp;YEAR(F173)&amp;"@"&amp;VLOOKUP(J173,Dominios!$A$2:$B$30,2,FALSE)</f>
        <v>sara.romero1997@nemesis.ml</v>
      </c>
      <c r="L173" s="13">
        <v>11</v>
      </c>
      <c r="M173">
        <f>VLOOKUP(L173,Celulares!$A$2:$B$30,2,FALSE)</f>
        <v>3115114360</v>
      </c>
    </row>
    <row r="174" spans="1:13" ht="15.75" customHeight="1" x14ac:dyDescent="0.25">
      <c r="A174" t="s">
        <v>1609</v>
      </c>
      <c r="B174" s="3" t="s">
        <v>911</v>
      </c>
      <c r="C174" s="3" t="s">
        <v>31</v>
      </c>
      <c r="D174" s="3" t="s">
        <v>675</v>
      </c>
      <c r="E174" s="3" t="s">
        <v>757</v>
      </c>
      <c r="F174" s="5">
        <v>32834</v>
      </c>
      <c r="G174" s="14">
        <f t="shared" ca="1" si="2"/>
        <v>31.632876712328766</v>
      </c>
      <c r="H174" s="3" t="s">
        <v>1248</v>
      </c>
      <c r="I174" t="str" cm="1">
        <f t="array" ref="I174">ADAPTAR(B174)&amp;ADAPTAR(C174)&amp;"_"&amp;ADAPTAR(E174)&amp;F174</f>
        <v>victoriapaola_arias32834</v>
      </c>
      <c r="J174" s="13">
        <v>12</v>
      </c>
      <c r="K174" t="str" cm="1">
        <f t="array" ref="K174">ADAPTAR(B174)&amp;"."&amp;ADAPTAR(D174)&amp;YEAR(F174)&amp;"@"&amp;VLOOKUP(J174,Dominios!$A$2:$B$30,2,FALSE)</f>
        <v>victoria.rincon1989@nunquam.com.co</v>
      </c>
      <c r="L174" s="13">
        <v>12</v>
      </c>
      <c r="M174">
        <f>VLOOKUP(L174,Celulares!$A$2:$B$30,2,FALSE)</f>
        <v>3115093653</v>
      </c>
    </row>
    <row r="175" spans="1:13" ht="15.75" customHeight="1" x14ac:dyDescent="0.25">
      <c r="A175" t="s">
        <v>1610</v>
      </c>
      <c r="B175" s="3" t="s">
        <v>915</v>
      </c>
      <c r="C175" s="3" t="s">
        <v>6</v>
      </c>
      <c r="D175" s="3" t="s">
        <v>736</v>
      </c>
      <c r="E175" s="3" t="s">
        <v>843</v>
      </c>
      <c r="F175" s="5">
        <v>33988</v>
      </c>
      <c r="G175" s="14">
        <f t="shared" ca="1" si="2"/>
        <v>28.471232876712328</v>
      </c>
      <c r="H175" s="3" t="s">
        <v>1180</v>
      </c>
      <c r="I175" t="str" cm="1">
        <f t="array" ref="I175">ADAPTAR(B175)&amp;ADAPTAR(C175)&amp;"_"&amp;ADAPTAR(E175)&amp;F175</f>
        <v>paulasofia_velasco33988</v>
      </c>
      <c r="J175" s="13">
        <v>13</v>
      </c>
      <c r="K175" t="str" cm="1">
        <f t="array" ref="K175">ADAPTAR(B175)&amp;"."&amp;ADAPTAR(D175)&amp;YEAR(F175)&amp;"@"&amp;VLOOKUP(J175,Dominios!$A$2:$B$30,2,FALSE)</f>
        <v>paula.bohorquez1993@sempiternam.co</v>
      </c>
      <c r="L175" s="13">
        <v>13</v>
      </c>
      <c r="M175">
        <f>VLOOKUP(L175,Celulares!$A$2:$B$30,2,FALSE)</f>
        <v>3115093598</v>
      </c>
    </row>
    <row r="176" spans="1:13" ht="15.75" customHeight="1" x14ac:dyDescent="0.25">
      <c r="A176" t="s">
        <v>1611</v>
      </c>
      <c r="B176" s="3" t="s">
        <v>916</v>
      </c>
      <c r="C176" s="3" t="s">
        <v>8</v>
      </c>
      <c r="D176" s="3" t="s">
        <v>737</v>
      </c>
      <c r="E176" s="3" t="s">
        <v>807</v>
      </c>
      <c r="F176" s="5">
        <v>36606</v>
      </c>
      <c r="G176" s="14">
        <f t="shared" ca="1" si="2"/>
        <v>21.298630136986301</v>
      </c>
      <c r="H176" s="3" t="s">
        <v>1249</v>
      </c>
      <c r="I176" t="str" cm="1">
        <f t="array" ref="I176">ADAPTAR(B176)&amp;ADAPTAR(C176)&amp;"_"&amp;ADAPTAR(E176)&amp;F176</f>
        <v>zoevalentina_ariza36606</v>
      </c>
      <c r="J176" s="13">
        <v>14</v>
      </c>
      <c r="K176" t="str" cm="1">
        <f t="array" ref="K176">ADAPTAR(B176)&amp;"."&amp;ADAPTAR(D176)&amp;YEAR(F176)&amp;"@"&amp;VLOOKUP(J176,Dominios!$A$2:$B$30,2,FALSE)</f>
        <v>zoe.campo2000@sk9.co</v>
      </c>
      <c r="L176" s="13">
        <v>14</v>
      </c>
      <c r="M176">
        <f>VLOOKUP(L176,Celulares!$A$2:$B$30,2,FALSE)</f>
        <v>3115093583</v>
      </c>
    </row>
    <row r="177" spans="1:13" ht="15.75" customHeight="1" x14ac:dyDescent="0.25">
      <c r="A177" t="s">
        <v>1612</v>
      </c>
      <c r="B177" s="3" t="s">
        <v>910</v>
      </c>
      <c r="C177" s="3" t="s">
        <v>17</v>
      </c>
      <c r="D177" s="3" t="s">
        <v>738</v>
      </c>
      <c r="E177" s="3" t="s">
        <v>731</v>
      </c>
      <c r="F177" s="5">
        <v>33581</v>
      </c>
      <c r="G177" s="14">
        <f t="shared" ca="1" si="2"/>
        <v>29.586301369863012</v>
      </c>
      <c r="H177" s="3" t="s">
        <v>565</v>
      </c>
      <c r="I177" t="str" cm="1">
        <f t="array" ref="I177">ADAPTAR(B177)&amp;ADAPTAR(C177)&amp;"_"&amp;ADAPTAR(E177)&amp;F177</f>
        <v>miafernanda_meza33581</v>
      </c>
      <c r="J177" s="13">
        <v>15</v>
      </c>
      <c r="K177" t="str" cm="1">
        <f t="array" ref="K177">ADAPTAR(B177)&amp;"."&amp;ADAPTAR(D177)&amp;YEAR(F177)&amp;"@"&amp;VLOOKUP(J177,Dominios!$A$2:$B$30,2,FALSE)</f>
        <v>mia.polo1991@socialmediacolombia.com.co</v>
      </c>
      <c r="L177" s="13">
        <v>15</v>
      </c>
      <c r="M177">
        <f>VLOOKUP(L177,Celulares!$A$2:$B$30,2,FALSE)</f>
        <v>3115092386</v>
      </c>
    </row>
    <row r="178" spans="1:13" ht="15.75" customHeight="1" x14ac:dyDescent="0.25">
      <c r="A178" t="s">
        <v>1613</v>
      </c>
      <c r="B178" s="3" t="s">
        <v>620</v>
      </c>
      <c r="C178" s="3" t="s">
        <v>897</v>
      </c>
      <c r="D178" s="3" t="s">
        <v>739</v>
      </c>
      <c r="E178" s="3" t="s">
        <v>751</v>
      </c>
      <c r="F178" s="5">
        <v>32490</v>
      </c>
      <c r="G178" s="14">
        <f t="shared" ca="1" si="2"/>
        <v>32.575342465753423</v>
      </c>
      <c r="H178" s="3" t="s">
        <v>1171</v>
      </c>
      <c r="I178" t="str" cm="1">
        <f t="array" ref="I178">ADAPTAR(B178)&amp;ADAPTAR(C178)&amp;"_"&amp;ADAPTAR(E178)&amp;F178</f>
        <v>victoriamargarita_figueroa32490</v>
      </c>
      <c r="J178" s="13">
        <v>16</v>
      </c>
      <c r="K178" t="str" cm="1">
        <f t="array" ref="K178">ADAPTAR(B178)&amp;"."&amp;ADAPTAR(D178)&amp;YEAR(F178)&amp;"@"&amp;VLOOKUP(J178,Dominios!$A$2:$B$30,2,FALSE)</f>
        <v>victoria.becerra1988@tecnicoensistemas.com.co</v>
      </c>
      <c r="L178" s="13">
        <v>16</v>
      </c>
      <c r="M178">
        <f>VLOOKUP(L178,Celulares!$A$2:$B$30,2,FALSE)</f>
        <v>3115092375</v>
      </c>
    </row>
    <row r="179" spans="1:13" ht="15.75" customHeight="1" x14ac:dyDescent="0.25">
      <c r="A179" t="s">
        <v>1614</v>
      </c>
      <c r="B179" s="3" t="s">
        <v>16</v>
      </c>
      <c r="C179" s="3" t="s">
        <v>19</v>
      </c>
      <c r="D179" s="3" t="s">
        <v>740</v>
      </c>
      <c r="E179" s="3" t="s">
        <v>795</v>
      </c>
      <c r="F179" s="5">
        <v>28436</v>
      </c>
      <c r="G179" s="14">
        <f t="shared" ca="1" si="2"/>
        <v>43.682191780821917</v>
      </c>
      <c r="H179" s="3" t="s">
        <v>569</v>
      </c>
      <c r="I179" t="str" cm="1">
        <f t="array" ref="I179">ADAPTAR(B179)&amp;ADAPTAR(C179)&amp;"_"&amp;ADAPTAR(E179)&amp;F179</f>
        <v>mariapaula_hoyos28436</v>
      </c>
      <c r="J179" s="13">
        <v>17</v>
      </c>
      <c r="K179" t="str" cm="1">
        <f t="array" ref="K179">ADAPTAR(B179)&amp;"."&amp;ADAPTAR(D179)&amp;YEAR(F179)&amp;"@"&amp;VLOOKUP(J179,Dominios!$A$2:$B$30,2,FALSE)</f>
        <v>maria.ortega1977@totum.com.co</v>
      </c>
      <c r="L179" s="13">
        <v>17</v>
      </c>
      <c r="M179">
        <f>VLOOKUP(L179,Celulares!$A$2:$B$30,2,FALSE)</f>
        <v>3115092369</v>
      </c>
    </row>
    <row r="180" spans="1:13" ht="15.75" customHeight="1" x14ac:dyDescent="0.25">
      <c r="A180" t="s">
        <v>1615</v>
      </c>
      <c r="B180" s="3" t="s">
        <v>917</v>
      </c>
      <c r="C180" s="3" t="s">
        <v>17</v>
      </c>
      <c r="D180" s="3" t="s">
        <v>741</v>
      </c>
      <c r="E180" s="3" t="s">
        <v>682</v>
      </c>
      <c r="F180" s="5">
        <v>26981</v>
      </c>
      <c r="G180" s="14">
        <f t="shared" ca="1" si="2"/>
        <v>47.668493150684931</v>
      </c>
      <c r="H180" s="3" t="s">
        <v>1227</v>
      </c>
      <c r="I180" t="str" cm="1">
        <f t="array" ref="I180">ADAPTAR(B180)&amp;ADAPTAR(C180)&amp;"_"&amp;ADAPTAR(E180)&amp;F180</f>
        <v>luisafernanda_orozco26981</v>
      </c>
      <c r="J180" s="13">
        <v>18</v>
      </c>
      <c r="K180" t="str" cm="1">
        <f t="array" ref="K180">ADAPTAR(B180)&amp;"."&amp;ADAPTAR(D180)&amp;YEAR(F180)&amp;"@"&amp;VLOOKUP(J180,Dominios!$A$2:$B$30,2,FALSE)</f>
        <v>luisa.caro1973@voipcolombia.co</v>
      </c>
      <c r="L180" s="13">
        <v>18</v>
      </c>
      <c r="M180">
        <f>VLOOKUP(L180,Celulares!$A$2:$B$30,2,FALSE)</f>
        <v>3115092360</v>
      </c>
    </row>
    <row r="181" spans="1:13" ht="15.75" customHeight="1" x14ac:dyDescent="0.25">
      <c r="A181" t="s">
        <v>1616</v>
      </c>
      <c r="B181" s="3" t="s">
        <v>20</v>
      </c>
      <c r="C181" s="3" t="s">
        <v>16</v>
      </c>
      <c r="D181" s="3" t="s">
        <v>225</v>
      </c>
      <c r="E181" s="3" t="s">
        <v>832</v>
      </c>
      <c r="F181" s="5">
        <v>29331</v>
      </c>
      <c r="G181" s="14">
        <f t="shared" ca="1" si="2"/>
        <v>41.230136986301368</v>
      </c>
      <c r="H181" s="3" t="s">
        <v>1250</v>
      </c>
      <c r="I181" t="str" cm="1">
        <f t="array" ref="I181">ADAPTAR(B181)&amp;ADAPTAR(C181)&amp;"_"&amp;ADAPTAR(E181)&amp;F181</f>
        <v>anamaria_cardenas29331</v>
      </c>
      <c r="J181" s="13">
        <v>19</v>
      </c>
      <c r="K181" t="str" cm="1">
        <f t="array" ref="K181">ADAPTAR(B181)&amp;"."&amp;ADAPTAR(D181)&amp;YEAR(F181)&amp;"@"&amp;VLOOKUP(J181,Dominios!$A$2:$B$30,2,FALSE)</f>
        <v>ana.vargas1980@vpncolombia.com.co</v>
      </c>
      <c r="L181" s="13">
        <v>19</v>
      </c>
      <c r="M181">
        <f>VLOOKUP(L181,Celulares!$A$2:$B$30,2,FALSE)</f>
        <v>3115092352</v>
      </c>
    </row>
    <row r="182" spans="1:13" ht="15.75" customHeight="1" x14ac:dyDescent="0.25">
      <c r="A182" t="s">
        <v>1617</v>
      </c>
      <c r="B182" s="3" t="s">
        <v>918</v>
      </c>
      <c r="C182" s="3" t="s">
        <v>629</v>
      </c>
      <c r="D182" s="3" t="s">
        <v>243</v>
      </c>
      <c r="E182" s="3" t="s">
        <v>850</v>
      </c>
      <c r="F182" s="5">
        <v>35720</v>
      </c>
      <c r="G182" s="14">
        <f t="shared" ca="1" si="2"/>
        <v>23.726027397260275</v>
      </c>
      <c r="H182" s="3" t="s">
        <v>1251</v>
      </c>
      <c r="I182" t="str" cm="1">
        <f t="array" ref="I182">ADAPTAR(B182)&amp;ADAPTAR(C182)&amp;"_"&amp;ADAPTAR(E182)&amp;F182</f>
        <v>sofiaisabella_nino35720</v>
      </c>
      <c r="J182" s="13">
        <v>0</v>
      </c>
      <c r="K182" t="str" cm="1">
        <f t="array" ref="K182">ADAPTAR(B182)&amp;"."&amp;ADAPTAR(D182)&amp;YEAR(F182)&amp;"@"&amp;VLOOKUP(J182,Dominios!$A$2:$B$30,2,FALSE)</f>
        <v>sofia.cortes1997@auribus.com.co</v>
      </c>
      <c r="L182" s="13">
        <v>0</v>
      </c>
      <c r="M182">
        <f>VLOOKUP(L182,Celulares!$A$2:$B$30,2,FALSE)</f>
        <v>3115114930</v>
      </c>
    </row>
    <row r="183" spans="1:13" ht="15.75" customHeight="1" x14ac:dyDescent="0.25">
      <c r="A183" t="s">
        <v>1618</v>
      </c>
      <c r="B183" s="3" t="s">
        <v>903</v>
      </c>
      <c r="C183" s="3" t="s">
        <v>629</v>
      </c>
      <c r="D183" s="3" t="s">
        <v>676</v>
      </c>
      <c r="E183" s="3" t="s">
        <v>769</v>
      </c>
      <c r="F183" s="5">
        <v>32091</v>
      </c>
      <c r="G183" s="14">
        <f t="shared" ca="1" si="2"/>
        <v>33.668493150684931</v>
      </c>
      <c r="H183" s="3" t="s">
        <v>1218</v>
      </c>
      <c r="I183" t="str" cm="1">
        <f t="array" ref="I183">ADAPTAR(B183)&amp;ADAPTAR(C183)&amp;"_"&amp;ADAPTAR(E183)&amp;F183</f>
        <v>emmaisabella_angulo32091</v>
      </c>
      <c r="J183" s="13">
        <v>1</v>
      </c>
      <c r="K183" t="str" cm="1">
        <f t="array" ref="K183">ADAPTAR(B183)&amp;"."&amp;ADAPTAR(D183)&amp;YEAR(F183)&amp;"@"&amp;VLOOKUP(J183,Dominios!$A$2:$B$30,2,FALSE)</f>
        <v>emma.rios1987@colamus.co</v>
      </c>
      <c r="L183" s="13">
        <v>1</v>
      </c>
      <c r="M183">
        <f>VLOOKUP(L183,Celulares!$A$2:$B$30,2,FALSE)</f>
        <v>3115114916</v>
      </c>
    </row>
    <row r="184" spans="1:13" ht="15.75" customHeight="1" x14ac:dyDescent="0.25">
      <c r="A184" t="s">
        <v>1619</v>
      </c>
      <c r="B184" s="3" t="s">
        <v>620</v>
      </c>
      <c r="C184" s="3" t="s">
        <v>897</v>
      </c>
      <c r="D184" s="3" t="s">
        <v>742</v>
      </c>
      <c r="E184" s="3" t="s">
        <v>673</v>
      </c>
      <c r="F184" s="5">
        <v>32301</v>
      </c>
      <c r="G184" s="14">
        <f t="shared" ca="1" si="2"/>
        <v>33.093150684931508</v>
      </c>
      <c r="H184" s="3" t="s">
        <v>1200</v>
      </c>
      <c r="I184" t="str" cm="1">
        <f t="array" ref="I184">ADAPTAR(B184)&amp;ADAPTAR(C184)&amp;"_"&amp;ADAPTAR(E184)&amp;F184</f>
        <v>victoriamargarita_molina32301</v>
      </c>
      <c r="J184" s="13">
        <v>2</v>
      </c>
      <c r="K184" t="str" cm="1">
        <f t="array" ref="K184">ADAPTAR(B184)&amp;"."&amp;ADAPTAR(D184)&amp;YEAR(F184)&amp;"@"&amp;VLOOKUP(J184,Dominios!$A$2:$B$30,2,FALSE)</f>
        <v>victoria.florez1988@colombiamail.co</v>
      </c>
      <c r="L184" s="13">
        <v>2</v>
      </c>
      <c r="M184">
        <f>VLOOKUP(L184,Celulares!$A$2:$B$30,2,FALSE)</f>
        <v>3115114911</v>
      </c>
    </row>
    <row r="185" spans="1:13" ht="15.75" customHeight="1" x14ac:dyDescent="0.25">
      <c r="A185" t="s">
        <v>1620</v>
      </c>
      <c r="B185" s="3" t="s">
        <v>6</v>
      </c>
      <c r="C185" s="3" t="s">
        <v>8</v>
      </c>
      <c r="D185" s="3" t="s">
        <v>477</v>
      </c>
      <c r="E185" s="3" t="s">
        <v>783</v>
      </c>
      <c r="F185" s="5">
        <v>30100</v>
      </c>
      <c r="G185" s="14">
        <f t="shared" ca="1" si="2"/>
        <v>39.123287671232873</v>
      </c>
      <c r="H185" s="3" t="s">
        <v>547</v>
      </c>
      <c r="I185" t="str" cm="1">
        <f t="array" ref="I185">ADAPTAR(B185)&amp;ADAPTAR(C185)&amp;"_"&amp;ADAPTAR(E185)&amp;F185</f>
        <v>sofiavalentina_pena30100</v>
      </c>
      <c r="J185" s="13">
        <v>3</v>
      </c>
      <c r="K185" t="str" cm="1">
        <f t="array" ref="K185">ADAPTAR(B185)&amp;"."&amp;ADAPTAR(D185)&amp;YEAR(F185)&amp;"@"&amp;VLOOKUP(J185,Dominios!$A$2:$B$30,2,FALSE)</f>
        <v>sofia.bedoya1982@diabunter.co</v>
      </c>
      <c r="L185" s="13">
        <v>3</v>
      </c>
      <c r="M185">
        <f>VLOOKUP(L185,Celulares!$A$2:$B$30,2,FALSE)</f>
        <v>3115114910</v>
      </c>
    </row>
    <row r="186" spans="1:13" ht="15.75" customHeight="1" x14ac:dyDescent="0.25">
      <c r="A186" t="s">
        <v>1621</v>
      </c>
      <c r="B186" s="3" t="s">
        <v>901</v>
      </c>
      <c r="C186" s="3" t="s">
        <v>893</v>
      </c>
      <c r="D186" s="3" t="s">
        <v>743</v>
      </c>
      <c r="E186" s="3" t="s">
        <v>235</v>
      </c>
      <c r="F186" s="5">
        <v>28689</v>
      </c>
      <c r="G186" s="14">
        <f t="shared" ca="1" si="2"/>
        <v>42.989041095890414</v>
      </c>
      <c r="H186" s="3" t="s">
        <v>1252</v>
      </c>
      <c r="I186" t="str" cm="1">
        <f t="array" ref="I186">ADAPTAR(B186)&amp;ADAPTAR(C186)&amp;"_"&amp;ADAPTAR(E186)&amp;F186</f>
        <v>paolaesther_giraldo28689</v>
      </c>
      <c r="J186" s="13">
        <v>4</v>
      </c>
      <c r="K186" t="str" cm="1">
        <f t="array" ref="K186">ADAPTAR(B186)&amp;"."&amp;ADAPTAR(D186)&amp;YEAR(F186)&amp;"@"&amp;VLOOKUP(J186,Dominios!$A$2:$B$30,2,FALSE)</f>
        <v>paola.salcedo1978@ebrietas.co</v>
      </c>
      <c r="L186" s="13">
        <v>4</v>
      </c>
      <c r="M186">
        <f>VLOOKUP(L186,Celulares!$A$2:$B$30,2,FALSE)</f>
        <v>3115114909</v>
      </c>
    </row>
    <row r="187" spans="1:13" ht="15.75" customHeight="1" x14ac:dyDescent="0.25">
      <c r="A187" t="s">
        <v>1622</v>
      </c>
      <c r="B187" s="3" t="s">
        <v>919</v>
      </c>
      <c r="C187" s="3" t="s">
        <v>894</v>
      </c>
      <c r="D187" s="3" t="s">
        <v>99</v>
      </c>
      <c r="E187" s="3" t="s">
        <v>715</v>
      </c>
      <c r="F187" s="5">
        <v>37205</v>
      </c>
      <c r="G187" s="14">
        <f t="shared" ca="1" si="2"/>
        <v>19.657534246575342</v>
      </c>
      <c r="H187" s="3" t="s">
        <v>588</v>
      </c>
      <c r="I187" t="str" cm="1">
        <f t="array" ref="I187">ADAPTAR(B187)&amp;ADAPTAR(C187)&amp;"_"&amp;ADAPTAR(E187)&amp;F187</f>
        <v>emiliaignacia_garcia37205</v>
      </c>
      <c r="J187" s="13">
        <v>5</v>
      </c>
      <c r="K187" t="str" cm="1">
        <f t="array" ref="K187">ADAPTAR(B187)&amp;"."&amp;ADAPTAR(D187)&amp;YEAR(F187)&amp;"@"&amp;VLOOKUP(J187,Dominios!$A$2:$B$30,2,FALSE)</f>
        <v>emilia.avila2001@elsinsonte.co</v>
      </c>
      <c r="L187" s="13">
        <v>5</v>
      </c>
      <c r="M187">
        <f>VLOOKUP(L187,Celulares!$A$2:$B$30,2,FALSE)</f>
        <v>3115060130</v>
      </c>
    </row>
    <row r="188" spans="1:13" ht="15.75" customHeight="1" x14ac:dyDescent="0.25">
      <c r="A188" t="s">
        <v>1623</v>
      </c>
      <c r="B188" s="3" t="s">
        <v>920</v>
      </c>
      <c r="C188" s="3" t="s">
        <v>6</v>
      </c>
      <c r="D188" s="3" t="s">
        <v>220</v>
      </c>
      <c r="E188" s="3" t="s">
        <v>799</v>
      </c>
      <c r="F188" s="5">
        <v>27290</v>
      </c>
      <c r="G188" s="14">
        <f t="shared" ca="1" si="2"/>
        <v>46.821917808219176</v>
      </c>
      <c r="H188" s="3" t="s">
        <v>1204</v>
      </c>
      <c r="I188" t="str" cm="1">
        <f t="array" ref="I188">ADAPTAR(B188)&amp;ADAPTAR(C188)&amp;"_"&amp;ADAPTAR(E188)&amp;F188</f>
        <v>emmasofia_benavides27290</v>
      </c>
      <c r="J188" s="13">
        <v>6</v>
      </c>
      <c r="K188" t="str" cm="1">
        <f t="array" ref="K188">ADAPTAR(B188)&amp;"."&amp;ADAPTAR(D188)&amp;YEAR(F188)&amp;"@"&amp;VLOOKUP(J188,Dominios!$A$2:$B$30,2,FALSE)</f>
        <v>emma.castaneda1974@enigmaserver.co</v>
      </c>
      <c r="L188" s="13">
        <v>6</v>
      </c>
      <c r="M188">
        <f>VLOOKUP(L188,Celulares!$A$2:$B$30,2,FALSE)</f>
        <v>3115060125</v>
      </c>
    </row>
    <row r="189" spans="1:13" ht="15.75" customHeight="1" x14ac:dyDescent="0.25">
      <c r="A189" t="s">
        <v>1624</v>
      </c>
      <c r="B189" s="3" t="s">
        <v>908</v>
      </c>
      <c r="C189" s="3" t="s">
        <v>19</v>
      </c>
      <c r="D189" s="3" t="s">
        <v>744</v>
      </c>
      <c r="E189" s="3" t="s">
        <v>471</v>
      </c>
      <c r="F189" s="5">
        <v>35731</v>
      </c>
      <c r="G189" s="14">
        <f t="shared" ca="1" si="2"/>
        <v>23.695890410958903</v>
      </c>
      <c r="H189" s="3" t="s">
        <v>1214</v>
      </c>
      <c r="I189" t="str" cm="1">
        <f t="array" ref="I189">ADAPTAR(B189)&amp;ADAPTAR(C189)&amp;"_"&amp;ADAPTAR(E189)&amp;F189</f>
        <v>anapaula_fernandez35731</v>
      </c>
      <c r="J189" s="13">
        <v>7</v>
      </c>
      <c r="K189" t="str" cm="1">
        <f t="array" ref="K189">ADAPTAR(B189)&amp;"."&amp;ADAPTAR(D189)&amp;YEAR(F189)&amp;"@"&amp;VLOOKUP(J189,Dominios!$A$2:$B$30,2,FALSE)</f>
        <v>ana.pacheco1997@hocknas.co</v>
      </c>
      <c r="L189" s="13">
        <v>7</v>
      </c>
      <c r="M189">
        <f>VLOOKUP(L189,Celulares!$A$2:$B$30,2,FALSE)</f>
        <v>3115060110</v>
      </c>
    </row>
    <row r="190" spans="1:13" ht="15.75" customHeight="1" x14ac:dyDescent="0.25">
      <c r="A190" t="s">
        <v>1625</v>
      </c>
      <c r="B190" s="3" t="s">
        <v>903</v>
      </c>
      <c r="C190" s="3" t="s">
        <v>620</v>
      </c>
      <c r="D190" s="3" t="s">
        <v>221</v>
      </c>
      <c r="E190" s="3" t="s">
        <v>681</v>
      </c>
      <c r="F190" s="5">
        <v>29369</v>
      </c>
      <c r="G190" s="14">
        <f t="shared" ca="1" si="2"/>
        <v>41.126027397260273</v>
      </c>
      <c r="H190" s="3" t="s">
        <v>1242</v>
      </c>
      <c r="I190" t="str" cm="1">
        <f t="array" ref="I190">ADAPTAR(B190)&amp;ADAPTAR(C190)&amp;"_"&amp;ADAPTAR(E190)&amp;F190</f>
        <v>emmavictoria_reyes29369</v>
      </c>
      <c r="J190" s="13">
        <v>8</v>
      </c>
      <c r="K190" t="str" cm="1">
        <f t="array" ref="K190">ADAPTAR(B190)&amp;"."&amp;ADAPTAR(D190)&amp;YEAR(F190)&amp;"@"&amp;VLOOKUP(J190,Dominios!$A$2:$B$30,2,FALSE)</f>
        <v>emma.silva1980@hostedoceri.co</v>
      </c>
      <c r="L190" s="13">
        <v>8</v>
      </c>
      <c r="M190">
        <f>VLOOKUP(L190,Celulares!$A$2:$B$30,2,FALSE)</f>
        <v>3115060091</v>
      </c>
    </row>
    <row r="191" spans="1:13" ht="15.75" customHeight="1" x14ac:dyDescent="0.25">
      <c r="A191" t="s">
        <v>1626</v>
      </c>
      <c r="B191" s="3" t="s">
        <v>900</v>
      </c>
      <c r="C191" s="3" t="s">
        <v>6</v>
      </c>
      <c r="D191" s="3" t="s">
        <v>745</v>
      </c>
      <c r="E191" s="3" t="s">
        <v>736</v>
      </c>
      <c r="F191" s="5">
        <v>37114</v>
      </c>
      <c r="G191" s="14">
        <f t="shared" ca="1" si="2"/>
        <v>19.906849315068492</v>
      </c>
      <c r="H191" s="3" t="s">
        <v>575</v>
      </c>
      <c r="I191" t="str" cm="1">
        <f t="array" ref="I191">ADAPTAR(B191)&amp;ADAPTAR(C191)&amp;"_"&amp;ADAPTAR(E191)&amp;F191</f>
        <v>emilysofia_bohorquez37114</v>
      </c>
      <c r="J191" s="13">
        <v>9</v>
      </c>
      <c r="K191" t="str" cm="1">
        <f t="array" ref="K191">ADAPTAR(B191)&amp;"."&amp;ADAPTAR(D191)&amp;YEAR(F191)&amp;"@"&amp;VLOOKUP(J191,Dominios!$A$2:$B$30,2,FALSE)</f>
        <v>emily.zambrano2001@libertas.com.co</v>
      </c>
      <c r="L191" s="13">
        <v>9</v>
      </c>
      <c r="M191">
        <f>VLOOKUP(L191,Celulares!$A$2:$B$30,2,FALSE)</f>
        <v>3115060080</v>
      </c>
    </row>
    <row r="192" spans="1:13" ht="15.75" customHeight="1" x14ac:dyDescent="0.25">
      <c r="A192" t="s">
        <v>1627</v>
      </c>
      <c r="B192" s="3" t="s">
        <v>899</v>
      </c>
      <c r="C192" s="3" t="s">
        <v>629</v>
      </c>
      <c r="D192" s="3" t="s">
        <v>746</v>
      </c>
      <c r="E192" s="3" t="s">
        <v>704</v>
      </c>
      <c r="F192" s="5">
        <v>32863</v>
      </c>
      <c r="G192" s="14">
        <f t="shared" ca="1" si="2"/>
        <v>31.553424657534247</v>
      </c>
      <c r="H192" s="3" t="s">
        <v>606</v>
      </c>
      <c r="I192" t="str" cm="1">
        <f t="array" ref="I192">ADAPTAR(B192)&amp;ADAPTAR(C192)&amp;"_"&amp;ADAPTAR(E192)&amp;F192</f>
        <v>saraisabella_patino32863</v>
      </c>
      <c r="J192" s="13">
        <v>10</v>
      </c>
      <c r="K192" t="str" cm="1">
        <f t="array" ref="K192">ADAPTAR(B192)&amp;"."&amp;ADAPTAR(D192)&amp;YEAR(F192)&amp;"@"&amp;VLOOKUP(J192,Dominios!$A$2:$B$30,2,FALSE)</f>
        <v>sara.arenas1989@nascitur.com.co</v>
      </c>
      <c r="L192" s="13">
        <v>10</v>
      </c>
      <c r="M192">
        <f>VLOOKUP(L192,Celulares!$A$2:$B$30,2,FALSE)</f>
        <v>3115114385</v>
      </c>
    </row>
    <row r="193" spans="1:13" ht="15.75" customHeight="1" x14ac:dyDescent="0.25">
      <c r="A193" t="s">
        <v>1628</v>
      </c>
      <c r="B193" s="3" t="s">
        <v>898</v>
      </c>
      <c r="C193" s="3" t="s">
        <v>620</v>
      </c>
      <c r="D193" s="3" t="s">
        <v>747</v>
      </c>
      <c r="E193" s="3" t="s">
        <v>692</v>
      </c>
      <c r="F193" s="5">
        <v>24821</v>
      </c>
      <c r="G193" s="14">
        <f t="shared" ca="1" si="2"/>
        <v>53.586301369863016</v>
      </c>
      <c r="H193" s="3" t="s">
        <v>575</v>
      </c>
      <c r="I193" t="str" cm="1">
        <f t="array" ref="I193">ADAPTAR(B193)&amp;ADAPTAR(C193)&amp;"_"&amp;ADAPTAR(E193)&amp;F193</f>
        <v>mariavictoria_hurtado24821</v>
      </c>
      <c r="J193" s="13">
        <v>11</v>
      </c>
      <c r="K193" t="str" cm="1">
        <f t="array" ref="K193">ADAPTAR(B193)&amp;"."&amp;ADAPTAR(D193)&amp;YEAR(F193)&amp;"@"&amp;VLOOKUP(J193,Dominios!$A$2:$B$30,2,FALSE)</f>
        <v>maria.rojas1967@nemesis.ml</v>
      </c>
      <c r="L193" s="13">
        <v>11</v>
      </c>
      <c r="M193">
        <f>VLOOKUP(L193,Celulares!$A$2:$B$30,2,FALSE)</f>
        <v>3115114360</v>
      </c>
    </row>
    <row r="194" spans="1:13" ht="15.75" customHeight="1" x14ac:dyDescent="0.25">
      <c r="A194" t="s">
        <v>1629</v>
      </c>
      <c r="B194" s="3" t="s">
        <v>6</v>
      </c>
      <c r="C194" s="3" t="s">
        <v>620</v>
      </c>
      <c r="D194" s="3" t="s">
        <v>748</v>
      </c>
      <c r="E194" s="3" t="s">
        <v>243</v>
      </c>
      <c r="F194" s="5">
        <v>34518</v>
      </c>
      <c r="G194" s="14">
        <f t="shared" ca="1" si="2"/>
        <v>27.019178082191782</v>
      </c>
      <c r="H194" s="3" t="s">
        <v>1253</v>
      </c>
      <c r="I194" t="str" cm="1">
        <f t="array" ref="I194">ADAPTAR(B194)&amp;ADAPTAR(C194)&amp;"_"&amp;ADAPTAR(E194)&amp;F194</f>
        <v>sofiavictoria_cortes34518</v>
      </c>
      <c r="J194" s="13">
        <v>12</v>
      </c>
      <c r="K194" t="str" cm="1">
        <f t="array" ref="K194">ADAPTAR(B194)&amp;"."&amp;ADAPTAR(D194)&amp;YEAR(F194)&amp;"@"&amp;VLOOKUP(J194,Dominios!$A$2:$B$30,2,FALSE)</f>
        <v>sofia.gutierrez1994@nunquam.com.co</v>
      </c>
      <c r="L194" s="13">
        <v>12</v>
      </c>
      <c r="M194">
        <f>VLOOKUP(L194,Celulares!$A$2:$B$30,2,FALSE)</f>
        <v>3115093653</v>
      </c>
    </row>
    <row r="195" spans="1:13" ht="15.75" customHeight="1" x14ac:dyDescent="0.25">
      <c r="A195" t="s">
        <v>1630</v>
      </c>
      <c r="B195" s="3" t="s">
        <v>24</v>
      </c>
      <c r="C195" s="3" t="s">
        <v>50</v>
      </c>
      <c r="D195" s="3" t="s">
        <v>749</v>
      </c>
      <c r="E195" s="3" t="s">
        <v>745</v>
      </c>
      <c r="F195" s="5">
        <v>36575</v>
      </c>
      <c r="G195" s="14">
        <f t="shared" ref="G195:G258" ca="1" si="3">(TODAY()-F195)/365</f>
        <v>21.383561643835616</v>
      </c>
      <c r="H195" s="3" t="s">
        <v>1189</v>
      </c>
      <c r="I195" t="str" cm="1">
        <f t="array" ref="I195">ADAPTAR(B195)&amp;ADAPTAR(C195)&amp;"_"&amp;ADAPTAR(E195)&amp;F195</f>
        <v>lauramaria_zambrano36575</v>
      </c>
      <c r="J195" s="13">
        <v>13</v>
      </c>
      <c r="K195" t="str" cm="1">
        <f t="array" ref="K195">ADAPTAR(B195)&amp;"."&amp;ADAPTAR(D195)&amp;YEAR(F195)&amp;"@"&amp;VLOOKUP(J195,Dominios!$A$2:$B$30,2,FALSE)</f>
        <v>laura.lopez2000@sempiternam.co</v>
      </c>
      <c r="L195" s="13">
        <v>13</v>
      </c>
      <c r="M195">
        <f>VLOOKUP(L195,Celulares!$A$2:$B$30,2,FALSE)</f>
        <v>3115093598</v>
      </c>
    </row>
    <row r="196" spans="1:13" ht="15.75" customHeight="1" x14ac:dyDescent="0.25">
      <c r="A196" t="s">
        <v>1631</v>
      </c>
      <c r="B196" s="3" t="s">
        <v>313</v>
      </c>
      <c r="C196" s="3" t="s">
        <v>13</v>
      </c>
      <c r="D196" s="3" t="s">
        <v>750</v>
      </c>
      <c r="E196" s="3" t="s">
        <v>221</v>
      </c>
      <c r="F196" s="5">
        <v>36813</v>
      </c>
      <c r="G196" s="14">
        <f t="shared" ca="1" si="3"/>
        <v>20.731506849315068</v>
      </c>
      <c r="H196" s="3" t="s">
        <v>1254</v>
      </c>
      <c r="I196" t="str" cm="1">
        <f t="array" ref="I196">ADAPTAR(B196)&amp;ADAPTAR(C196)&amp;"_"&amp;ADAPTAR(E196)&amp;F196</f>
        <v>johanaandrea_silva36813</v>
      </c>
      <c r="J196" s="13">
        <v>14</v>
      </c>
      <c r="K196" t="str" cm="1">
        <f t="array" ref="K196">ADAPTAR(B196)&amp;"."&amp;ADAPTAR(D196)&amp;YEAR(F196)&amp;"@"&amp;VLOOKUP(J196,Dominios!$A$2:$B$30,2,FALSE)</f>
        <v>johana.cardona2000@sk9.co</v>
      </c>
      <c r="L196" s="13">
        <v>14</v>
      </c>
      <c r="M196">
        <f>VLOOKUP(L196,Celulares!$A$2:$B$30,2,FALSE)</f>
        <v>3115093583</v>
      </c>
    </row>
    <row r="197" spans="1:13" ht="15.75" customHeight="1" x14ac:dyDescent="0.25">
      <c r="A197" t="s">
        <v>1632</v>
      </c>
      <c r="B197" s="3" t="s">
        <v>143</v>
      </c>
      <c r="C197" s="3" t="s">
        <v>923</v>
      </c>
      <c r="D197" s="3" t="s">
        <v>751</v>
      </c>
      <c r="E197" s="3" t="s">
        <v>763</v>
      </c>
      <c r="F197" s="5">
        <v>34699</v>
      </c>
      <c r="G197" s="14">
        <f t="shared" ca="1" si="3"/>
        <v>26.523287671232875</v>
      </c>
      <c r="H197" s="3" t="s">
        <v>1176</v>
      </c>
      <c r="I197" t="str" cm="1">
        <f t="array" ref="I197">ADAPTAR(B197)&amp;ADAPTAR(C197)&amp;"_"&amp;ADAPTAR(E197)&amp;F197</f>
        <v>luzdary_munoz34699</v>
      </c>
      <c r="J197" s="13">
        <v>15</v>
      </c>
      <c r="K197" t="str" cm="1">
        <f t="array" ref="K197">ADAPTAR(B197)&amp;"."&amp;ADAPTAR(D197)&amp;YEAR(F197)&amp;"@"&amp;VLOOKUP(J197,Dominios!$A$2:$B$30,2,FALSE)</f>
        <v>luz.figueroa1994@socialmediacolombia.com.co</v>
      </c>
      <c r="L197" s="13">
        <v>15</v>
      </c>
      <c r="M197">
        <f>VLOOKUP(L197,Celulares!$A$2:$B$30,2,FALSE)</f>
        <v>3115092386</v>
      </c>
    </row>
    <row r="198" spans="1:13" ht="15.75" customHeight="1" x14ac:dyDescent="0.25">
      <c r="A198" t="s">
        <v>1633</v>
      </c>
      <c r="B198" s="3" t="s">
        <v>924</v>
      </c>
      <c r="C198" s="3" t="s">
        <v>299</v>
      </c>
      <c r="D198" s="3" t="s">
        <v>752</v>
      </c>
      <c r="E198" s="3" t="s">
        <v>820</v>
      </c>
      <c r="F198" s="5">
        <v>31401</v>
      </c>
      <c r="G198" s="14">
        <f t="shared" ca="1" si="3"/>
        <v>35.558904109589044</v>
      </c>
      <c r="H198" s="3" t="s">
        <v>559</v>
      </c>
      <c r="I198" t="str" cm="1">
        <f t="array" ref="I198">ADAPTAR(B198)&amp;ADAPTAR(C198)&amp;"_"&amp;ADAPTAR(E198)&amp;F198</f>
        <v>blancaines_duarte31401</v>
      </c>
      <c r="J198" s="13">
        <v>16</v>
      </c>
      <c r="K198" t="str" cm="1">
        <f t="array" ref="K198">ADAPTAR(B198)&amp;"."&amp;ADAPTAR(D198)&amp;YEAR(F198)&amp;"@"&amp;VLOOKUP(J198,Dominios!$A$2:$B$30,2,FALSE)</f>
        <v>blanca.serna1985@tecnicoensistemas.com.co</v>
      </c>
      <c r="L198" s="13">
        <v>16</v>
      </c>
      <c r="M198">
        <f>VLOOKUP(L198,Celulares!$A$2:$B$30,2,FALSE)</f>
        <v>3115092375</v>
      </c>
    </row>
    <row r="199" spans="1:13" ht="15.75" customHeight="1" x14ac:dyDescent="0.25">
      <c r="A199" t="s">
        <v>1634</v>
      </c>
      <c r="B199" s="3" t="s">
        <v>622</v>
      </c>
      <c r="C199" s="3" t="s">
        <v>17</v>
      </c>
      <c r="D199" s="3" t="s">
        <v>753</v>
      </c>
      <c r="E199" s="3" t="s">
        <v>844</v>
      </c>
      <c r="F199" s="5">
        <v>27439</v>
      </c>
      <c r="G199" s="14">
        <f t="shared" ca="1" si="3"/>
        <v>46.413698630136984</v>
      </c>
      <c r="H199" s="3" t="s">
        <v>1237</v>
      </c>
      <c r="I199" t="str" cm="1">
        <f t="array" ref="I199">ADAPTAR(B199)&amp;ADAPTAR(C199)&amp;"_"&amp;ADAPTAR(E199)&amp;F199</f>
        <v>susanafernanda_acevedo27439</v>
      </c>
      <c r="J199" s="13">
        <v>17</v>
      </c>
      <c r="K199" t="str" cm="1">
        <f t="array" ref="K199">ADAPTAR(B199)&amp;"."&amp;ADAPTAR(D199)&amp;YEAR(F199)&amp;"@"&amp;VLOOKUP(J199,Dominios!$A$2:$B$30,2,FALSE)</f>
        <v>susana.guevara1975@totum.com.co</v>
      </c>
      <c r="L199" s="13">
        <v>17</v>
      </c>
      <c r="M199">
        <f>VLOOKUP(L199,Celulares!$A$2:$B$30,2,FALSE)</f>
        <v>3115092369</v>
      </c>
    </row>
    <row r="200" spans="1:13" ht="15.75" customHeight="1" x14ac:dyDescent="0.25">
      <c r="A200" t="s">
        <v>1635</v>
      </c>
      <c r="B200" s="3" t="s">
        <v>925</v>
      </c>
      <c r="C200" s="3" t="s">
        <v>159</v>
      </c>
      <c r="D200" s="3" t="s">
        <v>754</v>
      </c>
      <c r="E200" s="3" t="s">
        <v>732</v>
      </c>
      <c r="F200" s="5">
        <v>24587</v>
      </c>
      <c r="G200" s="14">
        <f t="shared" ca="1" si="3"/>
        <v>54.227397260273975</v>
      </c>
      <c r="H200" s="3" t="s">
        <v>1182</v>
      </c>
      <c r="I200" t="str" cm="1">
        <f t="array" ref="I200">ADAPTAR(B200)&amp;ADAPTAR(C200)&amp;"_"&amp;ADAPTAR(E200)&amp;F200</f>
        <v>francyteresa_pinzon24587</v>
      </c>
      <c r="J200" s="13">
        <v>18</v>
      </c>
      <c r="K200" t="str" cm="1">
        <f t="array" ref="K200">ADAPTAR(B200)&amp;"."&amp;ADAPTAR(D200)&amp;YEAR(F200)&amp;"@"&amp;VLOOKUP(J200,Dominios!$A$2:$B$30,2,FALSE)</f>
        <v>francy.soto1967@voipcolombia.co</v>
      </c>
      <c r="L200" s="13">
        <v>18</v>
      </c>
      <c r="M200">
        <f>VLOOKUP(L200,Celulares!$A$2:$B$30,2,FALSE)</f>
        <v>3115092360</v>
      </c>
    </row>
    <row r="201" spans="1:13" ht="15.75" customHeight="1" x14ac:dyDescent="0.25">
      <c r="A201" t="s">
        <v>1636</v>
      </c>
      <c r="B201" s="3" t="s">
        <v>198</v>
      </c>
      <c r="C201" s="3" t="s">
        <v>31</v>
      </c>
      <c r="D201" s="3" t="s">
        <v>755</v>
      </c>
      <c r="E201" s="3" t="s">
        <v>702</v>
      </c>
      <c r="F201" s="5">
        <v>24648</v>
      </c>
      <c r="G201" s="14">
        <f t="shared" ca="1" si="3"/>
        <v>54.060273972602737</v>
      </c>
      <c r="H201" s="3" t="s">
        <v>1255</v>
      </c>
      <c r="I201" t="str" cm="1">
        <f t="array" ref="I201">ADAPTAR(B201)&amp;ADAPTAR(C201)&amp;"_"&amp;ADAPTAR(E201)&amp;F201</f>
        <v>sandrapaola_mendez24648</v>
      </c>
      <c r="J201" s="13">
        <v>19</v>
      </c>
      <c r="K201" t="str" cm="1">
        <f t="array" ref="K201">ADAPTAR(B201)&amp;"."&amp;ADAPTAR(D201)&amp;YEAR(F201)&amp;"@"&amp;VLOOKUP(J201,Dominios!$A$2:$B$30,2,FALSE)</f>
        <v>sandra.bolanos1967@vpncolombia.com.co</v>
      </c>
      <c r="L201" s="13">
        <v>19</v>
      </c>
      <c r="M201">
        <f>VLOOKUP(L201,Celulares!$A$2:$B$30,2,FALSE)</f>
        <v>3115092352</v>
      </c>
    </row>
    <row r="202" spans="1:13" ht="15.75" customHeight="1" x14ac:dyDescent="0.25">
      <c r="A202" t="s">
        <v>1637</v>
      </c>
      <c r="B202" s="3" t="s">
        <v>50</v>
      </c>
      <c r="C202" s="3" t="s">
        <v>17</v>
      </c>
      <c r="D202" s="3" t="s">
        <v>672</v>
      </c>
      <c r="E202" s="3" t="s">
        <v>810</v>
      </c>
      <c r="F202" s="5">
        <v>36939</v>
      </c>
      <c r="G202" s="14">
        <f t="shared" ca="1" si="3"/>
        <v>20.386301369863013</v>
      </c>
      <c r="H202" s="3" t="s">
        <v>1213</v>
      </c>
      <c r="I202" t="str" cm="1">
        <f t="array" ref="I202">ADAPTAR(B202)&amp;ADAPTAR(C202)&amp;"_"&amp;ADAPTAR(E202)&amp;F202</f>
        <v>mariafernanda_gonzalez36939</v>
      </c>
      <c r="J202" s="13">
        <v>0</v>
      </c>
      <c r="K202" t="str" cm="1">
        <f t="array" ref="K202">ADAPTAR(B202)&amp;"."&amp;ADAPTAR(D202)&amp;YEAR(F202)&amp;"@"&amp;VLOOKUP(J202,Dominios!$A$2:$B$30,2,FALSE)</f>
        <v>maria.londono2001@auribus.com.co</v>
      </c>
      <c r="L202" s="13">
        <v>0</v>
      </c>
      <c r="M202">
        <f>VLOOKUP(L202,Celulares!$A$2:$B$30,2,FALSE)</f>
        <v>3115114930</v>
      </c>
    </row>
    <row r="203" spans="1:13" ht="15.75" customHeight="1" x14ac:dyDescent="0.25">
      <c r="A203" t="s">
        <v>1638</v>
      </c>
      <c r="B203" s="3" t="s">
        <v>200</v>
      </c>
      <c r="C203" s="3" t="s">
        <v>146</v>
      </c>
      <c r="D203" s="3" t="s">
        <v>756</v>
      </c>
      <c r="E203" s="3" t="s">
        <v>671</v>
      </c>
      <c r="F203" s="5">
        <v>32385</v>
      </c>
      <c r="G203" s="14">
        <f t="shared" ca="1" si="3"/>
        <v>32.863013698630134</v>
      </c>
      <c r="H203" s="3" t="s">
        <v>1256</v>
      </c>
      <c r="I203" t="str" cm="1">
        <f t="array" ref="I203">ADAPTAR(B203)&amp;ADAPTAR(C203)&amp;"_"&amp;ADAPTAR(E203)&amp;F203</f>
        <v>soniamarcela_guzman32385</v>
      </c>
      <c r="J203" s="13">
        <v>1</v>
      </c>
      <c r="K203" t="str" cm="1">
        <f t="array" ref="K203">ADAPTAR(B203)&amp;"."&amp;ADAPTAR(D203)&amp;YEAR(F203)&amp;"@"&amp;VLOOKUP(J203,Dominios!$A$2:$B$30,2,FALSE)</f>
        <v>sonia.perdomo1988@colamus.co</v>
      </c>
      <c r="L203" s="13">
        <v>1</v>
      </c>
      <c r="M203">
        <f>VLOOKUP(L203,Celulares!$A$2:$B$30,2,FALSE)</f>
        <v>3115114916</v>
      </c>
    </row>
    <row r="204" spans="1:13" ht="15.75" customHeight="1" x14ac:dyDescent="0.25">
      <c r="A204" t="s">
        <v>1639</v>
      </c>
      <c r="B204" s="3" t="s">
        <v>50</v>
      </c>
      <c r="C204" s="3" t="s">
        <v>628</v>
      </c>
      <c r="D204" s="3" t="s">
        <v>757</v>
      </c>
      <c r="E204" s="3" t="s">
        <v>519</v>
      </c>
      <c r="F204" s="5">
        <v>36359</v>
      </c>
      <c r="G204" s="14">
        <f t="shared" ca="1" si="3"/>
        <v>21.975342465753425</v>
      </c>
      <c r="H204" s="3" t="s">
        <v>1257</v>
      </c>
      <c r="I204" t="str" cm="1">
        <f t="array" ref="I204">ADAPTAR(B204)&amp;ADAPTAR(C204)&amp;"_"&amp;ADAPTAR(E204)&amp;F204</f>
        <v>mariadolores_pulido36359</v>
      </c>
      <c r="J204" s="13">
        <v>2</v>
      </c>
      <c r="K204" t="str" cm="1">
        <f t="array" ref="K204">ADAPTAR(B204)&amp;"."&amp;ADAPTAR(D204)&amp;YEAR(F204)&amp;"@"&amp;VLOOKUP(J204,Dominios!$A$2:$B$30,2,FALSE)</f>
        <v>maria.arias1999@colombiamail.co</v>
      </c>
      <c r="L204" s="13">
        <v>2</v>
      </c>
      <c r="M204">
        <f>VLOOKUP(L204,Celulares!$A$2:$B$30,2,FALSE)</f>
        <v>3115114911</v>
      </c>
    </row>
    <row r="205" spans="1:13" ht="15.75" customHeight="1" x14ac:dyDescent="0.25">
      <c r="A205" t="s">
        <v>1640</v>
      </c>
      <c r="B205" s="3" t="s">
        <v>926</v>
      </c>
      <c r="C205" s="3" t="s">
        <v>927</v>
      </c>
      <c r="D205" s="3" t="s">
        <v>695</v>
      </c>
      <c r="E205" s="3" t="s">
        <v>297</v>
      </c>
      <c r="F205" s="5">
        <v>25991</v>
      </c>
      <c r="G205" s="14">
        <f t="shared" ca="1" si="3"/>
        <v>50.38082191780822</v>
      </c>
      <c r="H205" s="3" t="s">
        <v>1197</v>
      </c>
      <c r="I205" t="str" cm="1">
        <f t="array" ref="I205">ADAPTAR(B205)&amp;ADAPTAR(C205)&amp;"_"&amp;ADAPTAR(E205)&amp;F205</f>
        <v>dorajineth_trujillo25991</v>
      </c>
      <c r="J205" s="13">
        <v>3</v>
      </c>
      <c r="K205" t="str" cm="1">
        <f t="array" ref="K205">ADAPTAR(B205)&amp;"."&amp;ADAPTAR(D205)&amp;YEAR(F205)&amp;"@"&amp;VLOOKUP(J205,Dominios!$A$2:$B$30,2,FALSE)</f>
        <v>dora.lozano1971@diabunter.co</v>
      </c>
      <c r="L205" s="13">
        <v>3</v>
      </c>
      <c r="M205">
        <f>VLOOKUP(L205,Celulares!$A$2:$B$30,2,FALSE)</f>
        <v>3115114910</v>
      </c>
    </row>
    <row r="206" spans="1:13" ht="15.75" customHeight="1" x14ac:dyDescent="0.25">
      <c r="A206" t="s">
        <v>1641</v>
      </c>
      <c r="B206" s="3" t="s">
        <v>37</v>
      </c>
      <c r="C206" s="3" t="s">
        <v>18</v>
      </c>
      <c r="D206" s="3" t="s">
        <v>758</v>
      </c>
      <c r="E206" s="3" t="s">
        <v>734</v>
      </c>
      <c r="F206" s="5">
        <v>37419</v>
      </c>
      <c r="G206" s="14">
        <f t="shared" ca="1" si="3"/>
        <v>19.07123287671233</v>
      </c>
      <c r="H206" s="3" t="s">
        <v>1258</v>
      </c>
      <c r="I206" t="str" cm="1">
        <f t="array" ref="I206">ADAPTAR(B206)&amp;ADAPTAR(C206)&amp;"_"&amp;ADAPTAR(E206)&amp;F206</f>
        <v>dianaalejandra_ramirez37419</v>
      </c>
      <c r="J206" s="13">
        <v>4</v>
      </c>
      <c r="K206" t="str" cm="1">
        <f t="array" ref="K206">ADAPTAR(B206)&amp;"."&amp;ADAPTAR(D206)&amp;YEAR(F206)&amp;"@"&amp;VLOOKUP(J206,Dominios!$A$2:$B$30,2,FALSE)</f>
        <v>diana.castellanos2002@ebrietas.co</v>
      </c>
      <c r="L206" s="13">
        <v>4</v>
      </c>
      <c r="M206">
        <f>VLOOKUP(L206,Celulares!$A$2:$B$30,2,FALSE)</f>
        <v>3115114909</v>
      </c>
    </row>
    <row r="207" spans="1:13" ht="15.75" customHeight="1" x14ac:dyDescent="0.25">
      <c r="A207" t="s">
        <v>1642</v>
      </c>
      <c r="B207" s="3" t="s">
        <v>928</v>
      </c>
      <c r="C207" s="3" t="s">
        <v>31</v>
      </c>
      <c r="D207" s="3" t="s">
        <v>759</v>
      </c>
      <c r="E207" s="3" t="s">
        <v>790</v>
      </c>
      <c r="F207" s="5">
        <v>32929</v>
      </c>
      <c r="G207" s="14">
        <f t="shared" ca="1" si="3"/>
        <v>31.372602739726027</v>
      </c>
      <c r="H207" s="3" t="s">
        <v>1259</v>
      </c>
      <c r="I207" t="str" cm="1">
        <f t="array" ref="I207">ADAPTAR(B207)&amp;ADAPTAR(C207)&amp;"_"&amp;ADAPTAR(E207)&amp;F207</f>
        <v>myriampaola_gil32929</v>
      </c>
      <c r="J207" s="13">
        <v>5</v>
      </c>
      <c r="K207" t="str" cm="1">
        <f t="array" ref="K207">ADAPTAR(B207)&amp;"."&amp;ADAPTAR(D207)&amp;YEAR(F207)&amp;"@"&amp;VLOOKUP(J207,Dominios!$A$2:$B$30,2,FALSE)</f>
        <v>myriam.ortiz1990@elsinsonte.co</v>
      </c>
      <c r="L207" s="13">
        <v>5</v>
      </c>
      <c r="M207">
        <f>VLOOKUP(L207,Celulares!$A$2:$B$30,2,FALSE)</f>
        <v>3115060130</v>
      </c>
    </row>
    <row r="208" spans="1:13" ht="15.75" customHeight="1" x14ac:dyDescent="0.25">
      <c r="A208" t="s">
        <v>1643</v>
      </c>
      <c r="B208" s="3" t="s">
        <v>929</v>
      </c>
      <c r="C208" s="3" t="s">
        <v>146</v>
      </c>
      <c r="D208" s="3" t="s">
        <v>685</v>
      </c>
      <c r="E208" s="3" t="s">
        <v>706</v>
      </c>
      <c r="F208" s="5">
        <v>27863</v>
      </c>
      <c r="G208" s="14">
        <f t="shared" ca="1" si="3"/>
        <v>45.252054794520546</v>
      </c>
      <c r="H208" s="3" t="s">
        <v>1179</v>
      </c>
      <c r="I208" t="str" cm="1">
        <f t="array" ref="I208">ADAPTAR(B208)&amp;ADAPTAR(C208)&amp;"_"&amp;ADAPTAR(E208)&amp;F208</f>
        <v>ivonnemarcela_velez27863</v>
      </c>
      <c r="J208" s="13">
        <v>6</v>
      </c>
      <c r="K208" t="str" cm="1">
        <f t="array" ref="K208">ADAPTAR(B208)&amp;"."&amp;ADAPTAR(D208)&amp;YEAR(F208)&amp;"@"&amp;VLOOKUP(J208,Dominios!$A$2:$B$30,2,FALSE)</f>
        <v>ivonne.beltran1976@enigmaserver.co</v>
      </c>
      <c r="L208" s="13">
        <v>6</v>
      </c>
      <c r="M208">
        <f>VLOOKUP(L208,Celulares!$A$2:$B$30,2,FALSE)</f>
        <v>3115060125</v>
      </c>
    </row>
    <row r="209" spans="1:13" ht="15.75" customHeight="1" x14ac:dyDescent="0.25">
      <c r="A209" t="s">
        <v>1644</v>
      </c>
      <c r="B209" s="3" t="s">
        <v>143</v>
      </c>
      <c r="C209" s="3" t="s">
        <v>309</v>
      </c>
      <c r="D209" s="3" t="s">
        <v>671</v>
      </c>
      <c r="E209" s="3" t="s">
        <v>752</v>
      </c>
      <c r="F209" s="5">
        <v>36393</v>
      </c>
      <c r="G209" s="14">
        <f t="shared" ca="1" si="3"/>
        <v>21.882191780821916</v>
      </c>
      <c r="H209" s="3" t="s">
        <v>1260</v>
      </c>
      <c r="I209" t="str" cm="1">
        <f t="array" ref="I209">ADAPTAR(B209)&amp;ADAPTAR(C209)&amp;"_"&amp;ADAPTAR(E209)&amp;F209</f>
        <v>luzmarina_serna36393</v>
      </c>
      <c r="J209" s="13">
        <v>7</v>
      </c>
      <c r="K209" t="str" cm="1">
        <f t="array" ref="K209">ADAPTAR(B209)&amp;"."&amp;ADAPTAR(D209)&amp;YEAR(F209)&amp;"@"&amp;VLOOKUP(J209,Dominios!$A$2:$B$30,2,FALSE)</f>
        <v>luz.guzman1999@hocknas.co</v>
      </c>
      <c r="L209" s="13">
        <v>7</v>
      </c>
      <c r="M209">
        <f>VLOOKUP(L209,Celulares!$A$2:$B$30,2,FALSE)</f>
        <v>3115060110</v>
      </c>
    </row>
    <row r="210" spans="1:13" ht="15.75" customHeight="1" x14ac:dyDescent="0.25">
      <c r="A210" t="s">
        <v>1645</v>
      </c>
      <c r="B210" s="3" t="s">
        <v>930</v>
      </c>
      <c r="C210" s="3" t="s">
        <v>306</v>
      </c>
      <c r="D210" s="3" t="s">
        <v>247</v>
      </c>
      <c r="E210" s="3" t="s">
        <v>522</v>
      </c>
      <c r="F210" s="5">
        <v>27766</v>
      </c>
      <c r="G210" s="14">
        <f t="shared" ca="1" si="3"/>
        <v>45.517808219178079</v>
      </c>
      <c r="H210" s="3" t="s">
        <v>569</v>
      </c>
      <c r="I210" t="str" cm="1">
        <f t="array" ref="I210">ADAPTAR(B210)&amp;ADAPTAR(C210)&amp;"_"&amp;ADAPTAR(E210)&amp;F210</f>
        <v>ginasofia_bonilla27766</v>
      </c>
      <c r="J210" s="13">
        <v>8</v>
      </c>
      <c r="K210" t="str" cm="1">
        <f t="array" ref="K210">ADAPTAR(B210)&amp;"."&amp;ADAPTAR(D210)&amp;YEAR(F210)&amp;"@"&amp;VLOOKUP(J210,Dominios!$A$2:$B$30,2,FALSE)</f>
        <v>gina.zapata1976@hostedoceri.co</v>
      </c>
      <c r="L210" s="13">
        <v>8</v>
      </c>
      <c r="M210">
        <f>VLOOKUP(L210,Celulares!$A$2:$B$30,2,FALSE)</f>
        <v>3115060091</v>
      </c>
    </row>
    <row r="211" spans="1:13" ht="15.75" customHeight="1" x14ac:dyDescent="0.25">
      <c r="A211" t="s">
        <v>1646</v>
      </c>
      <c r="B211" s="3" t="s">
        <v>67</v>
      </c>
      <c r="C211" s="3" t="s">
        <v>213</v>
      </c>
      <c r="D211" s="3" t="s">
        <v>699</v>
      </c>
      <c r="E211" s="3" t="s">
        <v>764</v>
      </c>
      <c r="F211" s="5">
        <v>36237</v>
      </c>
      <c r="G211" s="14">
        <f t="shared" ca="1" si="3"/>
        <v>22.30958904109589</v>
      </c>
      <c r="H211" s="3" t="s">
        <v>1218</v>
      </c>
      <c r="I211" t="str" cm="1">
        <f t="array" ref="I211">ADAPTAR(B211)&amp;ADAPTAR(C211)&amp;"_"&amp;ADAPTAR(E211)&amp;F211</f>
        <v>carmenyolanda_sandoval36237</v>
      </c>
      <c r="J211" s="13">
        <v>9</v>
      </c>
      <c r="K211" t="str" cm="1">
        <f t="array" ref="K211">ADAPTAR(B211)&amp;"."&amp;ADAPTAR(D211)&amp;YEAR(F211)&amp;"@"&amp;VLOOKUP(J211,Dominios!$A$2:$B$30,2,FALSE)</f>
        <v>carmen.murillo1999@libertas.com.co</v>
      </c>
      <c r="L211" s="13">
        <v>9</v>
      </c>
      <c r="M211">
        <f>VLOOKUP(L211,Celulares!$A$2:$B$30,2,FALSE)</f>
        <v>3115060080</v>
      </c>
    </row>
    <row r="212" spans="1:13" ht="15.75" customHeight="1" x14ac:dyDescent="0.25">
      <c r="A212" t="s">
        <v>1647</v>
      </c>
      <c r="B212" s="3" t="s">
        <v>198</v>
      </c>
      <c r="C212" s="3" t="s">
        <v>123</v>
      </c>
      <c r="D212" s="3" t="s">
        <v>760</v>
      </c>
      <c r="E212" s="3" t="s">
        <v>789</v>
      </c>
      <c r="F212" s="5">
        <v>32708</v>
      </c>
      <c r="G212" s="14">
        <f t="shared" ca="1" si="3"/>
        <v>31.978082191780821</v>
      </c>
      <c r="H212" s="3" t="s">
        <v>1261</v>
      </c>
      <c r="I212" t="str" cm="1">
        <f t="array" ref="I212">ADAPTAR(B212)&amp;ADAPTAR(C212)&amp;"_"&amp;ADAPTAR(E212)&amp;F212</f>
        <v>sandraastrid_carmona32708</v>
      </c>
      <c r="J212" s="13">
        <v>10</v>
      </c>
      <c r="K212" t="str" cm="1">
        <f t="array" ref="K212">ADAPTAR(B212)&amp;"."&amp;ADAPTAR(D212)&amp;YEAR(F212)&amp;"@"&amp;VLOOKUP(J212,Dominios!$A$2:$B$30,2,FALSE)</f>
        <v>sandra.alzate1989@nascitur.com.co</v>
      </c>
      <c r="L212" s="13">
        <v>10</v>
      </c>
      <c r="M212">
        <f>VLOOKUP(L212,Celulares!$A$2:$B$30,2,FALSE)</f>
        <v>3115114385</v>
      </c>
    </row>
    <row r="213" spans="1:13" ht="15.75" customHeight="1" x14ac:dyDescent="0.25">
      <c r="A213" t="s">
        <v>1648</v>
      </c>
      <c r="B213" s="3" t="s">
        <v>931</v>
      </c>
      <c r="C213" s="3" t="s">
        <v>50</v>
      </c>
      <c r="D213" s="3" t="s">
        <v>761</v>
      </c>
      <c r="E213" s="3" t="s">
        <v>798</v>
      </c>
      <c r="F213" s="5">
        <v>36588</v>
      </c>
      <c r="G213" s="14">
        <f t="shared" ca="1" si="3"/>
        <v>21.347945205479451</v>
      </c>
      <c r="H213" s="3" t="s">
        <v>1229</v>
      </c>
      <c r="I213" t="str" cm="1">
        <f t="array" ref="I213">ADAPTAR(B213)&amp;ADAPTAR(C213)&amp;"_"&amp;ADAPTAR(E213)&amp;F213</f>
        <v>dulcemaria_mendoza36588</v>
      </c>
      <c r="J213" s="13">
        <v>11</v>
      </c>
      <c r="K213" t="str" cm="1">
        <f t="array" ref="K213">ADAPTAR(B213)&amp;"."&amp;ADAPTAR(D213)&amp;YEAR(F213)&amp;"@"&amp;VLOOKUP(J213,Dominios!$A$2:$B$30,2,FALSE)</f>
        <v>dulce.montoya2000@nemesis.ml</v>
      </c>
      <c r="L213" s="13">
        <v>11</v>
      </c>
      <c r="M213">
        <f>VLOOKUP(L213,Celulares!$A$2:$B$30,2,FALSE)</f>
        <v>3115114360</v>
      </c>
    </row>
    <row r="214" spans="1:13" ht="15.75" customHeight="1" x14ac:dyDescent="0.25">
      <c r="A214" t="s">
        <v>1649</v>
      </c>
      <c r="B214" s="3" t="s">
        <v>25</v>
      </c>
      <c r="C214" s="3" t="s">
        <v>306</v>
      </c>
      <c r="D214" s="3" t="s">
        <v>244</v>
      </c>
      <c r="E214" s="3" t="s">
        <v>774</v>
      </c>
      <c r="F214" s="5">
        <v>31019</v>
      </c>
      <c r="G214" s="14">
        <f t="shared" ca="1" si="3"/>
        <v>36.605479452054794</v>
      </c>
      <c r="H214" s="3" t="s">
        <v>1221</v>
      </c>
      <c r="I214" t="str" cm="1">
        <f t="array" ref="I214">ADAPTAR(B214)&amp;ADAPTAR(C214)&amp;"_"&amp;ADAPTAR(E214)&amp;F214</f>
        <v>isabelsofia_rueda31019</v>
      </c>
      <c r="J214" s="13">
        <v>12</v>
      </c>
      <c r="K214" t="str" cm="1">
        <f t="array" ref="K214">ADAPTAR(B214)&amp;"."&amp;ADAPTAR(D214)&amp;YEAR(F214)&amp;"@"&amp;VLOOKUP(J214,Dominios!$A$2:$B$30,2,FALSE)</f>
        <v>isabel.correa1984@nunquam.com.co</v>
      </c>
      <c r="L214" s="13">
        <v>12</v>
      </c>
      <c r="M214">
        <f>VLOOKUP(L214,Celulares!$A$2:$B$30,2,FALSE)</f>
        <v>3115093653</v>
      </c>
    </row>
    <row r="215" spans="1:13" ht="15.75" customHeight="1" x14ac:dyDescent="0.25">
      <c r="A215" t="s">
        <v>1650</v>
      </c>
      <c r="B215" s="3" t="s">
        <v>143</v>
      </c>
      <c r="C215" s="3" t="s">
        <v>38</v>
      </c>
      <c r="D215" s="3" t="s">
        <v>707</v>
      </c>
      <c r="E215" s="3" t="s">
        <v>834</v>
      </c>
      <c r="F215" s="5">
        <v>33513</v>
      </c>
      <c r="G215" s="14">
        <f t="shared" ca="1" si="3"/>
        <v>29.772602739726029</v>
      </c>
      <c r="H215" s="3" t="s">
        <v>1262</v>
      </c>
      <c r="I215" t="str" cm="1">
        <f t="array" ref="I215">ADAPTAR(B215)&amp;ADAPTAR(C215)&amp;"_"&amp;ADAPTAR(E215)&amp;F215</f>
        <v>luzhelena_rosero33513</v>
      </c>
      <c r="J215" s="13">
        <v>13</v>
      </c>
      <c r="K215" t="str" cm="1">
        <f t="array" ref="K215">ADAPTAR(B215)&amp;"."&amp;ADAPTAR(D215)&amp;YEAR(F215)&amp;"@"&amp;VLOOKUP(J215,Dominios!$A$2:$B$30,2,FALSE)</f>
        <v>luz.pineda1991@sempiternam.co</v>
      </c>
      <c r="L215" s="13">
        <v>13</v>
      </c>
      <c r="M215">
        <f>VLOOKUP(L215,Celulares!$A$2:$B$30,2,FALSE)</f>
        <v>3115093598</v>
      </c>
    </row>
    <row r="216" spans="1:13" ht="15.75" customHeight="1" x14ac:dyDescent="0.25">
      <c r="A216" t="s">
        <v>1651</v>
      </c>
      <c r="B216" s="3" t="s">
        <v>29</v>
      </c>
      <c r="C216" s="3" t="s">
        <v>13</v>
      </c>
      <c r="D216" s="3" t="s">
        <v>702</v>
      </c>
      <c r="E216" s="3" t="s">
        <v>852</v>
      </c>
      <c r="F216" s="5">
        <v>36939</v>
      </c>
      <c r="G216" s="14">
        <f t="shared" ca="1" si="3"/>
        <v>20.386301369863013</v>
      </c>
      <c r="H216" s="3" t="s">
        <v>1218</v>
      </c>
      <c r="I216" t="str" cm="1">
        <f t="array" ref="I216">ADAPTAR(B216)&amp;ADAPTAR(C216)&amp;"_"&amp;ADAPTAR(E216)&amp;F216</f>
        <v>carolinaandrea_hernandez36939</v>
      </c>
      <c r="J216" s="13">
        <v>14</v>
      </c>
      <c r="K216" t="str" cm="1">
        <f t="array" ref="K216">ADAPTAR(B216)&amp;"."&amp;ADAPTAR(D216)&amp;YEAR(F216)&amp;"@"&amp;VLOOKUP(J216,Dominios!$A$2:$B$30,2,FALSE)</f>
        <v>carolina.mendez2001@sk9.co</v>
      </c>
      <c r="L216" s="13">
        <v>14</v>
      </c>
      <c r="M216">
        <f>VLOOKUP(L216,Celulares!$A$2:$B$30,2,FALSE)</f>
        <v>3115093583</v>
      </c>
    </row>
    <row r="217" spans="1:13" ht="15.75" customHeight="1" x14ac:dyDescent="0.25">
      <c r="A217" t="s">
        <v>1652</v>
      </c>
      <c r="B217" s="3" t="s">
        <v>14</v>
      </c>
      <c r="C217" s="3" t="s">
        <v>8</v>
      </c>
      <c r="D217" s="3" t="s">
        <v>762</v>
      </c>
      <c r="E217" s="3" t="s">
        <v>688</v>
      </c>
      <c r="F217" s="5">
        <v>32550</v>
      </c>
      <c r="G217" s="14">
        <f t="shared" ca="1" si="3"/>
        <v>32.410958904109592</v>
      </c>
      <c r="H217" s="3" t="s">
        <v>1263</v>
      </c>
      <c r="I217" t="str" cm="1">
        <f t="array" ref="I217">ADAPTAR(B217)&amp;ADAPTAR(C217)&amp;"_"&amp;ADAPTAR(E217)&amp;F217</f>
        <v>nataliavalentina_escobar32550</v>
      </c>
      <c r="J217" s="13">
        <v>15</v>
      </c>
      <c r="K217" t="str" cm="1">
        <f t="array" ref="K217">ADAPTAR(B217)&amp;"."&amp;ADAPTAR(D217)&amp;YEAR(F217)&amp;"@"&amp;VLOOKUP(J217,Dominios!$A$2:$B$30,2,FALSE)</f>
        <v>natalia.restrepo1989@socialmediacolombia.com.co</v>
      </c>
      <c r="L217" s="13">
        <v>15</v>
      </c>
      <c r="M217">
        <f>VLOOKUP(L217,Celulares!$A$2:$B$30,2,FALSE)</f>
        <v>3115092386</v>
      </c>
    </row>
    <row r="218" spans="1:13" ht="15.75" customHeight="1" x14ac:dyDescent="0.25">
      <c r="A218" t="s">
        <v>1653</v>
      </c>
      <c r="B218" s="3" t="s">
        <v>50</v>
      </c>
      <c r="C218" s="3" t="s">
        <v>620</v>
      </c>
      <c r="D218" s="3" t="s">
        <v>763</v>
      </c>
      <c r="E218" s="3" t="s">
        <v>851</v>
      </c>
      <c r="F218" s="5">
        <v>26847</v>
      </c>
      <c r="G218" s="14">
        <f t="shared" ca="1" si="3"/>
        <v>48.035616438356165</v>
      </c>
      <c r="H218" s="3" t="s">
        <v>1264</v>
      </c>
      <c r="I218" t="str" cm="1">
        <f t="array" ref="I218">ADAPTAR(B218)&amp;ADAPTAR(C218)&amp;"_"&amp;ADAPTAR(E218)&amp;F218</f>
        <v>mariavictoria_benitez26847</v>
      </c>
      <c r="J218" s="13">
        <v>16</v>
      </c>
      <c r="K218" t="str" cm="1">
        <f t="array" ref="K218">ADAPTAR(B218)&amp;"."&amp;ADAPTAR(D218)&amp;YEAR(F218)&amp;"@"&amp;VLOOKUP(J218,Dominios!$A$2:$B$30,2,FALSE)</f>
        <v>maria.munoz1973@tecnicoensistemas.com.co</v>
      </c>
      <c r="L218" s="13">
        <v>16</v>
      </c>
      <c r="M218">
        <f>VLOOKUP(L218,Celulares!$A$2:$B$30,2,FALSE)</f>
        <v>3115092375</v>
      </c>
    </row>
    <row r="219" spans="1:13" ht="15.75" customHeight="1" x14ac:dyDescent="0.25">
      <c r="A219" t="s">
        <v>1654</v>
      </c>
      <c r="B219" s="3" t="s">
        <v>920</v>
      </c>
      <c r="C219" s="3" t="s">
        <v>932</v>
      </c>
      <c r="D219" s="3" t="s">
        <v>764</v>
      </c>
      <c r="E219" s="3" t="s">
        <v>746</v>
      </c>
      <c r="F219" s="5">
        <v>27004</v>
      </c>
      <c r="G219" s="14">
        <f t="shared" ca="1" si="3"/>
        <v>47.605479452054794</v>
      </c>
      <c r="H219" s="3" t="s">
        <v>1265</v>
      </c>
      <c r="I219" t="str" cm="1">
        <f t="array" ref="I219">ADAPTAR(B219)&amp;ADAPTAR(C219)&amp;"_"&amp;ADAPTAR(E219)&amp;F219</f>
        <v>emmapaulina_arenas27004</v>
      </c>
      <c r="J219" s="13">
        <v>17</v>
      </c>
      <c r="K219" t="str" cm="1">
        <f t="array" ref="K219">ADAPTAR(B219)&amp;"."&amp;ADAPTAR(D219)&amp;YEAR(F219)&amp;"@"&amp;VLOOKUP(J219,Dominios!$A$2:$B$30,2,FALSE)</f>
        <v>emma.sandoval1973@totum.com.co</v>
      </c>
      <c r="L219" s="13">
        <v>17</v>
      </c>
      <c r="M219">
        <f>VLOOKUP(L219,Celulares!$A$2:$B$30,2,FALSE)</f>
        <v>3115092369</v>
      </c>
    </row>
    <row r="220" spans="1:13" ht="15.75" customHeight="1" x14ac:dyDescent="0.25">
      <c r="A220" t="s">
        <v>1655</v>
      </c>
      <c r="B220" s="3" t="s">
        <v>198</v>
      </c>
      <c r="C220" s="3" t="s">
        <v>195</v>
      </c>
      <c r="D220" s="3" t="s">
        <v>765</v>
      </c>
      <c r="E220" s="3" t="s">
        <v>814</v>
      </c>
      <c r="F220" s="5">
        <v>28055</v>
      </c>
      <c r="G220" s="14">
        <f t="shared" ca="1" si="3"/>
        <v>44.726027397260275</v>
      </c>
      <c r="H220" s="3" t="s">
        <v>569</v>
      </c>
      <c r="I220" t="str" cm="1">
        <f t="array" ref="I220">ADAPTAR(B220)&amp;ADAPTAR(C220)&amp;"_"&amp;ADAPTAR(E220)&amp;F220</f>
        <v>sandrapatricia_quintero28055</v>
      </c>
      <c r="J220" s="13">
        <v>18</v>
      </c>
      <c r="K220" t="str" cm="1">
        <f t="array" ref="K220">ADAPTAR(B220)&amp;"."&amp;ADAPTAR(D220)&amp;YEAR(F220)&amp;"@"&amp;VLOOKUP(J220,Dominios!$A$2:$B$30,2,FALSE)</f>
        <v>sandra.estrada1976@voipcolombia.co</v>
      </c>
      <c r="L220" s="13">
        <v>18</v>
      </c>
      <c r="M220">
        <f>VLOOKUP(L220,Celulares!$A$2:$B$30,2,FALSE)</f>
        <v>3115092360</v>
      </c>
    </row>
    <row r="221" spans="1:13" ht="15.75" customHeight="1" x14ac:dyDescent="0.25">
      <c r="A221" t="s">
        <v>1656</v>
      </c>
      <c r="B221" s="3" t="s">
        <v>165</v>
      </c>
      <c r="C221" s="3" t="s">
        <v>897</v>
      </c>
      <c r="D221" s="3" t="s">
        <v>766</v>
      </c>
      <c r="E221" s="3" t="s">
        <v>684</v>
      </c>
      <c r="F221" s="5">
        <v>26891</v>
      </c>
      <c r="G221" s="14">
        <f t="shared" ca="1" si="3"/>
        <v>47.915068493150685</v>
      </c>
      <c r="H221" s="3" t="s">
        <v>1191</v>
      </c>
      <c r="I221" t="str" cm="1">
        <f t="array" ref="I221">ADAPTAR(B221)&amp;ADAPTAR(C221)&amp;"_"&amp;ADAPTAR(E221)&amp;F221</f>
        <v>marthamargarita_mora26891</v>
      </c>
      <c r="J221" s="13">
        <v>19</v>
      </c>
      <c r="K221" t="str" cm="1">
        <f t="array" ref="K221">ADAPTAR(B221)&amp;"."&amp;ADAPTAR(D221)&amp;YEAR(F221)&amp;"@"&amp;VLOOKUP(J221,Dominios!$A$2:$B$30,2,FALSE)</f>
        <v>martha.melo1973@vpncolombia.com.co</v>
      </c>
      <c r="L221" s="13">
        <v>19</v>
      </c>
      <c r="M221">
        <f>VLOOKUP(L221,Celulares!$A$2:$B$30,2,FALSE)</f>
        <v>3115092352</v>
      </c>
    </row>
    <row r="222" spans="1:13" ht="15.75" customHeight="1" x14ac:dyDescent="0.25">
      <c r="A222" t="s">
        <v>1657</v>
      </c>
      <c r="B222" s="3" t="s">
        <v>50</v>
      </c>
      <c r="C222" s="3" t="s">
        <v>483</v>
      </c>
      <c r="D222" s="3" t="s">
        <v>767</v>
      </c>
      <c r="E222" s="3" t="s">
        <v>710</v>
      </c>
      <c r="F222" s="5">
        <v>33906</v>
      </c>
      <c r="G222" s="14">
        <f t="shared" ca="1" si="3"/>
        <v>28.695890410958903</v>
      </c>
      <c r="H222" s="3" t="s">
        <v>1266</v>
      </c>
      <c r="I222" t="str" cm="1">
        <f t="array" ref="I222">ADAPTAR(B222)&amp;ADAPTAR(C222)&amp;"_"&amp;ADAPTAR(E222)&amp;F222</f>
        <v>mariajose_franco33906</v>
      </c>
      <c r="J222" s="13">
        <v>0</v>
      </c>
      <c r="K222" t="str" cm="1">
        <f t="array" ref="K222">ADAPTAR(B222)&amp;"."&amp;ADAPTAR(D222)&amp;YEAR(F222)&amp;"@"&amp;VLOOKUP(J222,Dominios!$A$2:$B$30,2,FALSE)</f>
        <v>maria.toro1992@auribus.com.co</v>
      </c>
      <c r="L222" s="13">
        <v>0</v>
      </c>
      <c r="M222">
        <f>VLOOKUP(L222,Celulares!$A$2:$B$30,2,FALSE)</f>
        <v>3115114930</v>
      </c>
    </row>
    <row r="223" spans="1:13" ht="15.75" customHeight="1" x14ac:dyDescent="0.25">
      <c r="A223" t="s">
        <v>1658</v>
      </c>
      <c r="B223" s="3" t="s">
        <v>301</v>
      </c>
      <c r="C223" s="3" t="s">
        <v>332</v>
      </c>
      <c r="D223" s="3" t="s">
        <v>768</v>
      </c>
      <c r="E223" s="3" t="s">
        <v>815</v>
      </c>
      <c r="F223" s="5">
        <v>29759</v>
      </c>
      <c r="G223" s="14">
        <f t="shared" ca="1" si="3"/>
        <v>40.057534246575344</v>
      </c>
      <c r="H223" s="3" t="s">
        <v>1177</v>
      </c>
      <c r="I223" t="str" cm="1">
        <f t="array" ref="I223">ADAPTAR(B223)&amp;ADAPTAR(C223)&amp;"_"&amp;ADAPTAR(E223)&amp;F223</f>
        <v>jessicadaniel_palacios29759</v>
      </c>
      <c r="J223" s="13">
        <v>1</v>
      </c>
      <c r="K223" t="str" cm="1">
        <f t="array" ref="K223">ADAPTAR(B223)&amp;"."&amp;ADAPTAR(D223)&amp;YEAR(F223)&amp;"@"&amp;VLOOKUP(J223,Dominios!$A$2:$B$30,2,FALSE)</f>
        <v>jessica.medina1981@colamus.co</v>
      </c>
      <c r="L223" s="13">
        <v>1</v>
      </c>
      <c r="M223">
        <f>VLOOKUP(L223,Celulares!$A$2:$B$30,2,FALSE)</f>
        <v>3115114916</v>
      </c>
    </row>
    <row r="224" spans="1:13" ht="15.75" customHeight="1" x14ac:dyDescent="0.25">
      <c r="A224" t="s">
        <v>1659</v>
      </c>
      <c r="B224" s="3" t="s">
        <v>140</v>
      </c>
      <c r="C224" s="3" t="s">
        <v>933</v>
      </c>
      <c r="D224" s="3" t="s">
        <v>769</v>
      </c>
      <c r="E224" s="3" t="s">
        <v>847</v>
      </c>
      <c r="F224" s="5">
        <v>35320</v>
      </c>
      <c r="G224" s="14">
        <f t="shared" ca="1" si="3"/>
        <v>24.82191780821918</v>
      </c>
      <c r="H224" s="3" t="s">
        <v>1267</v>
      </c>
      <c r="I224" t="str" cm="1">
        <f t="array" ref="I224">ADAPTAR(B224)&amp;ADAPTAR(C224)&amp;"_"&amp;ADAPTAR(E224)&amp;F224</f>
        <v>luisaestefania_uribe35320</v>
      </c>
      <c r="J224" s="13">
        <v>2</v>
      </c>
      <c r="K224" t="str" cm="1">
        <f t="array" ref="K224">ADAPTAR(B224)&amp;"."&amp;ADAPTAR(D224)&amp;YEAR(F224)&amp;"@"&amp;VLOOKUP(J224,Dominios!$A$2:$B$30,2,FALSE)</f>
        <v>luisa.angulo1996@colombiamail.co</v>
      </c>
      <c r="L224" s="13">
        <v>2</v>
      </c>
      <c r="M224">
        <f>VLOOKUP(L224,Celulares!$A$2:$B$30,2,FALSE)</f>
        <v>3115114911</v>
      </c>
    </row>
    <row r="225" spans="1:13" ht="15.75" customHeight="1" x14ac:dyDescent="0.25">
      <c r="A225" t="s">
        <v>1660</v>
      </c>
      <c r="B225" s="3" t="s">
        <v>934</v>
      </c>
      <c r="C225" s="3" t="s">
        <v>31</v>
      </c>
      <c r="D225" s="3" t="s">
        <v>770</v>
      </c>
      <c r="E225" s="3" t="s">
        <v>225</v>
      </c>
      <c r="F225" s="5">
        <v>32490</v>
      </c>
      <c r="G225" s="14">
        <f t="shared" ca="1" si="3"/>
        <v>32.575342465753423</v>
      </c>
      <c r="H225" s="3" t="s">
        <v>569</v>
      </c>
      <c r="I225" t="str" cm="1">
        <f t="array" ref="I225">ADAPTAR(B225)&amp;ADAPTAR(C225)&amp;"_"&amp;ADAPTAR(E225)&amp;F225</f>
        <v>gisellapaola_vargas32490</v>
      </c>
      <c r="J225" s="13">
        <v>3</v>
      </c>
      <c r="K225" t="str" cm="1">
        <f t="array" ref="K225">ADAPTAR(B225)&amp;"."&amp;ADAPTAR(D225)&amp;YEAR(F225)&amp;"@"&amp;VLOOKUP(J225,Dominios!$A$2:$B$30,2,FALSE)</f>
        <v>gisella.daza1988@diabunter.co</v>
      </c>
      <c r="L225" s="13">
        <v>3</v>
      </c>
      <c r="M225">
        <f>VLOOKUP(L225,Celulares!$A$2:$B$30,2,FALSE)</f>
        <v>3115114910</v>
      </c>
    </row>
    <row r="226" spans="1:13" ht="15.75" customHeight="1" x14ac:dyDescent="0.25">
      <c r="A226" t="s">
        <v>1661</v>
      </c>
      <c r="B226" s="3" t="s">
        <v>19</v>
      </c>
      <c r="C226" s="3" t="s">
        <v>304</v>
      </c>
      <c r="D226" s="3" t="s">
        <v>771</v>
      </c>
      <c r="E226" s="3" t="s">
        <v>698</v>
      </c>
      <c r="F226" s="5">
        <v>27589</v>
      </c>
      <c r="G226" s="14">
        <f t="shared" ca="1" si="3"/>
        <v>46.0027397260274</v>
      </c>
      <c r="H226" s="3" t="s">
        <v>1183</v>
      </c>
      <c r="I226" t="str" cm="1">
        <f t="array" ref="I226">ADAPTAR(B226)&amp;ADAPTAR(C226)&amp;"_"&amp;ADAPTAR(E226)&amp;F226</f>
        <v>paulalucia_calderon27589</v>
      </c>
      <c r="J226" s="13">
        <v>4</v>
      </c>
      <c r="K226" t="str" cm="1">
        <f t="array" ref="K226">ADAPTAR(B226)&amp;"."&amp;ADAPTAR(D226)&amp;YEAR(F226)&amp;"@"&amp;VLOOKUP(J226,Dominios!$A$2:$B$30,2,FALSE)</f>
        <v>paula.mosquera1975@ebrietas.co</v>
      </c>
      <c r="L226" s="13">
        <v>4</v>
      </c>
      <c r="M226">
        <f>VLOOKUP(L226,Celulares!$A$2:$B$30,2,FALSE)</f>
        <v>3115114909</v>
      </c>
    </row>
    <row r="227" spans="1:13" ht="15.75" customHeight="1" x14ac:dyDescent="0.25">
      <c r="A227" t="s">
        <v>1662</v>
      </c>
      <c r="B227" s="3" t="s">
        <v>24</v>
      </c>
      <c r="C227" s="3" t="s">
        <v>7</v>
      </c>
      <c r="D227" s="3" t="s">
        <v>677</v>
      </c>
      <c r="E227" s="3" t="s">
        <v>770</v>
      </c>
      <c r="F227" s="5">
        <v>30277</v>
      </c>
      <c r="G227" s="14">
        <f t="shared" ca="1" si="3"/>
        <v>38.638356164383559</v>
      </c>
      <c r="H227" s="3" t="s">
        <v>1204</v>
      </c>
      <c r="I227" t="str" cm="1">
        <f t="array" ref="I227">ADAPTAR(B227)&amp;ADAPTAR(C227)&amp;"_"&amp;ADAPTAR(E227)&amp;F227</f>
        <v>lauracamila_daza30277</v>
      </c>
      <c r="J227" s="13">
        <v>5</v>
      </c>
      <c r="K227" t="str" cm="1">
        <f t="array" ref="K227">ADAPTAR(B227)&amp;"."&amp;ADAPTAR(D227)&amp;YEAR(F227)&amp;"@"&amp;VLOOKUP(J227,Dominios!$A$2:$B$30,2,FALSE)</f>
        <v>laura.sierra1982@elsinsonte.co</v>
      </c>
      <c r="L227" s="13">
        <v>5</v>
      </c>
      <c r="M227">
        <f>VLOOKUP(L227,Celulares!$A$2:$B$30,2,FALSE)</f>
        <v>3115060130</v>
      </c>
    </row>
    <row r="228" spans="1:13" ht="15.75" customHeight="1" x14ac:dyDescent="0.25">
      <c r="A228" t="s">
        <v>1663</v>
      </c>
      <c r="B228" s="3" t="s">
        <v>935</v>
      </c>
      <c r="C228" s="3" t="s">
        <v>18</v>
      </c>
      <c r="D228" s="3" t="s">
        <v>519</v>
      </c>
      <c r="E228" s="3" t="s">
        <v>716</v>
      </c>
      <c r="F228" s="5">
        <v>36774</v>
      </c>
      <c r="G228" s="14">
        <f t="shared" ca="1" si="3"/>
        <v>20.838356164383562</v>
      </c>
      <c r="H228" s="3" t="s">
        <v>1225</v>
      </c>
      <c r="I228" t="str" cm="1">
        <f t="array" ref="I228">ADAPTAR(B228)&amp;ADAPTAR(C228)&amp;"_"&amp;ADAPTAR(E228)&amp;F228</f>
        <v>orianaalejandra_vergara36774</v>
      </c>
      <c r="J228" s="13">
        <v>6</v>
      </c>
      <c r="K228" t="str" cm="1">
        <f t="array" ref="K228">ADAPTAR(B228)&amp;"."&amp;ADAPTAR(D228)&amp;YEAR(F228)&amp;"@"&amp;VLOOKUP(J228,Dominios!$A$2:$B$30,2,FALSE)</f>
        <v>oriana.pulido2000@enigmaserver.co</v>
      </c>
      <c r="L228" s="13">
        <v>6</v>
      </c>
      <c r="M228">
        <f>VLOOKUP(L228,Celulares!$A$2:$B$30,2,FALSE)</f>
        <v>3115060125</v>
      </c>
    </row>
    <row r="229" spans="1:13" ht="15.75" customHeight="1" x14ac:dyDescent="0.25">
      <c r="A229" t="s">
        <v>1664</v>
      </c>
      <c r="B229" s="3" t="s">
        <v>10</v>
      </c>
      <c r="C229" s="3" t="s">
        <v>159</v>
      </c>
      <c r="D229" s="3" t="s">
        <v>772</v>
      </c>
      <c r="E229" s="3" t="s">
        <v>687</v>
      </c>
      <c r="F229" s="5">
        <v>37582</v>
      </c>
      <c r="G229" s="14">
        <f t="shared" ca="1" si="3"/>
        <v>18.624657534246577</v>
      </c>
      <c r="H229" s="3" t="s">
        <v>1193</v>
      </c>
      <c r="I229" t="str" cm="1">
        <f t="array" ref="I229">ADAPTAR(B229)&amp;ADAPTAR(C229)&amp;"_"&amp;ADAPTAR(E229)&amp;F229</f>
        <v>marianateresa_leon37582</v>
      </c>
      <c r="J229" s="13">
        <v>7</v>
      </c>
      <c r="K229" t="str" cm="1">
        <f t="array" ref="K229">ADAPTAR(B229)&amp;"."&amp;ADAPTAR(D229)&amp;YEAR(F229)&amp;"@"&amp;VLOOKUP(J229,Dominios!$A$2:$B$30,2,FALSE)</f>
        <v>mariana.morales2002@hocknas.co</v>
      </c>
      <c r="L229" s="13">
        <v>7</v>
      </c>
      <c r="M229">
        <f>VLOOKUP(L229,Celulares!$A$2:$B$30,2,FALSE)</f>
        <v>3115060110</v>
      </c>
    </row>
    <row r="230" spans="1:13" ht="15.75" customHeight="1" x14ac:dyDescent="0.25">
      <c r="A230" t="s">
        <v>1665</v>
      </c>
      <c r="B230" s="3" t="s">
        <v>926</v>
      </c>
      <c r="C230" s="3" t="s">
        <v>936</v>
      </c>
      <c r="D230" s="3" t="s">
        <v>673</v>
      </c>
      <c r="E230" s="3" t="s">
        <v>771</v>
      </c>
      <c r="F230" s="5">
        <v>34232</v>
      </c>
      <c r="G230" s="14">
        <f t="shared" ca="1" si="3"/>
        <v>27.802739726027397</v>
      </c>
      <c r="H230" s="3" t="s">
        <v>1197</v>
      </c>
      <c r="I230" t="str" cm="1">
        <f t="array" ref="I230">ADAPTAR(B230)&amp;ADAPTAR(C230)&amp;"_"&amp;ADAPTAR(E230)&amp;F230</f>
        <v>dorajosefina_mosquera34232</v>
      </c>
      <c r="J230" s="13">
        <v>8</v>
      </c>
      <c r="K230" t="str" cm="1">
        <f t="array" ref="K230">ADAPTAR(B230)&amp;"."&amp;ADAPTAR(D230)&amp;YEAR(F230)&amp;"@"&amp;VLOOKUP(J230,Dominios!$A$2:$B$30,2,FALSE)</f>
        <v>dora.molina1993@hostedoceri.co</v>
      </c>
      <c r="L230" s="13">
        <v>8</v>
      </c>
      <c r="M230">
        <f>VLOOKUP(L230,Celulares!$A$2:$B$30,2,FALSE)</f>
        <v>3115060091</v>
      </c>
    </row>
    <row r="231" spans="1:13" ht="15.75" customHeight="1" x14ac:dyDescent="0.25">
      <c r="A231" t="s">
        <v>1666</v>
      </c>
      <c r="B231" s="3" t="s">
        <v>9</v>
      </c>
      <c r="C231" s="3" t="s">
        <v>36</v>
      </c>
      <c r="D231" s="3" t="s">
        <v>773</v>
      </c>
      <c r="E231" s="3" t="s">
        <v>683</v>
      </c>
      <c r="F231" s="5">
        <v>29984</v>
      </c>
      <c r="G231" s="14">
        <f t="shared" ca="1" si="3"/>
        <v>39.441095890410956</v>
      </c>
      <c r="H231" s="3" t="s">
        <v>1178</v>
      </c>
      <c r="I231" t="str" cm="1">
        <f t="array" ref="I231">ADAPTAR(B231)&amp;ADAPTAR(C231)&amp;"_"&amp;ADAPTAR(E231)&amp;F231</f>
        <v>danielaalexandra_agudelo29984</v>
      </c>
      <c r="J231" s="13">
        <v>9</v>
      </c>
      <c r="K231" t="str" cm="1">
        <f t="array" ref="K231">ADAPTAR(B231)&amp;"."&amp;ADAPTAR(D231)&amp;YEAR(F231)&amp;"@"&amp;VLOOKUP(J231,Dominios!$A$2:$B$30,2,FALSE)</f>
        <v>daniela.cabrera1982@libertas.com.co</v>
      </c>
      <c r="L231" s="13">
        <v>9</v>
      </c>
      <c r="M231">
        <f>VLOOKUP(L231,Celulares!$A$2:$B$30,2,FALSE)</f>
        <v>3115060080</v>
      </c>
    </row>
    <row r="232" spans="1:13" ht="15.75" customHeight="1" x14ac:dyDescent="0.25">
      <c r="A232" t="s">
        <v>1667</v>
      </c>
      <c r="B232" s="3" t="s">
        <v>937</v>
      </c>
      <c r="C232" s="3" t="s">
        <v>938</v>
      </c>
      <c r="D232" s="3" t="s">
        <v>774</v>
      </c>
      <c r="E232" s="3" t="s">
        <v>828</v>
      </c>
      <c r="F232" s="5">
        <v>31186</v>
      </c>
      <c r="G232" s="14">
        <f t="shared" ca="1" si="3"/>
        <v>36.147945205479452</v>
      </c>
      <c r="H232" s="3" t="s">
        <v>1229</v>
      </c>
      <c r="I232" t="str" cm="1">
        <f t="array" ref="I232">ADAPTAR(B232)&amp;ADAPTAR(C232)&amp;"_"&amp;ADAPTAR(E232)&amp;F232</f>
        <v>olivajazmin_barrios31186</v>
      </c>
      <c r="J232" s="13">
        <v>10</v>
      </c>
      <c r="K232" t="str" cm="1">
        <f t="array" ref="K232">ADAPTAR(B232)&amp;"."&amp;ADAPTAR(D232)&amp;YEAR(F232)&amp;"@"&amp;VLOOKUP(J232,Dominios!$A$2:$B$30,2,FALSE)</f>
        <v>oliva.rueda1985@nascitur.com.co</v>
      </c>
      <c r="L232" s="13">
        <v>10</v>
      </c>
      <c r="M232">
        <f>VLOOKUP(L232,Celulares!$A$2:$B$30,2,FALSE)</f>
        <v>3115114385</v>
      </c>
    </row>
    <row r="233" spans="1:13" ht="15.75" customHeight="1" x14ac:dyDescent="0.25">
      <c r="A233" t="s">
        <v>1668</v>
      </c>
      <c r="B233" s="3" t="s">
        <v>939</v>
      </c>
      <c r="C233" s="3" t="s">
        <v>940</v>
      </c>
      <c r="D233" s="3" t="s">
        <v>775</v>
      </c>
      <c r="E233" s="3" t="s">
        <v>477</v>
      </c>
      <c r="F233" s="5">
        <v>37204</v>
      </c>
      <c r="G233" s="14">
        <f t="shared" ca="1" si="3"/>
        <v>19.660273972602738</v>
      </c>
      <c r="H233" s="3" t="s">
        <v>1253</v>
      </c>
      <c r="I233" t="str" cm="1">
        <f t="array" ref="I233">ADAPTAR(B233)&amp;ADAPTAR(C233)&amp;"_"&amp;ADAPTAR(E233)&amp;F233</f>
        <v>linabelen_bedoya37204</v>
      </c>
      <c r="J233" s="13">
        <v>11</v>
      </c>
      <c r="K233" t="str" cm="1">
        <f t="array" ref="K233">ADAPTAR(B233)&amp;"."&amp;ADAPTAR(D233)&amp;YEAR(F233)&amp;"@"&amp;VLOOKUP(J233,Dominios!$A$2:$B$30,2,FALSE)</f>
        <v>lina.bermudez2001@nemesis.ml</v>
      </c>
      <c r="L233" s="13">
        <v>11</v>
      </c>
      <c r="M233">
        <f>VLOOKUP(L233,Celulares!$A$2:$B$30,2,FALSE)</f>
        <v>3115114360</v>
      </c>
    </row>
    <row r="234" spans="1:13" ht="15.75" customHeight="1" x14ac:dyDescent="0.25">
      <c r="A234" t="s">
        <v>1669</v>
      </c>
      <c r="B234" s="3" t="s">
        <v>941</v>
      </c>
      <c r="C234" s="3" t="s">
        <v>218</v>
      </c>
      <c r="D234" s="3" t="s">
        <v>776</v>
      </c>
      <c r="E234" s="3" t="s">
        <v>797</v>
      </c>
      <c r="F234" s="5">
        <v>30169</v>
      </c>
      <c r="G234" s="14">
        <f t="shared" ca="1" si="3"/>
        <v>38.934246575342463</v>
      </c>
      <c r="H234" s="3" t="s">
        <v>1185</v>
      </c>
      <c r="I234" t="str" cm="1">
        <f t="array" ref="I234">ADAPTAR(B234)&amp;ADAPTAR(C234)&amp;"_"&amp;ADAPTAR(E234)&amp;F234</f>
        <v>nadiacristina_ayala30169</v>
      </c>
      <c r="J234" s="13">
        <v>12</v>
      </c>
      <c r="K234" t="str" cm="1">
        <f t="array" ref="K234">ADAPTAR(B234)&amp;"."&amp;ADAPTAR(D234)&amp;YEAR(F234)&amp;"@"&amp;VLOOKUP(J234,Dominios!$A$2:$B$30,2,FALSE)</f>
        <v>nadia.cifuentes1982@nunquam.com.co</v>
      </c>
      <c r="L234" s="13">
        <v>12</v>
      </c>
      <c r="M234">
        <f>VLOOKUP(L234,Celulares!$A$2:$B$30,2,FALSE)</f>
        <v>3115093653</v>
      </c>
    </row>
    <row r="235" spans="1:13" ht="15.75" customHeight="1" x14ac:dyDescent="0.25">
      <c r="A235" t="s">
        <v>1670</v>
      </c>
      <c r="B235" s="3" t="s">
        <v>942</v>
      </c>
      <c r="C235" s="3" t="s">
        <v>7</v>
      </c>
      <c r="D235" s="3" t="s">
        <v>777</v>
      </c>
      <c r="E235" s="3" t="s">
        <v>825</v>
      </c>
      <c r="F235" s="5">
        <v>26220</v>
      </c>
      <c r="G235" s="14">
        <f t="shared" ca="1" si="3"/>
        <v>49.753424657534246</v>
      </c>
      <c r="H235" s="3" t="s">
        <v>606</v>
      </c>
      <c r="I235" t="str" cm="1">
        <f t="array" ref="I235">ADAPTAR(B235)&amp;ADAPTAR(C235)&amp;"_"&amp;ADAPTAR(E235)&amp;F235</f>
        <v>miacamila_moreno26220</v>
      </c>
      <c r="J235" s="13">
        <v>13</v>
      </c>
      <c r="K235" t="str" cm="1">
        <f t="array" ref="K235">ADAPTAR(B235)&amp;"."&amp;ADAPTAR(D235)&amp;YEAR(F235)&amp;"@"&amp;VLOOKUP(J235,Dominios!$A$2:$B$30,2,FALSE)</f>
        <v>mia.gallego1971@sempiternam.co</v>
      </c>
      <c r="L235" s="13">
        <v>13</v>
      </c>
      <c r="M235">
        <f>VLOOKUP(L235,Celulares!$A$2:$B$30,2,FALSE)</f>
        <v>3115093598</v>
      </c>
    </row>
    <row r="236" spans="1:13" ht="15.75" customHeight="1" x14ac:dyDescent="0.25">
      <c r="A236" t="s">
        <v>1671</v>
      </c>
      <c r="B236" s="3" t="s">
        <v>198</v>
      </c>
      <c r="C236" s="3" t="s">
        <v>195</v>
      </c>
      <c r="D236" s="3" t="s">
        <v>778</v>
      </c>
      <c r="E236" s="3" t="s">
        <v>816</v>
      </c>
      <c r="F236" s="5">
        <v>37344</v>
      </c>
      <c r="G236" s="14">
        <f t="shared" ca="1" si="3"/>
        <v>19.276712328767122</v>
      </c>
      <c r="H236" s="3" t="s">
        <v>575</v>
      </c>
      <c r="I236" t="str" cm="1">
        <f t="array" ref="I236">ADAPTAR(B236)&amp;ADAPTAR(C236)&amp;"_"&amp;ADAPTAR(E236)&amp;F236</f>
        <v>sandrapatricia_camargo37344</v>
      </c>
      <c r="J236" s="13">
        <v>14</v>
      </c>
      <c r="K236" t="str" cm="1">
        <f t="array" ref="K236">ADAPTAR(B236)&amp;"."&amp;ADAPTAR(D236)&amp;YEAR(F236)&amp;"@"&amp;VLOOKUP(J236,Dominios!$A$2:$B$30,2,FALSE)</f>
        <v>sandra.arevalo2002@sk9.co</v>
      </c>
      <c r="L236" s="13">
        <v>14</v>
      </c>
      <c r="M236">
        <f>VLOOKUP(L236,Celulares!$A$2:$B$30,2,FALSE)</f>
        <v>3115093583</v>
      </c>
    </row>
    <row r="237" spans="1:13" ht="15.75" customHeight="1" x14ac:dyDescent="0.25">
      <c r="A237" t="s">
        <v>1672</v>
      </c>
      <c r="B237" s="3" t="s">
        <v>24</v>
      </c>
      <c r="C237" s="3" t="s">
        <v>306</v>
      </c>
      <c r="D237" s="3" t="s">
        <v>779</v>
      </c>
      <c r="E237" s="3" t="s">
        <v>760</v>
      </c>
      <c r="F237" s="5">
        <v>28354</v>
      </c>
      <c r="G237" s="14">
        <f t="shared" ca="1" si="3"/>
        <v>43.906849315068492</v>
      </c>
      <c r="H237" s="3" t="s">
        <v>580</v>
      </c>
      <c r="I237" t="str" cm="1">
        <f t="array" ref="I237">ADAPTAR(B237)&amp;ADAPTAR(C237)&amp;"_"&amp;ADAPTAR(E237)&amp;F237</f>
        <v>laurasofia_alzate28354</v>
      </c>
      <c r="J237" s="13">
        <v>15</v>
      </c>
      <c r="K237" t="str" cm="1">
        <f t="array" ref="K237">ADAPTAR(B237)&amp;"."&amp;ADAPTAR(D237)&amp;YEAR(F237)&amp;"@"&amp;VLOOKUP(J237,Dominios!$A$2:$B$30,2,FALSE)</f>
        <v>laura.valencia1977@socialmediacolombia.com.co</v>
      </c>
      <c r="L237" s="13">
        <v>15</v>
      </c>
      <c r="M237">
        <f>VLOOKUP(L237,Celulares!$A$2:$B$30,2,FALSE)</f>
        <v>3115092386</v>
      </c>
    </row>
    <row r="238" spans="1:13" ht="15.75" customHeight="1" x14ac:dyDescent="0.25">
      <c r="A238" t="s">
        <v>1673</v>
      </c>
      <c r="B238" s="3" t="s">
        <v>204</v>
      </c>
      <c r="C238" s="3" t="s">
        <v>50</v>
      </c>
      <c r="D238" s="3" t="s">
        <v>780</v>
      </c>
      <c r="E238" s="3" t="s">
        <v>701</v>
      </c>
      <c r="F238" s="5">
        <v>26916</v>
      </c>
      <c r="G238" s="14">
        <f t="shared" ca="1" si="3"/>
        <v>47.846575342465755</v>
      </c>
      <c r="H238" s="3" t="s">
        <v>1252</v>
      </c>
      <c r="I238" t="str" cm="1">
        <f t="array" ref="I238">ADAPTAR(B238)&amp;ADAPTAR(C238)&amp;"_"&amp;ADAPTAR(E238)&amp;F238</f>
        <v>tatianamaria_vega26916</v>
      </c>
      <c r="J238" s="13">
        <v>16</v>
      </c>
      <c r="K238" t="str" cm="1">
        <f t="array" ref="K238">ADAPTAR(B238)&amp;"."&amp;ADAPTAR(D238)&amp;YEAR(F238)&amp;"@"&amp;VLOOKUP(J238,Dominios!$A$2:$B$30,2,FALSE)</f>
        <v>tatiana.amaya1973@tecnicoensistemas.com.co</v>
      </c>
      <c r="L238" s="13">
        <v>16</v>
      </c>
      <c r="M238">
        <f>VLOOKUP(L238,Celulares!$A$2:$B$30,2,FALSE)</f>
        <v>3115092375</v>
      </c>
    </row>
    <row r="239" spans="1:13" ht="15.75" customHeight="1" x14ac:dyDescent="0.25">
      <c r="A239" t="s">
        <v>1674</v>
      </c>
      <c r="B239" s="3" t="s">
        <v>30</v>
      </c>
      <c r="C239" s="3" t="s">
        <v>620</v>
      </c>
      <c r="D239" s="3" t="s">
        <v>781</v>
      </c>
      <c r="E239" s="3" t="s">
        <v>755</v>
      </c>
      <c r="F239" s="5">
        <v>37342</v>
      </c>
      <c r="G239" s="14">
        <f t="shared" ca="1" si="3"/>
        <v>19.282191780821918</v>
      </c>
      <c r="H239" s="3" t="s">
        <v>1246</v>
      </c>
      <c r="I239" t="str" cm="1">
        <f t="array" ref="I239">ADAPTAR(B239)&amp;ADAPTAR(C239)&amp;"_"&amp;ADAPTAR(E239)&amp;F239</f>
        <v>claudiavictoria_bolanos37342</v>
      </c>
      <c r="J239" s="13">
        <v>17</v>
      </c>
      <c r="K239" t="str" cm="1">
        <f t="array" ref="K239">ADAPTAR(B239)&amp;"."&amp;ADAPTAR(D239)&amp;YEAR(F239)&amp;"@"&amp;VLOOKUP(J239,Dominios!$A$2:$B$30,2,FALSE)</f>
        <v>claudia.guerra2002@totum.com.co</v>
      </c>
      <c r="L239" s="13">
        <v>17</v>
      </c>
      <c r="M239">
        <f>VLOOKUP(L239,Celulares!$A$2:$B$30,2,FALSE)</f>
        <v>3115092369</v>
      </c>
    </row>
    <row r="240" spans="1:13" ht="15.75" customHeight="1" x14ac:dyDescent="0.25">
      <c r="A240" t="s">
        <v>1675</v>
      </c>
      <c r="B240" s="3" t="s">
        <v>149</v>
      </c>
      <c r="C240" s="3" t="s">
        <v>50</v>
      </c>
      <c r="D240" s="3" t="s">
        <v>782</v>
      </c>
      <c r="E240" s="3" t="s">
        <v>830</v>
      </c>
      <c r="F240" s="5">
        <v>27073</v>
      </c>
      <c r="G240" s="14">
        <f t="shared" ca="1" si="3"/>
        <v>47.416438356164385</v>
      </c>
      <c r="H240" s="3" t="s">
        <v>1168</v>
      </c>
      <c r="I240" t="str" cm="1">
        <f t="array" ref="I240">ADAPTAR(B240)&amp;ADAPTAR(C240)&amp;"_"&amp;ADAPTAR(E240)&amp;F240</f>
        <v>aliciamaria_camacho27073</v>
      </c>
      <c r="J240" s="13">
        <v>18</v>
      </c>
      <c r="K240" t="str" cm="1">
        <f t="array" ref="K240">ADAPTAR(B240)&amp;"."&amp;ADAPTAR(D240)&amp;YEAR(F240)&amp;"@"&amp;VLOOKUP(J240,Dominios!$A$2:$B$30,2,FALSE)</f>
        <v>alicia.forero1974@voipcolombia.co</v>
      </c>
      <c r="L240" s="13">
        <v>18</v>
      </c>
      <c r="M240">
        <f>VLOOKUP(L240,Celulares!$A$2:$B$30,2,FALSE)</f>
        <v>3115092360</v>
      </c>
    </row>
    <row r="241" spans="1:13" ht="15.75" customHeight="1" x14ac:dyDescent="0.25">
      <c r="A241" t="s">
        <v>1676</v>
      </c>
      <c r="B241" s="3" t="s">
        <v>943</v>
      </c>
      <c r="C241" s="3" t="s">
        <v>8</v>
      </c>
      <c r="D241" s="3" t="s">
        <v>783</v>
      </c>
      <c r="E241" s="3" t="s">
        <v>99</v>
      </c>
      <c r="F241" s="5">
        <v>36782</v>
      </c>
      <c r="G241" s="14">
        <f t="shared" ca="1" si="3"/>
        <v>20.816438356164383</v>
      </c>
      <c r="H241" s="3" t="s">
        <v>1177</v>
      </c>
      <c r="I241" t="str" cm="1">
        <f t="array" ref="I241">ADAPTAR(B241)&amp;ADAPTAR(C241)&amp;"_"&amp;ADAPTAR(E241)&amp;F241</f>
        <v>juanavalentina_avila36782</v>
      </c>
      <c r="J241" s="13">
        <v>19</v>
      </c>
      <c r="K241" t="str" cm="1">
        <f t="array" ref="K241">ADAPTAR(B241)&amp;"."&amp;ADAPTAR(D241)&amp;YEAR(F241)&amp;"@"&amp;VLOOKUP(J241,Dominios!$A$2:$B$30,2,FALSE)</f>
        <v>juana.pena2000@vpncolombia.com.co</v>
      </c>
      <c r="L241" s="13">
        <v>19</v>
      </c>
      <c r="M241">
        <f>VLOOKUP(L241,Celulares!$A$2:$B$30,2,FALSE)</f>
        <v>3115092352</v>
      </c>
    </row>
    <row r="242" spans="1:13" ht="15.75" customHeight="1" x14ac:dyDescent="0.25">
      <c r="A242" t="s">
        <v>1677</v>
      </c>
      <c r="B242" s="3" t="s">
        <v>944</v>
      </c>
      <c r="C242" s="3" t="s">
        <v>945</v>
      </c>
      <c r="D242" s="3" t="s">
        <v>278</v>
      </c>
      <c r="E242" s="3" t="s">
        <v>727</v>
      </c>
      <c r="F242" s="5">
        <v>25931</v>
      </c>
      <c r="G242" s="14">
        <f t="shared" ca="1" si="3"/>
        <v>50.545205479452058</v>
      </c>
      <c r="H242" s="3" t="s">
        <v>589</v>
      </c>
      <c r="I242" t="str" cm="1">
        <f t="array" ref="I242">ADAPTAR(B242)&amp;ADAPTAR(C242)&amp;"_"&amp;ADAPTAR(E242)&amp;F242</f>
        <v>piedaddel carmen_nunez25931</v>
      </c>
      <c r="J242" s="13">
        <v>0</v>
      </c>
      <c r="K242" t="str" cm="1">
        <f t="array" ref="K242">ADAPTAR(B242)&amp;"."&amp;ADAPTAR(D242)&amp;YEAR(F242)&amp;"@"&amp;VLOOKUP(J242,Dominios!$A$2:$B$30,2,FALSE)</f>
        <v>piedad.cruz1970@auribus.com.co</v>
      </c>
      <c r="L242" s="13">
        <v>0</v>
      </c>
      <c r="M242">
        <f>VLOOKUP(L242,Celulares!$A$2:$B$30,2,FALSE)</f>
        <v>3115114930</v>
      </c>
    </row>
    <row r="243" spans="1:13" ht="15.75" customHeight="1" x14ac:dyDescent="0.25">
      <c r="A243" t="s">
        <v>1678</v>
      </c>
      <c r="B243" s="3" t="s">
        <v>625</v>
      </c>
      <c r="C243" s="3" t="s">
        <v>50</v>
      </c>
      <c r="D243" s="3" t="s">
        <v>784</v>
      </c>
      <c r="E243" s="3" t="s">
        <v>793</v>
      </c>
      <c r="F243" s="5">
        <v>37066</v>
      </c>
      <c r="G243" s="14">
        <f t="shared" ca="1" si="3"/>
        <v>20.038356164383561</v>
      </c>
      <c r="H243" s="3" t="s">
        <v>1202</v>
      </c>
      <c r="I243" t="str" cm="1">
        <f t="array" ref="I243">ADAPTAR(B243)&amp;ADAPTAR(C243)&amp;"_"&amp;ADAPTAR(E243)&amp;F243</f>
        <v>olgamaria_ramos37066</v>
      </c>
      <c r="J243" s="13">
        <v>1</v>
      </c>
      <c r="K243" t="str" cm="1">
        <f t="array" ref="K243">ADAPTAR(B243)&amp;"."&amp;ADAPTAR(D243)&amp;YEAR(F243)&amp;"@"&amp;VLOOKUP(J243,Dominios!$A$2:$B$30,2,FALSE)</f>
        <v>olga.torres2001@colamus.co</v>
      </c>
      <c r="L243" s="13">
        <v>1</v>
      </c>
      <c r="M243">
        <f>VLOOKUP(L243,Celulares!$A$2:$B$30,2,FALSE)</f>
        <v>3115114916</v>
      </c>
    </row>
    <row r="244" spans="1:13" ht="15.75" customHeight="1" x14ac:dyDescent="0.25">
      <c r="A244" t="s">
        <v>1679</v>
      </c>
      <c r="B244" s="3" t="s">
        <v>946</v>
      </c>
      <c r="C244" s="3" t="s">
        <v>78</v>
      </c>
      <c r="D244" s="3" t="s">
        <v>785</v>
      </c>
      <c r="E244" s="3" t="s">
        <v>474</v>
      </c>
      <c r="F244" s="5">
        <v>29734</v>
      </c>
      <c r="G244" s="14">
        <f t="shared" ca="1" si="3"/>
        <v>40.126027397260273</v>
      </c>
      <c r="H244" s="3" t="s">
        <v>1255</v>
      </c>
      <c r="I244" t="str" cm="1">
        <f t="array" ref="I244">ADAPTAR(B244)&amp;ADAPTAR(C244)&amp;"_"&amp;ADAPTAR(E244)&amp;F244</f>
        <v>carolliliana_villa29734</v>
      </c>
      <c r="J244" s="13">
        <v>2</v>
      </c>
      <c r="K244" t="str" cm="1">
        <f t="array" ref="K244">ADAPTAR(B244)&amp;"."&amp;ADAPTAR(D244)&amp;YEAR(F244)&amp;"@"&amp;VLOOKUP(J244,Dominios!$A$2:$B$30,2,FALSE)</f>
        <v>carol.cano1981@colombiamail.co</v>
      </c>
      <c r="L244" s="13">
        <v>2</v>
      </c>
      <c r="M244">
        <f>VLOOKUP(L244,Celulares!$A$2:$B$30,2,FALSE)</f>
        <v>3115114911</v>
      </c>
    </row>
    <row r="245" spans="1:13" ht="15.75" customHeight="1" x14ac:dyDescent="0.25">
      <c r="A245" t="s">
        <v>1680</v>
      </c>
      <c r="B245" s="3" t="s">
        <v>108</v>
      </c>
      <c r="C245" s="3" t="s">
        <v>13</v>
      </c>
      <c r="D245" s="3" t="s">
        <v>522</v>
      </c>
      <c r="E245" s="3" t="s">
        <v>773</v>
      </c>
      <c r="F245" s="5">
        <v>24741</v>
      </c>
      <c r="G245" s="14">
        <f t="shared" ca="1" si="3"/>
        <v>53.805479452054797</v>
      </c>
      <c r="H245" s="3" t="s">
        <v>1263</v>
      </c>
      <c r="I245" t="str" cm="1">
        <f t="array" ref="I245">ADAPTAR(B245)&amp;ADAPTAR(C245)&amp;"_"&amp;ADAPTAR(E245)&amp;F245</f>
        <v>gloriaandrea_cabrera24741</v>
      </c>
      <c r="J245" s="13">
        <v>3</v>
      </c>
      <c r="K245" t="str" cm="1">
        <f t="array" ref="K245">ADAPTAR(B245)&amp;"."&amp;ADAPTAR(D245)&amp;YEAR(F245)&amp;"@"&amp;VLOOKUP(J245,Dominios!$A$2:$B$30,2,FALSE)</f>
        <v>gloria.bonilla1967@diabunter.co</v>
      </c>
      <c r="L245" s="13">
        <v>3</v>
      </c>
      <c r="M245">
        <f>VLOOKUP(L245,Celulares!$A$2:$B$30,2,FALSE)</f>
        <v>3115114910</v>
      </c>
    </row>
    <row r="246" spans="1:13" ht="15.75" customHeight="1" x14ac:dyDescent="0.25">
      <c r="A246" t="s">
        <v>1681</v>
      </c>
      <c r="B246" s="3" t="s">
        <v>947</v>
      </c>
      <c r="C246" s="3" t="s">
        <v>948</v>
      </c>
      <c r="D246" s="3" t="s">
        <v>786</v>
      </c>
      <c r="E246" s="3" t="s">
        <v>836</v>
      </c>
      <c r="F246" s="5">
        <v>35087</v>
      </c>
      <c r="G246" s="14">
        <f t="shared" ca="1" si="3"/>
        <v>25.460273972602739</v>
      </c>
      <c r="H246" s="3" t="s">
        <v>1163</v>
      </c>
      <c r="I246" t="str" cm="1">
        <f t="array" ref="I246">ADAPTAR(B246)&amp;ADAPTAR(C246)&amp;"_"&amp;ADAPTAR(E246)&amp;F246</f>
        <v>margotsoraya_jimenez35087</v>
      </c>
      <c r="J246" s="13">
        <v>4</v>
      </c>
      <c r="K246" t="str" cm="1">
        <f t="array" ref="K246">ADAPTAR(B246)&amp;"."&amp;ADAPTAR(D246)&amp;YEAR(F246)&amp;"@"&amp;VLOOKUP(J246,Dominios!$A$2:$B$30,2,FALSE)</f>
        <v>margot.aguirre1996@ebrietas.co</v>
      </c>
      <c r="L246" s="13">
        <v>4</v>
      </c>
      <c r="M246">
        <f>VLOOKUP(L246,Celulares!$A$2:$B$30,2,FALSE)</f>
        <v>3115114909</v>
      </c>
    </row>
    <row r="247" spans="1:13" ht="15.75" customHeight="1" x14ac:dyDescent="0.25">
      <c r="A247" t="s">
        <v>1682</v>
      </c>
      <c r="B247" s="3" t="s">
        <v>109</v>
      </c>
      <c r="C247" s="3" t="s">
        <v>134</v>
      </c>
      <c r="D247" s="3" t="s">
        <v>787</v>
      </c>
      <c r="E247" s="3" t="s">
        <v>726</v>
      </c>
      <c r="F247" s="5">
        <v>30475</v>
      </c>
      <c r="G247" s="14">
        <f t="shared" ca="1" si="3"/>
        <v>38.095890410958901</v>
      </c>
      <c r="H247" s="3" t="s">
        <v>547</v>
      </c>
      <c r="I247" t="str" cm="1">
        <f t="array" ref="I247">ADAPTAR(B247)&amp;ADAPTAR(C247)&amp;"_"&amp;ADAPTAR(E247)&amp;F247</f>
        <v>ingridlorena_espinosa30475</v>
      </c>
      <c r="J247" s="13">
        <v>5</v>
      </c>
      <c r="K247" t="str" cm="1">
        <f t="array" ref="K247">ADAPTAR(B247)&amp;"."&amp;ADAPTAR(D247)&amp;YEAR(F247)&amp;"@"&amp;VLOOKUP(J247,Dominios!$A$2:$B$30,2,FALSE)</f>
        <v>ingrid.duran1983@elsinsonte.co</v>
      </c>
      <c r="L247" s="13">
        <v>5</v>
      </c>
      <c r="M247">
        <f>VLOOKUP(L247,Celulares!$A$2:$B$30,2,FALSE)</f>
        <v>3115060130</v>
      </c>
    </row>
    <row r="248" spans="1:13" ht="15.75" customHeight="1" x14ac:dyDescent="0.25">
      <c r="A248" t="s">
        <v>1683</v>
      </c>
      <c r="B248" s="3" t="s">
        <v>30</v>
      </c>
      <c r="C248" s="3" t="s">
        <v>304</v>
      </c>
      <c r="D248" s="3" t="s">
        <v>788</v>
      </c>
      <c r="E248" s="3" t="s">
        <v>788</v>
      </c>
      <c r="F248" s="5">
        <v>35093</v>
      </c>
      <c r="G248" s="14">
        <f t="shared" ca="1" si="3"/>
        <v>25.443835616438356</v>
      </c>
      <c r="H248" s="3" t="s">
        <v>1218</v>
      </c>
      <c r="I248" t="str" cm="1">
        <f t="array" ref="I248">ADAPTAR(B248)&amp;ADAPTAR(C248)&amp;"_"&amp;ADAPTAR(E248)&amp;F248</f>
        <v>claudialucia_ordonez35093</v>
      </c>
      <c r="J248" s="13">
        <v>6</v>
      </c>
      <c r="K248" t="str" cm="1">
        <f t="array" ref="K248">ADAPTAR(B248)&amp;"."&amp;ADAPTAR(D248)&amp;YEAR(F248)&amp;"@"&amp;VLOOKUP(J248,Dominios!$A$2:$B$30,2,FALSE)</f>
        <v>claudia.ordonez1996@enigmaserver.co</v>
      </c>
      <c r="L248" s="13">
        <v>6</v>
      </c>
      <c r="M248">
        <f>VLOOKUP(L248,Celulares!$A$2:$B$30,2,FALSE)</f>
        <v>3115060125</v>
      </c>
    </row>
    <row r="249" spans="1:13" ht="15.75" customHeight="1" x14ac:dyDescent="0.25">
      <c r="A249" t="s">
        <v>1684</v>
      </c>
      <c r="B249" s="3" t="s">
        <v>306</v>
      </c>
      <c r="C249" s="3" t="s">
        <v>38</v>
      </c>
      <c r="D249" s="3" t="s">
        <v>789</v>
      </c>
      <c r="E249" s="3" t="s">
        <v>670</v>
      </c>
      <c r="F249" s="5">
        <v>31192</v>
      </c>
      <c r="G249" s="14">
        <f t="shared" ca="1" si="3"/>
        <v>36.131506849315066</v>
      </c>
      <c r="H249" s="3" t="s">
        <v>1189</v>
      </c>
      <c r="I249" t="str" cm="1">
        <f t="array" ref="I249">ADAPTAR(B249)&amp;ADAPTAR(C249)&amp;"_"&amp;ADAPTAR(E249)&amp;F249</f>
        <v>sofiahelena_acosta31192</v>
      </c>
      <c r="J249" s="13">
        <v>7</v>
      </c>
      <c r="K249" t="str" cm="1">
        <f t="array" ref="K249">ADAPTAR(B249)&amp;"."&amp;ADAPTAR(D249)&amp;YEAR(F249)&amp;"@"&amp;VLOOKUP(J249,Dominios!$A$2:$B$30,2,FALSE)</f>
        <v>sofia.carmona1985@hocknas.co</v>
      </c>
      <c r="L249" s="13">
        <v>7</v>
      </c>
      <c r="M249">
        <f>VLOOKUP(L249,Celulares!$A$2:$B$30,2,FALSE)</f>
        <v>3115060110</v>
      </c>
    </row>
    <row r="250" spans="1:13" ht="15.75" customHeight="1" x14ac:dyDescent="0.25">
      <c r="A250" t="s">
        <v>1685</v>
      </c>
      <c r="B250" s="3" t="s">
        <v>949</v>
      </c>
      <c r="C250" s="3" t="s">
        <v>306</v>
      </c>
      <c r="D250" s="3" t="s">
        <v>790</v>
      </c>
      <c r="E250" s="3" t="s">
        <v>721</v>
      </c>
      <c r="F250" s="5">
        <v>31092</v>
      </c>
      <c r="G250" s="14">
        <f t="shared" ca="1" si="3"/>
        <v>36.405479452054792</v>
      </c>
      <c r="H250" s="3" t="s">
        <v>566</v>
      </c>
      <c r="I250" t="str" cm="1">
        <f t="array" ref="I250">ADAPTAR(B250)&amp;ADAPTAR(C250)&amp;"_"&amp;ADAPTAR(E250)&amp;F250</f>
        <v>karensofia_aguilar31092</v>
      </c>
      <c r="J250" s="13">
        <v>8</v>
      </c>
      <c r="K250" t="str" cm="1">
        <f t="array" ref="K250">ADAPTAR(B250)&amp;"."&amp;ADAPTAR(D250)&amp;YEAR(F250)&amp;"@"&amp;VLOOKUP(J250,Dominios!$A$2:$B$30,2,FALSE)</f>
        <v>karen.gil1985@hostedoceri.co</v>
      </c>
      <c r="L250" s="13">
        <v>8</v>
      </c>
      <c r="M250">
        <f>VLOOKUP(L250,Celulares!$A$2:$B$30,2,FALSE)</f>
        <v>3115060091</v>
      </c>
    </row>
    <row r="251" spans="1:13" ht="15.75" customHeight="1" x14ac:dyDescent="0.25">
      <c r="A251" t="s">
        <v>1686</v>
      </c>
      <c r="B251" s="3" t="s">
        <v>50</v>
      </c>
      <c r="C251" s="3" t="s">
        <v>17</v>
      </c>
      <c r="D251" s="3" t="s">
        <v>791</v>
      </c>
      <c r="E251" s="3" t="s">
        <v>298</v>
      </c>
      <c r="F251" s="5">
        <v>32767</v>
      </c>
      <c r="G251" s="14">
        <f t="shared" ca="1" si="3"/>
        <v>31.816438356164383</v>
      </c>
      <c r="H251" s="3" t="s">
        <v>1202</v>
      </c>
      <c r="I251" t="str" cm="1">
        <f t="array" ref="I251">ADAPTAR(B251)&amp;ADAPTAR(C251)&amp;"_"&amp;ADAPTAR(E251)&amp;F251</f>
        <v>mariafernanda_jaimes32767</v>
      </c>
      <c r="J251" s="13">
        <v>9</v>
      </c>
      <c r="K251" t="str" cm="1">
        <f t="array" ref="K251">ADAPTAR(B251)&amp;"."&amp;ADAPTAR(D251)&amp;YEAR(F251)&amp;"@"&amp;VLOOKUP(J251,Dominios!$A$2:$B$30,2,FALSE)</f>
        <v>maria.gomez1989@libertas.com.co</v>
      </c>
      <c r="L251" s="13">
        <v>9</v>
      </c>
      <c r="M251">
        <f>VLOOKUP(L251,Celulares!$A$2:$B$30,2,FALSE)</f>
        <v>3115060080</v>
      </c>
    </row>
    <row r="252" spans="1:13" ht="15.75" customHeight="1" x14ac:dyDescent="0.25">
      <c r="A252" t="s">
        <v>1687</v>
      </c>
      <c r="B252" s="3" t="s">
        <v>950</v>
      </c>
      <c r="C252" s="3" t="s">
        <v>50</v>
      </c>
      <c r="D252" s="3" t="s">
        <v>792</v>
      </c>
      <c r="E252" s="3" t="s">
        <v>786</v>
      </c>
      <c r="F252" s="5">
        <v>37133</v>
      </c>
      <c r="G252" s="14">
        <f t="shared" ca="1" si="3"/>
        <v>19.854794520547944</v>
      </c>
      <c r="H252" s="3" t="s">
        <v>1189</v>
      </c>
      <c r="I252" t="str" cm="1">
        <f t="array" ref="I252">ADAPTAR(B252)&amp;ADAPTAR(C252)&amp;"_"&amp;ADAPTAR(E252)&amp;F252</f>
        <v>nelcymaria_aguirre37133</v>
      </c>
      <c r="J252" s="13">
        <v>10</v>
      </c>
      <c r="K252" t="str" cm="1">
        <f t="array" ref="K252">ADAPTAR(B252)&amp;"."&amp;ADAPTAR(D252)&amp;YEAR(F252)&amp;"@"&amp;VLOOKUP(J252,Dominios!$A$2:$B$30,2,FALSE)</f>
        <v>nelcy.blanco2001@nascitur.com.co</v>
      </c>
      <c r="L252" s="13">
        <v>10</v>
      </c>
      <c r="M252">
        <f>VLOOKUP(L252,Celulares!$A$2:$B$30,2,FALSE)</f>
        <v>3115114385</v>
      </c>
    </row>
    <row r="253" spans="1:13" ht="15.75" customHeight="1" x14ac:dyDescent="0.25">
      <c r="A253" t="s">
        <v>1688</v>
      </c>
      <c r="B253" s="3" t="s">
        <v>20</v>
      </c>
      <c r="C253" s="3" t="s">
        <v>951</v>
      </c>
      <c r="D253" s="3" t="s">
        <v>793</v>
      </c>
      <c r="E253" s="3" t="s">
        <v>749</v>
      </c>
      <c r="F253" s="5">
        <v>29322</v>
      </c>
      <c r="G253" s="14">
        <f t="shared" ca="1" si="3"/>
        <v>41.254794520547946</v>
      </c>
      <c r="H253" s="3" t="s">
        <v>1227</v>
      </c>
      <c r="I253" t="str" cm="1">
        <f t="array" ref="I253">ADAPTAR(B253)&amp;ADAPTAR(C253)&amp;"_"&amp;ADAPTAR(E253)&amp;F253</f>
        <v>analucrecia_lopez29322</v>
      </c>
      <c r="J253" s="13">
        <v>11</v>
      </c>
      <c r="K253" t="str" cm="1">
        <f t="array" ref="K253">ADAPTAR(B253)&amp;"."&amp;ADAPTAR(D253)&amp;YEAR(F253)&amp;"@"&amp;VLOOKUP(J253,Dominios!$A$2:$B$30,2,FALSE)</f>
        <v>ana.ramos1980@nemesis.ml</v>
      </c>
      <c r="L253" s="13">
        <v>11</v>
      </c>
      <c r="M253">
        <f>VLOOKUP(L253,Celulares!$A$2:$B$30,2,FALSE)</f>
        <v>3115114360</v>
      </c>
    </row>
    <row r="254" spans="1:13" ht="15.75" customHeight="1" x14ac:dyDescent="0.25">
      <c r="A254" t="s">
        <v>1689</v>
      </c>
      <c r="B254" s="3" t="s">
        <v>30</v>
      </c>
      <c r="C254" s="3" t="s">
        <v>195</v>
      </c>
      <c r="D254" s="3" t="s">
        <v>794</v>
      </c>
      <c r="E254" s="3" t="s">
        <v>778</v>
      </c>
      <c r="F254" s="5">
        <v>24593</v>
      </c>
      <c r="G254" s="14">
        <f t="shared" ca="1" si="3"/>
        <v>54.210958904109589</v>
      </c>
      <c r="H254" s="3" t="s">
        <v>1163</v>
      </c>
      <c r="I254" t="str" cm="1">
        <f t="array" ref="I254">ADAPTAR(B254)&amp;ADAPTAR(C254)&amp;"_"&amp;ADAPTAR(E254)&amp;F254</f>
        <v>claudiapatricia_arevalo24593</v>
      </c>
      <c r="J254" s="13">
        <v>12</v>
      </c>
      <c r="K254" t="str" cm="1">
        <f t="array" ref="K254">ADAPTAR(B254)&amp;"."&amp;ADAPTAR(D254)&amp;YEAR(F254)&amp;"@"&amp;VLOOKUP(J254,Dominios!$A$2:$B$30,2,FALSE)</f>
        <v>claudia.sarmiento1967@nunquam.com.co</v>
      </c>
      <c r="L254" s="13">
        <v>12</v>
      </c>
      <c r="M254">
        <f>VLOOKUP(L254,Celulares!$A$2:$B$30,2,FALSE)</f>
        <v>3115093653</v>
      </c>
    </row>
    <row r="255" spans="1:13" ht="15.75" customHeight="1" x14ac:dyDescent="0.25">
      <c r="A255" t="s">
        <v>1690</v>
      </c>
      <c r="B255" s="3" t="s">
        <v>952</v>
      </c>
      <c r="C255" s="3" t="s">
        <v>953</v>
      </c>
      <c r="D255" s="3" t="s">
        <v>795</v>
      </c>
      <c r="E255" s="3" t="s">
        <v>756</v>
      </c>
      <c r="F255" s="5">
        <v>28245</v>
      </c>
      <c r="G255" s="14">
        <f t="shared" ca="1" si="3"/>
        <v>44.205479452054796</v>
      </c>
      <c r="H255" s="3" t="s">
        <v>1237</v>
      </c>
      <c r="I255" t="str" cm="1">
        <f t="array" ref="I255">ADAPTAR(B255)&amp;ADAPTAR(C255)&amp;"_"&amp;ADAPTAR(E255)&amp;F255</f>
        <v>barbaraliseht_perdomo28245</v>
      </c>
      <c r="J255" s="13">
        <v>13</v>
      </c>
      <c r="K255" t="str" cm="1">
        <f t="array" ref="K255">ADAPTAR(B255)&amp;"."&amp;ADAPTAR(D255)&amp;YEAR(F255)&amp;"@"&amp;VLOOKUP(J255,Dominios!$A$2:$B$30,2,FALSE)</f>
        <v>barbara.hoyos1977@sempiternam.co</v>
      </c>
      <c r="L255" s="13">
        <v>13</v>
      </c>
      <c r="M255">
        <f>VLOOKUP(L255,Celulares!$A$2:$B$30,2,FALSE)</f>
        <v>3115093598</v>
      </c>
    </row>
    <row r="256" spans="1:13" ht="15.75" customHeight="1" x14ac:dyDescent="0.25">
      <c r="A256" t="s">
        <v>1691</v>
      </c>
      <c r="B256" s="3" t="s">
        <v>140</v>
      </c>
      <c r="C256" s="3" t="s">
        <v>933</v>
      </c>
      <c r="D256" s="3" t="s">
        <v>709</v>
      </c>
      <c r="E256" s="3" t="s">
        <v>735</v>
      </c>
      <c r="F256" s="5">
        <v>30423</v>
      </c>
      <c r="G256" s="14">
        <f t="shared" ca="1" si="3"/>
        <v>38.238356164383561</v>
      </c>
      <c r="H256" s="3" t="s">
        <v>1248</v>
      </c>
      <c r="I256" t="str" cm="1">
        <f t="array" ref="I256">ADAPTAR(B256)&amp;ADAPTAR(C256)&amp;"_"&amp;ADAPTAR(E256)&amp;F256</f>
        <v>luisaestefania_romero30423</v>
      </c>
      <c r="J256" s="13">
        <v>14</v>
      </c>
      <c r="K256" t="str" cm="1">
        <f t="array" ref="K256">ADAPTAR(B256)&amp;"."&amp;ADAPTAR(D256)&amp;YEAR(F256)&amp;"@"&amp;VLOOKUP(J256,Dominios!$A$2:$B$30,2,FALSE)</f>
        <v>luisa.bernal1983@sk9.co</v>
      </c>
      <c r="L256" s="13">
        <v>14</v>
      </c>
      <c r="M256">
        <f>VLOOKUP(L256,Celulares!$A$2:$B$30,2,FALSE)</f>
        <v>3115093583</v>
      </c>
    </row>
    <row r="257" spans="1:13" ht="15.75" customHeight="1" x14ac:dyDescent="0.25">
      <c r="A257" t="s">
        <v>1692</v>
      </c>
      <c r="B257" s="3" t="s">
        <v>31</v>
      </c>
      <c r="C257" s="3" t="s">
        <v>954</v>
      </c>
      <c r="D257" s="3" t="s">
        <v>796</v>
      </c>
      <c r="E257" s="3" t="s">
        <v>708</v>
      </c>
      <c r="F257" s="5">
        <v>37429</v>
      </c>
      <c r="G257" s="14">
        <f t="shared" ca="1" si="3"/>
        <v>19.043835616438358</v>
      </c>
      <c r="H257" s="3" t="s">
        <v>1226</v>
      </c>
      <c r="I257" t="str" cm="1">
        <f t="array" ref="I257">ADAPTAR(B257)&amp;ADAPTAR(C257)&amp;"_"&amp;ADAPTAR(E257)&amp;F257</f>
        <v>paolaroxana_arango37429</v>
      </c>
      <c r="J257" s="13">
        <v>15</v>
      </c>
      <c r="K257" t="str" cm="1">
        <f t="array" ref="K257">ADAPTAR(B257)&amp;"."&amp;ADAPTAR(D257)&amp;YEAR(F257)&amp;"@"&amp;VLOOKUP(J257,Dominios!$A$2:$B$30,2,FALSE)</f>
        <v>paola.arboleda2002@socialmediacolombia.com.co</v>
      </c>
      <c r="L257" s="13">
        <v>15</v>
      </c>
      <c r="M257">
        <f>VLOOKUP(L257,Celulares!$A$2:$B$30,2,FALSE)</f>
        <v>3115092386</v>
      </c>
    </row>
    <row r="258" spans="1:13" ht="15.75" customHeight="1" x14ac:dyDescent="0.25">
      <c r="A258" t="s">
        <v>1693</v>
      </c>
      <c r="B258" s="3" t="s">
        <v>20</v>
      </c>
      <c r="C258" s="3" t="s">
        <v>955</v>
      </c>
      <c r="D258" s="3" t="s">
        <v>670</v>
      </c>
      <c r="E258" s="3" t="s">
        <v>827</v>
      </c>
      <c r="F258" s="5">
        <v>33368</v>
      </c>
      <c r="G258" s="14">
        <f t="shared" ca="1" si="3"/>
        <v>30.169863013698631</v>
      </c>
      <c r="H258" s="3" t="s">
        <v>1188</v>
      </c>
      <c r="I258" t="str" cm="1">
        <f t="array" ref="I258">ADAPTAR(B258)&amp;ADAPTAR(C258)&amp;"_"&amp;ADAPTAR(E258)&amp;F258</f>
        <v>anamercedes_martinez33368</v>
      </c>
      <c r="J258" s="13">
        <v>16</v>
      </c>
      <c r="K258" t="str" cm="1">
        <f t="array" ref="K258">ADAPTAR(B258)&amp;"."&amp;ADAPTAR(D258)&amp;YEAR(F258)&amp;"@"&amp;VLOOKUP(J258,Dominios!$A$2:$B$30,2,FALSE)</f>
        <v>ana.acosta1991@tecnicoensistemas.com.co</v>
      </c>
      <c r="L258" s="13">
        <v>16</v>
      </c>
      <c r="M258">
        <f>VLOOKUP(L258,Celulares!$A$2:$B$30,2,FALSE)</f>
        <v>3115092375</v>
      </c>
    </row>
    <row r="259" spans="1:13" ht="15.75" customHeight="1" x14ac:dyDescent="0.25">
      <c r="A259" t="s">
        <v>1694</v>
      </c>
      <c r="B259" s="3" t="s">
        <v>956</v>
      </c>
      <c r="C259" s="3" t="s">
        <v>306</v>
      </c>
      <c r="D259" s="3" t="s">
        <v>797</v>
      </c>
      <c r="E259" s="3" t="s">
        <v>791</v>
      </c>
      <c r="F259" s="5">
        <v>24624</v>
      </c>
      <c r="G259" s="14">
        <f t="shared" ref="G259:G322" ca="1" si="4">(TODAY()-F259)/365</f>
        <v>54.126027397260273</v>
      </c>
      <c r="H259" s="3" t="s">
        <v>1250</v>
      </c>
      <c r="I259" t="str" cm="1">
        <f t="array" ref="I259">ADAPTAR(B259)&amp;ADAPTAR(C259)&amp;"_"&amp;ADAPTAR(E259)&amp;F259</f>
        <v>fridasofia_gomez24624</v>
      </c>
      <c r="J259" s="13">
        <v>17</v>
      </c>
      <c r="K259" t="str" cm="1">
        <f t="array" ref="K259">ADAPTAR(B259)&amp;"."&amp;ADAPTAR(D259)&amp;YEAR(F259)&amp;"@"&amp;VLOOKUP(J259,Dominios!$A$2:$B$30,2,FALSE)</f>
        <v>frida.ayala1967@totum.com.co</v>
      </c>
      <c r="L259" s="13">
        <v>17</v>
      </c>
      <c r="M259">
        <f>VLOOKUP(L259,Celulares!$A$2:$B$30,2,FALSE)</f>
        <v>3115092369</v>
      </c>
    </row>
    <row r="260" spans="1:13" ht="15.75" customHeight="1" x14ac:dyDescent="0.25">
      <c r="A260" t="s">
        <v>1695</v>
      </c>
      <c r="B260" s="3" t="s">
        <v>625</v>
      </c>
      <c r="C260" s="3" t="s">
        <v>957</v>
      </c>
      <c r="D260" s="3" t="s">
        <v>798</v>
      </c>
      <c r="E260" s="3" t="s">
        <v>747</v>
      </c>
      <c r="F260" s="5">
        <v>30125</v>
      </c>
      <c r="G260" s="14">
        <f t="shared" ca="1" si="4"/>
        <v>39.054794520547944</v>
      </c>
      <c r="H260" s="3" t="s">
        <v>1167</v>
      </c>
      <c r="I260" t="str" cm="1">
        <f t="array" ref="I260">ADAPTAR(B260)&amp;ADAPTAR(C260)&amp;"_"&amp;ADAPTAR(E260)&amp;F260</f>
        <v>olgaaleida_rojas30125</v>
      </c>
      <c r="J260" s="13">
        <v>18</v>
      </c>
      <c r="K260" t="str" cm="1">
        <f t="array" ref="K260">ADAPTAR(B260)&amp;"."&amp;ADAPTAR(D260)&amp;YEAR(F260)&amp;"@"&amp;VLOOKUP(J260,Dominios!$A$2:$B$30,2,FALSE)</f>
        <v>olga.mendoza1982@voipcolombia.co</v>
      </c>
      <c r="L260" s="13">
        <v>18</v>
      </c>
      <c r="M260">
        <f>VLOOKUP(L260,Celulares!$A$2:$B$30,2,FALSE)</f>
        <v>3115092360</v>
      </c>
    </row>
    <row r="261" spans="1:13" ht="15.75" customHeight="1" x14ac:dyDescent="0.25">
      <c r="A261" t="s">
        <v>1696</v>
      </c>
      <c r="B261" s="3" t="s">
        <v>67</v>
      </c>
      <c r="C261" s="3" t="s">
        <v>620</v>
      </c>
      <c r="D261" s="3" t="s">
        <v>470</v>
      </c>
      <c r="E261" s="3" t="s">
        <v>766</v>
      </c>
      <c r="F261" s="5">
        <v>33649</v>
      </c>
      <c r="G261" s="14">
        <f t="shared" ca="1" si="4"/>
        <v>29.4</v>
      </c>
      <c r="H261" s="3" t="s">
        <v>588</v>
      </c>
      <c r="I261" t="str" cm="1">
        <f t="array" ref="I261">ADAPTAR(B261)&amp;ADAPTAR(C261)&amp;"_"&amp;ADAPTAR(E261)&amp;F261</f>
        <v>carmenvictoria_melo33649</v>
      </c>
      <c r="J261" s="13">
        <v>19</v>
      </c>
      <c r="K261" t="str" cm="1">
        <f t="array" ref="K261">ADAPTAR(B261)&amp;"."&amp;ADAPTAR(D261)&amp;YEAR(F261)&amp;"@"&amp;VLOOKUP(J261,Dominios!$A$2:$B$30,2,FALSE)</f>
        <v>carmen.ocampo1992@vpncolombia.com.co</v>
      </c>
      <c r="L261" s="13">
        <v>19</v>
      </c>
      <c r="M261">
        <f>VLOOKUP(L261,Celulares!$A$2:$B$30,2,FALSE)</f>
        <v>3115092352</v>
      </c>
    </row>
    <row r="262" spans="1:13" ht="15.75" customHeight="1" x14ac:dyDescent="0.25">
      <c r="A262" t="s">
        <v>1697</v>
      </c>
      <c r="B262" s="3" t="s">
        <v>958</v>
      </c>
      <c r="C262" s="3" t="s">
        <v>959</v>
      </c>
      <c r="D262" s="3" t="s">
        <v>235</v>
      </c>
      <c r="E262" s="3" t="s">
        <v>713</v>
      </c>
      <c r="F262" s="5">
        <v>26738</v>
      </c>
      <c r="G262" s="14">
        <f t="shared" ca="1" si="4"/>
        <v>48.334246575342469</v>
      </c>
      <c r="H262" s="3" t="s">
        <v>1171</v>
      </c>
      <c r="I262" t="str" cm="1">
        <f t="array" ref="I262">ADAPTAR(B262)&amp;ADAPTAR(C262)&amp;"_"&amp;ADAPTAR(E262)&amp;F262</f>
        <v>claraelisa_betancur26738</v>
      </c>
      <c r="J262" s="13">
        <v>0</v>
      </c>
      <c r="K262" t="str" cm="1">
        <f t="array" ref="K262">ADAPTAR(B262)&amp;"."&amp;ADAPTAR(D262)&amp;YEAR(F262)&amp;"@"&amp;VLOOKUP(J262,Dominios!$A$2:$B$30,2,FALSE)</f>
        <v>clara.giraldo1973@auribus.com.co</v>
      </c>
      <c r="L262" s="13">
        <v>0</v>
      </c>
      <c r="M262">
        <f>VLOOKUP(L262,Celulares!$A$2:$B$30,2,FALSE)</f>
        <v>3115114930</v>
      </c>
    </row>
    <row r="263" spans="1:13" ht="15.75" customHeight="1" x14ac:dyDescent="0.25">
      <c r="A263" t="s">
        <v>1698</v>
      </c>
      <c r="B263" s="3" t="s">
        <v>7</v>
      </c>
      <c r="C263" s="3" t="s">
        <v>960</v>
      </c>
      <c r="D263" s="3" t="s">
        <v>799</v>
      </c>
      <c r="E263" s="3" t="s">
        <v>672</v>
      </c>
      <c r="F263" s="5">
        <v>27610</v>
      </c>
      <c r="G263" s="14">
        <f t="shared" ca="1" si="4"/>
        <v>45.945205479452056</v>
      </c>
      <c r="H263" s="3" t="s">
        <v>1216</v>
      </c>
      <c r="I263" t="str" cm="1">
        <f t="array" ref="I263">ADAPTAR(B263)&amp;ADAPTAR(C263)&amp;"_"&amp;ADAPTAR(E263)&amp;F263</f>
        <v>camiladel pilar_londono27610</v>
      </c>
      <c r="J263" s="13">
        <v>1</v>
      </c>
      <c r="K263" t="str" cm="1">
        <f t="array" ref="K263">ADAPTAR(B263)&amp;"."&amp;ADAPTAR(D263)&amp;YEAR(F263)&amp;"@"&amp;VLOOKUP(J263,Dominios!$A$2:$B$30,2,FALSE)</f>
        <v>camila.benavides1975@colamus.co</v>
      </c>
      <c r="L263" s="13">
        <v>1</v>
      </c>
      <c r="M263">
        <f>VLOOKUP(L263,Celulares!$A$2:$B$30,2,FALSE)</f>
        <v>3115114916</v>
      </c>
    </row>
    <row r="264" spans="1:13" ht="15.75" customHeight="1" x14ac:dyDescent="0.25">
      <c r="A264" t="s">
        <v>1699</v>
      </c>
      <c r="B264" s="3" t="s">
        <v>961</v>
      </c>
      <c r="C264" s="3" t="s">
        <v>31</v>
      </c>
      <c r="D264" s="3" t="s">
        <v>682</v>
      </c>
      <c r="E264" s="3" t="s">
        <v>812</v>
      </c>
      <c r="F264" s="5">
        <v>36139</v>
      </c>
      <c r="G264" s="14">
        <f t="shared" ca="1" si="4"/>
        <v>22.578082191780823</v>
      </c>
      <c r="H264" s="3" t="s">
        <v>1215</v>
      </c>
      <c r="I264" t="str" cm="1">
        <f t="array" ref="I264">ADAPTAR(B264)&amp;ADAPTAR(C264)&amp;"_"&amp;ADAPTAR(E264)&amp;F264</f>
        <v>virginiapaola_sepulveda36139</v>
      </c>
      <c r="J264" s="13">
        <v>2</v>
      </c>
      <c r="K264" t="str" cm="1">
        <f t="array" ref="K264">ADAPTAR(B264)&amp;"."&amp;ADAPTAR(D264)&amp;YEAR(F264)&amp;"@"&amp;VLOOKUP(J264,Dominios!$A$2:$B$30,2,FALSE)</f>
        <v>virginia.orozco1998@colombiamail.co</v>
      </c>
      <c r="L264" s="13">
        <v>2</v>
      </c>
      <c r="M264">
        <f>VLOOKUP(L264,Celulares!$A$2:$B$30,2,FALSE)</f>
        <v>3115114911</v>
      </c>
    </row>
    <row r="265" spans="1:13" ht="15.75" customHeight="1" x14ac:dyDescent="0.25">
      <c r="A265" t="s">
        <v>1700</v>
      </c>
      <c r="B265" s="3" t="s">
        <v>962</v>
      </c>
      <c r="C265" s="3" t="s">
        <v>963</v>
      </c>
      <c r="D265" s="3" t="s">
        <v>800</v>
      </c>
      <c r="E265" s="3" t="s">
        <v>61</v>
      </c>
      <c r="F265" s="5">
        <v>33852</v>
      </c>
      <c r="G265" s="14">
        <f t="shared" ca="1" si="4"/>
        <v>28.843835616438355</v>
      </c>
      <c r="H265" s="3" t="s">
        <v>1178</v>
      </c>
      <c r="I265" t="str" cm="1">
        <f t="array" ref="I265">ADAPTAR(B265)&amp;ADAPTAR(C265)&amp;"_"&amp;ADAPTAR(E265)&amp;F265</f>
        <v>dannamichele_ruiz33852</v>
      </c>
      <c r="J265" s="13">
        <v>3</v>
      </c>
      <c r="K265" t="str" cm="1">
        <f t="array" ref="K265">ADAPTAR(B265)&amp;"."&amp;ADAPTAR(D265)&amp;YEAR(F265)&amp;"@"&amp;VLOOKUP(J265,Dominios!$A$2:$B$30,2,FALSE)</f>
        <v>danna.carrillo1992@diabunter.co</v>
      </c>
      <c r="L265" s="13">
        <v>3</v>
      </c>
      <c r="M265">
        <f>VLOOKUP(L265,Celulares!$A$2:$B$30,2,FALSE)</f>
        <v>3115114910</v>
      </c>
    </row>
    <row r="266" spans="1:13" ht="15.75" customHeight="1" x14ac:dyDescent="0.25">
      <c r="A266" t="s">
        <v>1701</v>
      </c>
      <c r="B266" s="3" t="s">
        <v>949</v>
      </c>
      <c r="C266" s="3" t="s">
        <v>13</v>
      </c>
      <c r="D266" s="3" t="s">
        <v>801</v>
      </c>
      <c r="E266" s="3" t="s">
        <v>842</v>
      </c>
      <c r="F266" s="5">
        <v>31973</v>
      </c>
      <c r="G266" s="14">
        <f t="shared" ca="1" si="4"/>
        <v>33.991780821917807</v>
      </c>
      <c r="H266" s="3" t="s">
        <v>606</v>
      </c>
      <c r="I266" t="str" cm="1">
        <f t="array" ref="I266">ADAPTAR(B266)&amp;ADAPTAR(C266)&amp;"_"&amp;ADAPTAR(E266)&amp;F266</f>
        <v>karenandrea_fuentes31973</v>
      </c>
      <c r="J266" s="13">
        <v>4</v>
      </c>
      <c r="K266" t="str" cm="1">
        <f t="array" ref="K266">ADAPTAR(B266)&amp;"."&amp;ADAPTAR(D266)&amp;YEAR(F266)&amp;"@"&amp;VLOOKUP(J266,Dominios!$A$2:$B$30,2,FALSE)</f>
        <v>karen.mesa1987@ebrietas.co</v>
      </c>
      <c r="L266" s="13">
        <v>4</v>
      </c>
      <c r="M266">
        <f>VLOOKUP(L266,Celulares!$A$2:$B$30,2,FALSE)</f>
        <v>3115114909</v>
      </c>
    </row>
    <row r="267" spans="1:13" ht="15.75" customHeight="1" x14ac:dyDescent="0.25">
      <c r="A267" t="s">
        <v>1702</v>
      </c>
      <c r="B267" s="3" t="s">
        <v>19</v>
      </c>
      <c r="C267" s="3" t="s">
        <v>25</v>
      </c>
      <c r="D267" s="3" t="s">
        <v>684</v>
      </c>
      <c r="E267" s="3" t="s">
        <v>781</v>
      </c>
      <c r="F267" s="5">
        <v>25248</v>
      </c>
      <c r="G267" s="14">
        <f t="shared" ca="1" si="4"/>
        <v>52.416438356164385</v>
      </c>
      <c r="H267" s="3" t="s">
        <v>1181</v>
      </c>
      <c r="I267" t="str" cm="1">
        <f t="array" ref="I267">ADAPTAR(B267)&amp;ADAPTAR(C267)&amp;"_"&amp;ADAPTAR(E267)&amp;F267</f>
        <v>paulaisabel_guerra25248</v>
      </c>
      <c r="J267" s="13">
        <v>5</v>
      </c>
      <c r="K267" t="str" cm="1">
        <f t="array" ref="K267">ADAPTAR(B267)&amp;"."&amp;ADAPTAR(D267)&amp;YEAR(F267)&amp;"@"&amp;VLOOKUP(J267,Dominios!$A$2:$B$30,2,FALSE)</f>
        <v>paula.mora1969@elsinsonte.co</v>
      </c>
      <c r="L267" s="13">
        <v>5</v>
      </c>
      <c r="M267">
        <f>VLOOKUP(L267,Celulares!$A$2:$B$30,2,FALSE)</f>
        <v>3115060130</v>
      </c>
    </row>
    <row r="268" spans="1:13" ht="15.75" customHeight="1" x14ac:dyDescent="0.25">
      <c r="A268" t="s">
        <v>1703</v>
      </c>
      <c r="B268" s="3" t="s">
        <v>964</v>
      </c>
      <c r="C268" s="3" t="s">
        <v>190</v>
      </c>
      <c r="D268" s="3" t="s">
        <v>802</v>
      </c>
      <c r="E268" s="3" t="s">
        <v>278</v>
      </c>
      <c r="F268" s="5">
        <v>36366</v>
      </c>
      <c r="G268" s="14">
        <f t="shared" ca="1" si="4"/>
        <v>21.956164383561642</v>
      </c>
      <c r="H268" s="3" t="s">
        <v>575</v>
      </c>
      <c r="I268" t="str" cm="1">
        <f t="array" ref="I268">ADAPTAR(B268)&amp;ADAPTAR(C268)&amp;"_"&amp;ADAPTAR(E268)&amp;F268</f>
        <v>mabelnicol_cruz36366</v>
      </c>
      <c r="J268" s="13">
        <v>6</v>
      </c>
      <c r="K268" t="str" cm="1">
        <f t="array" ref="K268">ADAPTAR(B268)&amp;"."&amp;ADAPTAR(D268)&amp;YEAR(F268)&amp;"@"&amp;VLOOKUP(J268,Dominios!$A$2:$B$30,2,FALSE)</f>
        <v>mabel.castro1999@enigmaserver.co</v>
      </c>
      <c r="L268" s="13">
        <v>6</v>
      </c>
      <c r="M268">
        <f>VLOOKUP(L268,Celulares!$A$2:$B$30,2,FALSE)</f>
        <v>3115060125</v>
      </c>
    </row>
    <row r="269" spans="1:13" ht="15.75" customHeight="1" x14ac:dyDescent="0.25">
      <c r="A269" t="s">
        <v>1704</v>
      </c>
      <c r="B269" s="3" t="s">
        <v>965</v>
      </c>
      <c r="C269" s="3" t="s">
        <v>25</v>
      </c>
      <c r="D269" s="3" t="s">
        <v>803</v>
      </c>
      <c r="E269" s="3" t="s">
        <v>679</v>
      </c>
      <c r="F269" s="5">
        <v>30008</v>
      </c>
      <c r="G269" s="14">
        <f t="shared" ca="1" si="4"/>
        <v>39.375342465753427</v>
      </c>
      <c r="H269" s="3" t="s">
        <v>1209</v>
      </c>
      <c r="I269" t="str" cm="1">
        <f t="array" ref="I269">ADAPTAR(B269)&amp;ADAPTAR(C269)&amp;"_"&amp;ADAPTAR(E269)&amp;F269</f>
        <v>charloeisabel_ospina30008</v>
      </c>
      <c r="J269" s="13">
        <v>7</v>
      </c>
      <c r="K269" t="str" cm="1">
        <f t="array" ref="K269">ADAPTAR(B269)&amp;"."&amp;ADAPTAR(D269)&amp;YEAR(F269)&amp;"@"&amp;VLOOKUP(J269,Dominios!$A$2:$B$30,2,FALSE)</f>
        <v>charloe.marin1982@hocknas.co</v>
      </c>
      <c r="L269" s="13">
        <v>7</v>
      </c>
      <c r="M269">
        <f>VLOOKUP(L269,Celulares!$A$2:$B$30,2,FALSE)</f>
        <v>3115060110</v>
      </c>
    </row>
    <row r="270" spans="1:13" ht="15.75" customHeight="1" x14ac:dyDescent="0.25">
      <c r="A270" t="s">
        <v>1705</v>
      </c>
      <c r="B270" s="3" t="s">
        <v>966</v>
      </c>
      <c r="C270" s="3" t="s">
        <v>624</v>
      </c>
      <c r="D270" s="3" t="s">
        <v>804</v>
      </c>
      <c r="E270" s="3" t="s">
        <v>800</v>
      </c>
      <c r="F270" s="5">
        <v>31775</v>
      </c>
      <c r="G270" s="14">
        <f t="shared" ca="1" si="4"/>
        <v>34.534246575342465</v>
      </c>
      <c r="H270" s="3" t="s">
        <v>547</v>
      </c>
      <c r="I270" t="str" cm="1">
        <f t="array" ref="I270">ADAPTAR(B270)&amp;ADAPTAR(C270)&amp;"_"&amp;ADAPTAR(E270)&amp;F270</f>
        <v>piaemilia_carrillo31775</v>
      </c>
      <c r="J270" s="13">
        <v>8</v>
      </c>
      <c r="K270" t="str" cm="1">
        <f t="array" ref="K270">ADAPTAR(B270)&amp;"."&amp;ADAPTAR(D270)&amp;YEAR(F270)&amp;"@"&amp;VLOOKUP(J270,Dominios!$A$2:$B$30,2,FALSE)</f>
        <v>pia.miranda1986@hostedoceri.co</v>
      </c>
      <c r="L270" s="13">
        <v>8</v>
      </c>
      <c r="M270">
        <f>VLOOKUP(L270,Celulares!$A$2:$B$30,2,FALSE)</f>
        <v>3115060091</v>
      </c>
    </row>
    <row r="271" spans="1:13" ht="15.75" customHeight="1" x14ac:dyDescent="0.25">
      <c r="A271" t="s">
        <v>1706</v>
      </c>
      <c r="B271" s="3" t="s">
        <v>24</v>
      </c>
      <c r="C271" s="3" t="s">
        <v>967</v>
      </c>
      <c r="D271" s="3" t="s">
        <v>708</v>
      </c>
      <c r="E271" s="3" t="s">
        <v>737</v>
      </c>
      <c r="F271" s="5">
        <v>30058</v>
      </c>
      <c r="G271" s="14">
        <f t="shared" ca="1" si="4"/>
        <v>39.238356164383561</v>
      </c>
      <c r="H271" s="3" t="s">
        <v>1204</v>
      </c>
      <c r="I271" t="str" cm="1">
        <f t="array" ref="I271">ADAPTAR(B271)&amp;ADAPTAR(C271)&amp;"_"&amp;ADAPTAR(E271)&amp;F271</f>
        <v>lauravaleria_campo30058</v>
      </c>
      <c r="J271" s="13">
        <v>9</v>
      </c>
      <c r="K271" t="str" cm="1">
        <f t="array" ref="K271">ADAPTAR(B271)&amp;"."&amp;ADAPTAR(D271)&amp;YEAR(F271)&amp;"@"&amp;VLOOKUP(J271,Dominios!$A$2:$B$30,2,FALSE)</f>
        <v>laura.arango1982@libertas.com.co</v>
      </c>
      <c r="L271" s="13">
        <v>9</v>
      </c>
      <c r="M271">
        <f>VLOOKUP(L271,Celulares!$A$2:$B$30,2,FALSE)</f>
        <v>3115060080</v>
      </c>
    </row>
    <row r="272" spans="1:13" ht="15.75" customHeight="1" x14ac:dyDescent="0.25">
      <c r="A272" t="s">
        <v>1707</v>
      </c>
      <c r="B272" s="3" t="s">
        <v>968</v>
      </c>
      <c r="C272" s="3" t="s">
        <v>319</v>
      </c>
      <c r="D272" s="3" t="s">
        <v>805</v>
      </c>
      <c r="E272" s="3" t="s">
        <v>247</v>
      </c>
      <c r="F272" s="5">
        <v>34843</v>
      </c>
      <c r="G272" s="14">
        <f t="shared" ca="1" si="4"/>
        <v>26.12876712328767</v>
      </c>
      <c r="H272" s="3" t="s">
        <v>1186</v>
      </c>
      <c r="I272" t="str" cm="1">
        <f t="array" ref="I272">ADAPTAR(B272)&amp;ADAPTAR(C272)&amp;"_"&amp;ADAPTAR(E272)&amp;F272</f>
        <v>viviangeraldine_zapata34843</v>
      </c>
      <c r="J272" s="13">
        <v>10</v>
      </c>
      <c r="K272" t="str" cm="1">
        <f t="array" ref="K272">ADAPTAR(B272)&amp;"."&amp;ADAPTAR(D272)&amp;YEAR(F272)&amp;"@"&amp;VLOOKUP(J272,Dominios!$A$2:$B$30,2,FALSE)</f>
        <v>vivian.narvaez1995@nascitur.com.co</v>
      </c>
      <c r="L272" s="13">
        <v>10</v>
      </c>
      <c r="M272">
        <f>VLOOKUP(L272,Celulares!$A$2:$B$30,2,FALSE)</f>
        <v>3115114385</v>
      </c>
    </row>
    <row r="273" spans="1:13" ht="15.75" customHeight="1" x14ac:dyDescent="0.25">
      <c r="A273" t="s">
        <v>1708</v>
      </c>
      <c r="B273" s="3" t="s">
        <v>969</v>
      </c>
      <c r="C273" s="3" t="s">
        <v>630</v>
      </c>
      <c r="D273" s="3" t="s">
        <v>806</v>
      </c>
      <c r="E273" s="3" t="s">
        <v>772</v>
      </c>
      <c r="F273" s="5">
        <v>31502</v>
      </c>
      <c r="G273" s="14">
        <f t="shared" ca="1" si="4"/>
        <v>35.282191780821918</v>
      </c>
      <c r="H273" s="3" t="s">
        <v>566</v>
      </c>
      <c r="I273" t="str" cm="1">
        <f t="array" ref="I273">ADAPTAR(B273)&amp;ADAPTAR(C273)&amp;"_"&amp;ADAPTAR(E273)&amp;F273</f>
        <v>selenapilar_morales31502</v>
      </c>
      <c r="J273" s="13">
        <v>11</v>
      </c>
      <c r="K273" t="str" cm="1">
        <f t="array" ref="K273">ADAPTAR(B273)&amp;"."&amp;ADAPTAR(D273)&amp;YEAR(F273)&amp;"@"&amp;VLOOKUP(J273,Dominios!$A$2:$B$30,2,FALSE)</f>
        <v>selena.vanegas1986@nemesis.ml</v>
      </c>
      <c r="L273" s="13">
        <v>11</v>
      </c>
      <c r="M273">
        <f>VLOOKUP(L273,Celulares!$A$2:$B$30,2,FALSE)</f>
        <v>3115114360</v>
      </c>
    </row>
    <row r="274" spans="1:13" ht="15.75" customHeight="1" x14ac:dyDescent="0.25">
      <c r="A274" t="s">
        <v>1709</v>
      </c>
      <c r="B274" s="3" t="s">
        <v>324</v>
      </c>
      <c r="C274" s="3" t="s">
        <v>970</v>
      </c>
      <c r="D274" s="3" t="s">
        <v>807</v>
      </c>
      <c r="E274" s="3" t="s">
        <v>677</v>
      </c>
      <c r="F274" s="5">
        <v>28162</v>
      </c>
      <c r="G274" s="14">
        <f t="shared" ca="1" si="4"/>
        <v>44.43287671232877</v>
      </c>
      <c r="H274" s="3" t="s">
        <v>1210</v>
      </c>
      <c r="I274" t="str" cm="1">
        <f t="array" ref="I274">ADAPTAR(B274)&amp;ADAPTAR(C274)&amp;"_"&amp;ADAPTAR(E274)&amp;F274</f>
        <v>saramarlen_sierra28162</v>
      </c>
      <c r="J274" s="13">
        <v>12</v>
      </c>
      <c r="K274" t="str" cm="1">
        <f t="array" ref="K274">ADAPTAR(B274)&amp;"."&amp;ADAPTAR(D274)&amp;YEAR(F274)&amp;"@"&amp;VLOOKUP(J274,Dominios!$A$2:$B$30,2,FALSE)</f>
        <v>sara.ariza1977@nunquam.com.co</v>
      </c>
      <c r="L274" s="13">
        <v>12</v>
      </c>
      <c r="M274">
        <f>VLOOKUP(L274,Celulares!$A$2:$B$30,2,FALSE)</f>
        <v>3115093653</v>
      </c>
    </row>
    <row r="275" spans="1:13" ht="15.75" customHeight="1" x14ac:dyDescent="0.25">
      <c r="A275" t="s">
        <v>1710</v>
      </c>
      <c r="B275" s="3" t="s">
        <v>78</v>
      </c>
      <c r="C275" s="3" t="s">
        <v>306</v>
      </c>
      <c r="D275" s="3" t="s">
        <v>701</v>
      </c>
      <c r="E275" s="3" t="s">
        <v>686</v>
      </c>
      <c r="F275" s="5">
        <v>34634</v>
      </c>
      <c r="G275" s="14">
        <f t="shared" ca="1" si="4"/>
        <v>26.701369863013699</v>
      </c>
      <c r="H275" s="3" t="s">
        <v>1242</v>
      </c>
      <c r="I275" t="str" cm="1">
        <f t="array" ref="I275">ADAPTAR(B275)&amp;ADAPTAR(C275)&amp;"_"&amp;ADAPTAR(E275)&amp;F275</f>
        <v>lilianasofia_contreras34634</v>
      </c>
      <c r="J275" s="13">
        <v>13</v>
      </c>
      <c r="K275" t="str" cm="1">
        <f t="array" ref="K275">ADAPTAR(B275)&amp;"."&amp;ADAPTAR(D275)&amp;YEAR(F275)&amp;"@"&amp;VLOOKUP(J275,Dominios!$A$2:$B$30,2,FALSE)</f>
        <v>liliana.vega1994@sempiternam.co</v>
      </c>
      <c r="L275" s="13">
        <v>13</v>
      </c>
      <c r="M275">
        <f>VLOOKUP(L275,Celulares!$A$2:$B$30,2,FALSE)</f>
        <v>3115093598</v>
      </c>
    </row>
    <row r="276" spans="1:13" ht="15.75" customHeight="1" x14ac:dyDescent="0.25">
      <c r="A276" t="s">
        <v>1711</v>
      </c>
      <c r="B276" s="3" t="s">
        <v>629</v>
      </c>
      <c r="C276" s="3" t="s">
        <v>8</v>
      </c>
      <c r="D276" s="3" t="s">
        <v>808</v>
      </c>
      <c r="E276" s="3" t="s">
        <v>712</v>
      </c>
      <c r="F276" s="5">
        <v>32087</v>
      </c>
      <c r="G276" s="14">
        <f t="shared" ca="1" si="4"/>
        <v>33.679452054794524</v>
      </c>
      <c r="H276" s="3" t="s">
        <v>1167</v>
      </c>
      <c r="I276" t="str" cm="1">
        <f t="array" ref="I276">ADAPTAR(B276)&amp;ADAPTAR(C276)&amp;"_"&amp;ADAPTAR(E276)&amp;F276</f>
        <v>isabellavalentina_padilla32087</v>
      </c>
      <c r="J276" s="13">
        <v>14</v>
      </c>
      <c r="K276" t="str" cm="1">
        <f t="array" ref="K276">ADAPTAR(B276)&amp;"."&amp;ADAPTAR(D276)&amp;YEAR(F276)&amp;"@"&amp;VLOOKUP(J276,Dominios!$A$2:$B$30,2,FALSE)</f>
        <v>isabella.luna1987@sk9.co</v>
      </c>
      <c r="L276" s="13">
        <v>14</v>
      </c>
      <c r="M276">
        <f>VLOOKUP(L276,Celulares!$A$2:$B$30,2,FALSE)</f>
        <v>3115093583</v>
      </c>
    </row>
    <row r="277" spans="1:13" ht="15.75" customHeight="1" x14ac:dyDescent="0.25">
      <c r="A277" t="s">
        <v>1712</v>
      </c>
      <c r="B277" s="3" t="s">
        <v>108</v>
      </c>
      <c r="C277" s="3" t="s">
        <v>634</v>
      </c>
      <c r="D277" s="3" t="s">
        <v>809</v>
      </c>
      <c r="E277" s="3" t="s">
        <v>743</v>
      </c>
      <c r="F277" s="5">
        <v>25376</v>
      </c>
      <c r="G277" s="14">
        <f t="shared" ca="1" si="4"/>
        <v>52.065753424657537</v>
      </c>
      <c r="H277" s="3" t="s">
        <v>549</v>
      </c>
      <c r="I277" t="str" cm="1">
        <f t="array" ref="I277">ADAPTAR(B277)&amp;ADAPTAR(C277)&amp;"_"&amp;ADAPTAR(E277)&amp;F277</f>
        <v>gloriamanuela_salcedo25376</v>
      </c>
      <c r="J277" s="13">
        <v>15</v>
      </c>
      <c r="K277" t="str" cm="1">
        <f t="array" ref="K277">ADAPTAR(B277)&amp;"."&amp;ADAPTAR(D277)&amp;YEAR(F277)&amp;"@"&amp;VLOOKUP(J277,Dominios!$A$2:$B$30,2,FALSE)</f>
        <v>gloria.ardila1969@socialmediacolombia.com.co</v>
      </c>
      <c r="L277" s="13">
        <v>15</v>
      </c>
      <c r="M277">
        <f>VLOOKUP(L277,Celulares!$A$2:$B$30,2,FALSE)</f>
        <v>3115092386</v>
      </c>
    </row>
    <row r="278" spans="1:13" ht="15.75" customHeight="1" x14ac:dyDescent="0.25">
      <c r="A278" t="s">
        <v>1713</v>
      </c>
      <c r="B278" s="3" t="s">
        <v>896</v>
      </c>
      <c r="C278" s="3" t="s">
        <v>971</v>
      </c>
      <c r="D278" s="3" t="s">
        <v>810</v>
      </c>
      <c r="E278" s="3" t="s">
        <v>846</v>
      </c>
      <c r="F278" s="5">
        <v>27731</v>
      </c>
      <c r="G278" s="14">
        <f t="shared" ca="1" si="4"/>
        <v>45.613698630136987</v>
      </c>
      <c r="H278" s="3" t="s">
        <v>1177</v>
      </c>
      <c r="I278" t="str" cm="1">
        <f t="array" ref="I278">ADAPTAR(B278)&amp;ADAPTAR(C278)&amp;"_"&amp;ADAPTAR(E278)&amp;F278</f>
        <v>pazluna_navarro27731</v>
      </c>
      <c r="J278" s="13">
        <v>16</v>
      </c>
      <c r="K278" t="str" cm="1">
        <f t="array" ref="K278">ADAPTAR(B278)&amp;"."&amp;ADAPTAR(D278)&amp;YEAR(F278)&amp;"@"&amp;VLOOKUP(J278,Dominios!$A$2:$B$30,2,FALSE)</f>
        <v>paz.gonzalez1975@tecnicoensistemas.com.co</v>
      </c>
      <c r="L278" s="13">
        <v>16</v>
      </c>
      <c r="M278">
        <f>VLOOKUP(L278,Celulares!$A$2:$B$30,2,FALSE)</f>
        <v>3115092375</v>
      </c>
    </row>
    <row r="279" spans="1:13" ht="15.75" customHeight="1" x14ac:dyDescent="0.25">
      <c r="A279" t="s">
        <v>1714</v>
      </c>
      <c r="B279" s="3" t="s">
        <v>972</v>
      </c>
      <c r="C279" s="3" t="s">
        <v>50</v>
      </c>
      <c r="D279" s="3" t="s">
        <v>811</v>
      </c>
      <c r="E279" s="3" t="s">
        <v>42</v>
      </c>
      <c r="F279" s="5">
        <v>25713</v>
      </c>
      <c r="G279" s="14">
        <f t="shared" ca="1" si="4"/>
        <v>51.142465753424659</v>
      </c>
      <c r="H279" s="3" t="s">
        <v>1203</v>
      </c>
      <c r="I279" t="str" cm="1">
        <f t="array" ref="I279">ADAPTAR(B279)&amp;ADAPTAR(C279)&amp;"_"&amp;ADAPTAR(E279)&amp;F279</f>
        <v>ruthmaria_buitrago25713</v>
      </c>
      <c r="J279" s="13">
        <v>17</v>
      </c>
      <c r="K279" t="str" cm="1">
        <f t="array" ref="K279">ADAPTAR(B279)&amp;"."&amp;ADAPTAR(D279)&amp;YEAR(F279)&amp;"@"&amp;VLOOKUP(J279,Dominios!$A$2:$B$30,2,FALSE)</f>
        <v>ruth.rodriguez1970@totum.com.co</v>
      </c>
      <c r="L279" s="13">
        <v>17</v>
      </c>
      <c r="M279">
        <f>VLOOKUP(L279,Celulares!$A$2:$B$30,2,FALSE)</f>
        <v>3115092369</v>
      </c>
    </row>
    <row r="280" spans="1:13" ht="15.75" customHeight="1" x14ac:dyDescent="0.25">
      <c r="A280" t="s">
        <v>1715</v>
      </c>
      <c r="B280" s="3" t="s">
        <v>50</v>
      </c>
      <c r="C280" s="3" t="s">
        <v>620</v>
      </c>
      <c r="D280" s="3" t="s">
        <v>812</v>
      </c>
      <c r="E280" s="3" t="s">
        <v>808</v>
      </c>
      <c r="F280" s="5">
        <v>35432</v>
      </c>
      <c r="G280" s="14">
        <f t="shared" ca="1" si="4"/>
        <v>24.515068493150686</v>
      </c>
      <c r="H280" s="3" t="s">
        <v>1165</v>
      </c>
      <c r="I280" t="str" cm="1">
        <f t="array" ref="I280">ADAPTAR(B280)&amp;ADAPTAR(C280)&amp;"_"&amp;ADAPTAR(E280)&amp;F280</f>
        <v>mariavictoria_luna35432</v>
      </c>
      <c r="J280" s="13">
        <v>18</v>
      </c>
      <c r="K280" t="str" cm="1">
        <f t="array" ref="K280">ADAPTAR(B280)&amp;"."&amp;ADAPTAR(D280)&amp;YEAR(F280)&amp;"@"&amp;VLOOKUP(J280,Dominios!$A$2:$B$30,2,FALSE)</f>
        <v>maria.sepulveda1997@voipcolombia.co</v>
      </c>
      <c r="L280" s="13">
        <v>18</v>
      </c>
      <c r="M280">
        <f>VLOOKUP(L280,Celulares!$A$2:$B$30,2,FALSE)</f>
        <v>3115092360</v>
      </c>
    </row>
    <row r="281" spans="1:13" ht="15.75" customHeight="1" x14ac:dyDescent="0.25">
      <c r="A281" t="s">
        <v>1716</v>
      </c>
      <c r="B281" s="3" t="s">
        <v>973</v>
      </c>
      <c r="C281" s="3" t="s">
        <v>974</v>
      </c>
      <c r="D281" s="3" t="s">
        <v>813</v>
      </c>
      <c r="E281" s="3" t="s">
        <v>779</v>
      </c>
      <c r="F281" s="5">
        <v>35427</v>
      </c>
      <c r="G281" s="14">
        <f t="shared" ca="1" si="4"/>
        <v>24.528767123287672</v>
      </c>
      <c r="H281" s="3" t="s">
        <v>1174</v>
      </c>
      <c r="I281" t="str" cm="1">
        <f t="array" ref="I281">ADAPTAR(B281)&amp;ADAPTAR(C281)&amp;"_"&amp;ADAPTAR(E281)&amp;F281</f>
        <v>alexajaqueline_valencia35427</v>
      </c>
      <c r="J281" s="13">
        <v>19</v>
      </c>
      <c r="K281" t="str" cm="1">
        <f t="array" ref="K281">ADAPTAR(B281)&amp;"."&amp;ADAPTAR(D281)&amp;YEAR(F281)&amp;"@"&amp;VLOOKUP(J281,Dominios!$A$2:$B$30,2,FALSE)</f>
        <v>alexa.galindo1996@vpncolombia.com.co</v>
      </c>
      <c r="L281" s="13">
        <v>19</v>
      </c>
      <c r="M281">
        <f>VLOOKUP(L281,Celulares!$A$2:$B$30,2,FALSE)</f>
        <v>3115092352</v>
      </c>
    </row>
    <row r="282" spans="1:13" ht="15.75" customHeight="1" x14ac:dyDescent="0.25">
      <c r="A282" t="s">
        <v>1717</v>
      </c>
      <c r="B282" s="3" t="s">
        <v>975</v>
      </c>
      <c r="C282" s="3" t="s">
        <v>7</v>
      </c>
      <c r="D282" s="3" t="s">
        <v>814</v>
      </c>
      <c r="E282" s="3" t="s">
        <v>777</v>
      </c>
      <c r="F282" s="5">
        <v>27908</v>
      </c>
      <c r="G282" s="14">
        <f t="shared" ca="1" si="4"/>
        <v>45.128767123287673</v>
      </c>
      <c r="H282" s="3" t="s">
        <v>1192</v>
      </c>
      <c r="I282" t="str" cm="1">
        <f t="array" ref="I282">ADAPTAR(B282)&amp;ADAPTAR(C282)&amp;"_"&amp;ADAPTAR(E282)&amp;F282</f>
        <v>ameliacamila_gallego27908</v>
      </c>
      <c r="J282" s="13">
        <v>0</v>
      </c>
      <c r="K282" t="str" cm="1">
        <f t="array" ref="K282">ADAPTAR(B282)&amp;"."&amp;ADAPTAR(D282)&amp;YEAR(F282)&amp;"@"&amp;VLOOKUP(J282,Dominios!$A$2:$B$30,2,FALSE)</f>
        <v>amelia.quintero1976@auribus.com.co</v>
      </c>
      <c r="L282" s="13">
        <v>0</v>
      </c>
      <c r="M282">
        <f>VLOOKUP(L282,Celulares!$A$2:$B$30,2,FALSE)</f>
        <v>3115114930</v>
      </c>
    </row>
    <row r="283" spans="1:13" ht="15.75" customHeight="1" x14ac:dyDescent="0.25">
      <c r="A283" t="s">
        <v>1718</v>
      </c>
      <c r="B283" s="3" t="s">
        <v>976</v>
      </c>
      <c r="C283" s="3" t="s">
        <v>9</v>
      </c>
      <c r="D283" s="3" t="s">
        <v>687</v>
      </c>
      <c r="E283" s="3" t="s">
        <v>782</v>
      </c>
      <c r="F283" s="5">
        <v>25702</v>
      </c>
      <c r="G283" s="14">
        <f t="shared" ca="1" si="4"/>
        <v>51.172602739726024</v>
      </c>
      <c r="H283" s="3" t="s">
        <v>1182</v>
      </c>
      <c r="I283" t="str" cm="1">
        <f t="array" ref="I283">ADAPTAR(B283)&amp;ADAPTAR(C283)&amp;"_"&amp;ADAPTAR(E283)&amp;F283</f>
        <v>gemadaniela_forero25702</v>
      </c>
      <c r="J283" s="13">
        <v>1</v>
      </c>
      <c r="K283" t="str" cm="1">
        <f t="array" ref="K283">ADAPTAR(B283)&amp;"."&amp;ADAPTAR(D283)&amp;YEAR(F283)&amp;"@"&amp;VLOOKUP(J283,Dominios!$A$2:$B$30,2,FALSE)</f>
        <v>gema.leon1970@colamus.co</v>
      </c>
      <c r="L283" s="13">
        <v>1</v>
      </c>
      <c r="M283">
        <f>VLOOKUP(L283,Celulares!$A$2:$B$30,2,FALSE)</f>
        <v>3115114916</v>
      </c>
    </row>
    <row r="284" spans="1:13" ht="15.75" customHeight="1" x14ac:dyDescent="0.25">
      <c r="A284" t="s">
        <v>1719</v>
      </c>
      <c r="B284" s="3" t="s">
        <v>977</v>
      </c>
      <c r="C284" s="3" t="s">
        <v>622</v>
      </c>
      <c r="D284" s="3" t="s">
        <v>815</v>
      </c>
      <c r="E284" s="3" t="s">
        <v>839</v>
      </c>
      <c r="F284" s="5">
        <v>26508</v>
      </c>
      <c r="G284" s="14">
        <f t="shared" ca="1" si="4"/>
        <v>48.964383561643835</v>
      </c>
      <c r="H284" s="3" t="s">
        <v>1214</v>
      </c>
      <c r="I284" t="str" cm="1">
        <f t="array" ref="I284">ADAPTAR(B284)&amp;ADAPTAR(C284)&amp;"_"&amp;ADAPTAR(E284)&amp;F284</f>
        <v>oliviasusana_parra26508</v>
      </c>
      <c r="J284" s="13">
        <v>2</v>
      </c>
      <c r="K284" t="str" cm="1">
        <f t="array" ref="K284">ADAPTAR(B284)&amp;"."&amp;ADAPTAR(D284)&amp;YEAR(F284)&amp;"@"&amp;VLOOKUP(J284,Dominios!$A$2:$B$30,2,FALSE)</f>
        <v>olivia.palacios1972@colombiamail.co</v>
      </c>
      <c r="L284" s="13">
        <v>2</v>
      </c>
      <c r="M284">
        <f>VLOOKUP(L284,Celulares!$A$2:$B$30,2,FALSE)</f>
        <v>3115114911</v>
      </c>
    </row>
    <row r="285" spans="1:13" ht="15.75" customHeight="1" x14ac:dyDescent="0.25">
      <c r="A285" t="s">
        <v>1720</v>
      </c>
      <c r="B285" s="3" t="s">
        <v>324</v>
      </c>
      <c r="C285" s="3" t="s">
        <v>626</v>
      </c>
      <c r="D285" s="3" t="s">
        <v>679</v>
      </c>
      <c r="E285" s="3" t="s">
        <v>470</v>
      </c>
      <c r="F285" s="5">
        <v>33879</v>
      </c>
      <c r="G285" s="14">
        <f t="shared" ca="1" si="4"/>
        <v>28.769863013698629</v>
      </c>
      <c r="H285" s="3" t="s">
        <v>1189</v>
      </c>
      <c r="I285" t="str" cm="1">
        <f t="array" ref="I285">ADAPTAR(B285)&amp;ADAPTAR(C285)&amp;"_"&amp;ADAPTAR(E285)&amp;F285</f>
        <v>saramartina_ocampo33879</v>
      </c>
      <c r="J285" s="13">
        <v>3</v>
      </c>
      <c r="K285" t="str" cm="1">
        <f t="array" ref="K285">ADAPTAR(B285)&amp;"."&amp;ADAPTAR(D285)&amp;YEAR(F285)&amp;"@"&amp;VLOOKUP(J285,Dominios!$A$2:$B$30,2,FALSE)</f>
        <v>sara.ospina1992@diabunter.co</v>
      </c>
      <c r="L285" s="13">
        <v>3</v>
      </c>
      <c r="M285">
        <f>VLOOKUP(L285,Celulares!$A$2:$B$30,2,FALSE)</f>
        <v>3115114910</v>
      </c>
    </row>
    <row r="286" spans="1:13" ht="15.75" customHeight="1" x14ac:dyDescent="0.25">
      <c r="A286" t="s">
        <v>1721</v>
      </c>
      <c r="B286" s="3" t="s">
        <v>978</v>
      </c>
      <c r="C286" s="3" t="s">
        <v>979</v>
      </c>
      <c r="D286" s="3" t="s">
        <v>816</v>
      </c>
      <c r="E286" s="3" t="s">
        <v>803</v>
      </c>
      <c r="F286" s="5">
        <v>36269</v>
      </c>
      <c r="G286" s="14">
        <f t="shared" ca="1" si="4"/>
        <v>22.221917808219178</v>
      </c>
      <c r="H286" s="3" t="s">
        <v>1201</v>
      </c>
      <c r="I286" t="str" cm="1">
        <f t="array" ref="I286">ADAPTAR(B286)&amp;ADAPTAR(C286)&amp;"_"&amp;ADAPTAR(E286)&amp;F286</f>
        <v>lilyvanesa_marin36269</v>
      </c>
      <c r="J286" s="13">
        <v>4</v>
      </c>
      <c r="K286" t="str" cm="1">
        <f t="array" ref="K286">ADAPTAR(B286)&amp;"."&amp;ADAPTAR(D286)&amp;YEAR(F286)&amp;"@"&amp;VLOOKUP(J286,Dominios!$A$2:$B$30,2,FALSE)</f>
        <v>lily.camargo1999@ebrietas.co</v>
      </c>
      <c r="L286" s="13">
        <v>4</v>
      </c>
      <c r="M286">
        <f>VLOOKUP(L286,Celulares!$A$2:$B$30,2,FALSE)</f>
        <v>3115114909</v>
      </c>
    </row>
    <row r="287" spans="1:13" ht="15.75" customHeight="1" x14ac:dyDescent="0.25">
      <c r="A287" t="s">
        <v>1722</v>
      </c>
      <c r="B287" s="3" t="s">
        <v>980</v>
      </c>
      <c r="C287" s="3" t="s">
        <v>50</v>
      </c>
      <c r="D287" s="3" t="s">
        <v>458</v>
      </c>
      <c r="E287" s="3" t="s">
        <v>753</v>
      </c>
      <c r="F287" s="5">
        <v>25986</v>
      </c>
      <c r="G287" s="14">
        <f t="shared" ca="1" si="4"/>
        <v>50.394520547945206</v>
      </c>
      <c r="H287" s="3" t="s">
        <v>1176</v>
      </c>
      <c r="I287" t="str" cm="1">
        <f t="array" ref="I287">ADAPTAR(B287)&amp;ADAPTAR(C287)&amp;"_"&amp;ADAPTAR(E287)&amp;F287</f>
        <v>ninamaria_guevara25986</v>
      </c>
      <c r="J287" s="13">
        <v>5</v>
      </c>
      <c r="K287" t="str" cm="1">
        <f t="array" ref="K287">ADAPTAR(B287)&amp;"."&amp;ADAPTAR(D287)&amp;YEAR(F287)&amp;"@"&amp;VLOOKUP(J287,Dominios!$A$2:$B$30,2,FALSE)</f>
        <v>nina.bravo1971@elsinsonte.co</v>
      </c>
      <c r="L287" s="13">
        <v>5</v>
      </c>
      <c r="M287">
        <f>VLOOKUP(L287,Celulares!$A$2:$B$30,2,FALSE)</f>
        <v>3115060130</v>
      </c>
    </row>
    <row r="288" spans="1:13" ht="15.75" customHeight="1" x14ac:dyDescent="0.25">
      <c r="A288" t="s">
        <v>1723</v>
      </c>
      <c r="B288" s="3" t="s">
        <v>981</v>
      </c>
      <c r="C288" s="3" t="s">
        <v>482</v>
      </c>
      <c r="D288" s="3" t="s">
        <v>817</v>
      </c>
      <c r="E288" s="3" t="s">
        <v>838</v>
      </c>
      <c r="F288" s="5">
        <v>31799</v>
      </c>
      <c r="G288" s="14">
        <f t="shared" ca="1" si="4"/>
        <v>34.468493150684928</v>
      </c>
      <c r="H288" s="3" t="s">
        <v>1189</v>
      </c>
      <c r="I288" t="str" cm="1">
        <f t="array" ref="I288">ADAPTAR(B288)&amp;ADAPTAR(C288)&amp;"_"&amp;ADAPTAR(E288)&amp;F288</f>
        <v>magdaantonia_tovar31799</v>
      </c>
      <c r="J288" s="13">
        <v>6</v>
      </c>
      <c r="K288" t="str" cm="1">
        <f t="array" ref="K288">ADAPTAR(B288)&amp;"."&amp;ADAPTAR(D288)&amp;YEAR(F288)&amp;"@"&amp;VLOOKUP(J288,Dominios!$A$2:$B$30,2,FALSE)</f>
        <v>magda.castillo1987@enigmaserver.co</v>
      </c>
      <c r="L288" s="13">
        <v>6</v>
      </c>
      <c r="M288">
        <f>VLOOKUP(L288,Celulares!$A$2:$B$30,2,FALSE)</f>
        <v>3115060125</v>
      </c>
    </row>
    <row r="289" spans="1:13" ht="15.75" customHeight="1" x14ac:dyDescent="0.25">
      <c r="A289" t="s">
        <v>1724</v>
      </c>
      <c r="B289" s="3" t="s">
        <v>20</v>
      </c>
      <c r="C289" s="3" t="s">
        <v>19</v>
      </c>
      <c r="D289" s="3" t="s">
        <v>818</v>
      </c>
      <c r="E289" s="3" t="s">
        <v>456</v>
      </c>
      <c r="F289" s="5">
        <v>28782</v>
      </c>
      <c r="G289" s="14">
        <f t="shared" ca="1" si="4"/>
        <v>42.734246575342468</v>
      </c>
      <c r="H289" s="3" t="s">
        <v>569</v>
      </c>
      <c r="I289" t="str" cm="1">
        <f t="array" ref="I289">ADAPTAR(B289)&amp;ADAPTAR(C289)&amp;"_"&amp;ADAPTAR(E289)&amp;F289</f>
        <v>anapaula_alvarez28782</v>
      </c>
      <c r="J289" s="13">
        <v>7</v>
      </c>
      <c r="K289" t="str" cm="1">
        <f t="array" ref="K289">ADAPTAR(B289)&amp;"."&amp;ADAPTAR(D289)&amp;YEAR(F289)&amp;"@"&amp;VLOOKUP(J289,Dominios!$A$2:$B$30,2,FALSE)</f>
        <v>ana.castano1978@hocknas.co</v>
      </c>
      <c r="L289" s="13">
        <v>7</v>
      </c>
      <c r="M289">
        <f>VLOOKUP(L289,Celulares!$A$2:$B$30,2,FALSE)</f>
        <v>3115060110</v>
      </c>
    </row>
    <row r="290" spans="1:13" ht="15.75" customHeight="1" x14ac:dyDescent="0.25">
      <c r="A290" t="s">
        <v>1725</v>
      </c>
      <c r="B290" s="3" t="s">
        <v>942</v>
      </c>
      <c r="C290" s="3" t="s">
        <v>629</v>
      </c>
      <c r="D290" s="3" t="s">
        <v>819</v>
      </c>
      <c r="E290" s="3" t="s">
        <v>821</v>
      </c>
      <c r="F290" s="5">
        <v>24551</v>
      </c>
      <c r="G290" s="14">
        <f t="shared" ca="1" si="4"/>
        <v>54.326027397260276</v>
      </c>
      <c r="H290" s="3" t="s">
        <v>1191</v>
      </c>
      <c r="I290" t="str" cm="1">
        <f t="array" ref="I290">ADAPTAR(B290)&amp;ADAPTAR(C290)&amp;"_"&amp;ADAPTAR(E290)&amp;F290</f>
        <v>miaisabella_montes24551</v>
      </c>
      <c r="J290" s="13">
        <v>8</v>
      </c>
      <c r="K290" t="str" cm="1">
        <f t="array" ref="K290">ADAPTAR(B290)&amp;"."&amp;ADAPTAR(D290)&amp;YEAR(F290)&amp;"@"&amp;VLOOKUP(J290,Dominios!$A$2:$B$30,2,FALSE)</f>
        <v>mia.velasquez1967@hostedoceri.co</v>
      </c>
      <c r="L290" s="13">
        <v>8</v>
      </c>
      <c r="M290">
        <f>VLOOKUP(L290,Celulares!$A$2:$B$30,2,FALSE)</f>
        <v>3115060091</v>
      </c>
    </row>
    <row r="291" spans="1:13" ht="15.75" customHeight="1" x14ac:dyDescent="0.25">
      <c r="A291" t="s">
        <v>1726</v>
      </c>
      <c r="B291" s="3" t="s">
        <v>949</v>
      </c>
      <c r="C291" s="3" t="s">
        <v>306</v>
      </c>
      <c r="D291" s="3" t="s">
        <v>820</v>
      </c>
      <c r="E291" s="3" t="s">
        <v>811</v>
      </c>
      <c r="F291" s="5">
        <v>28445</v>
      </c>
      <c r="G291" s="14">
        <f t="shared" ca="1" si="4"/>
        <v>43.657534246575345</v>
      </c>
      <c r="H291" s="3" t="s">
        <v>1243</v>
      </c>
      <c r="I291" t="str" cm="1">
        <f t="array" ref="I291">ADAPTAR(B291)&amp;ADAPTAR(C291)&amp;"_"&amp;ADAPTAR(E291)&amp;F291</f>
        <v>karensofia_rodriguez28445</v>
      </c>
      <c r="J291" s="13">
        <v>9</v>
      </c>
      <c r="K291" t="str" cm="1">
        <f t="array" ref="K291">ADAPTAR(B291)&amp;"."&amp;ADAPTAR(D291)&amp;YEAR(F291)&amp;"@"&amp;VLOOKUP(J291,Dominios!$A$2:$B$30,2,FALSE)</f>
        <v>karen.duarte1977@libertas.com.co</v>
      </c>
      <c r="L291" s="13">
        <v>9</v>
      </c>
      <c r="M291">
        <f>VLOOKUP(L291,Celulares!$A$2:$B$30,2,FALSE)</f>
        <v>3115060080</v>
      </c>
    </row>
    <row r="292" spans="1:13" ht="15.75" customHeight="1" x14ac:dyDescent="0.25">
      <c r="A292" t="s">
        <v>1727</v>
      </c>
      <c r="B292" s="3" t="s">
        <v>920</v>
      </c>
      <c r="C292" s="3" t="s">
        <v>951</v>
      </c>
      <c r="D292" s="3" t="s">
        <v>680</v>
      </c>
      <c r="E292" s="3" t="s">
        <v>693</v>
      </c>
      <c r="F292" s="5">
        <v>28496</v>
      </c>
      <c r="G292" s="14">
        <f t="shared" ca="1" si="4"/>
        <v>43.517808219178079</v>
      </c>
      <c r="H292" s="3" t="s">
        <v>1240</v>
      </c>
      <c r="I292" t="str" cm="1">
        <f t="array" ref="I292">ADAPTAR(B292)&amp;ADAPTAR(C292)&amp;"_"&amp;ADAPTAR(E292)&amp;F292</f>
        <v>emmalucrecia_delgado28496</v>
      </c>
      <c r="J292" s="13">
        <v>10</v>
      </c>
      <c r="K292" t="str" cm="1">
        <f t="array" ref="K292">ADAPTAR(B292)&amp;"."&amp;ADAPTAR(D292)&amp;YEAR(F292)&amp;"@"&amp;VLOOKUP(J292,Dominios!$A$2:$B$30,2,FALSE)</f>
        <v>emma.garzon1978@nascitur.com.co</v>
      </c>
      <c r="L292" s="13">
        <v>10</v>
      </c>
      <c r="M292">
        <f>VLOOKUP(L292,Celulares!$A$2:$B$30,2,FALSE)</f>
        <v>3115114385</v>
      </c>
    </row>
    <row r="293" spans="1:13" ht="15.75" customHeight="1" x14ac:dyDescent="0.25">
      <c r="A293" t="s">
        <v>1728</v>
      </c>
      <c r="B293" s="3" t="s">
        <v>324</v>
      </c>
      <c r="C293" s="3" t="s">
        <v>306</v>
      </c>
      <c r="D293" s="3" t="s">
        <v>712</v>
      </c>
      <c r="E293" s="3" t="s">
        <v>837</v>
      </c>
      <c r="F293" s="5">
        <v>25287</v>
      </c>
      <c r="G293" s="14">
        <f t="shared" ca="1" si="4"/>
        <v>52.30958904109589</v>
      </c>
      <c r="H293" s="3" t="s">
        <v>1241</v>
      </c>
      <c r="I293" t="str" cm="1">
        <f t="array" ref="I293">ADAPTAR(B293)&amp;ADAPTAR(C293)&amp;"_"&amp;ADAPTAR(E293)&amp;F293</f>
        <v>sarasofia_sanchez25287</v>
      </c>
      <c r="J293" s="13">
        <v>11</v>
      </c>
      <c r="K293" t="str" cm="1">
        <f t="array" ref="K293">ADAPTAR(B293)&amp;"."&amp;ADAPTAR(D293)&amp;YEAR(F293)&amp;"@"&amp;VLOOKUP(J293,Dominios!$A$2:$B$30,2,FALSE)</f>
        <v>sara.padilla1969@nemesis.ml</v>
      </c>
      <c r="L293" s="13">
        <v>11</v>
      </c>
      <c r="M293">
        <f>VLOOKUP(L293,Celulares!$A$2:$B$30,2,FALSE)</f>
        <v>3115114360</v>
      </c>
    </row>
    <row r="294" spans="1:13" ht="15.75" customHeight="1" x14ac:dyDescent="0.25">
      <c r="A294" t="s">
        <v>1729</v>
      </c>
      <c r="B294" s="3" t="s">
        <v>7</v>
      </c>
      <c r="C294" s="3" t="s">
        <v>8</v>
      </c>
      <c r="D294" s="3" t="s">
        <v>821</v>
      </c>
      <c r="E294" s="3" t="s">
        <v>792</v>
      </c>
      <c r="F294" s="5">
        <v>32875</v>
      </c>
      <c r="G294" s="14">
        <f t="shared" ca="1" si="4"/>
        <v>31.520547945205479</v>
      </c>
      <c r="H294" s="3" t="s">
        <v>569</v>
      </c>
      <c r="I294" t="str" cm="1">
        <f t="array" ref="I294">ADAPTAR(B294)&amp;ADAPTAR(C294)&amp;"_"&amp;ADAPTAR(E294)&amp;F294</f>
        <v>camilavalentina_blanco32875</v>
      </c>
      <c r="J294" s="13">
        <v>12</v>
      </c>
      <c r="K294" t="str" cm="1">
        <f t="array" ref="K294">ADAPTAR(B294)&amp;"."&amp;ADAPTAR(D294)&amp;YEAR(F294)&amp;"@"&amp;VLOOKUP(J294,Dominios!$A$2:$B$30,2,FALSE)</f>
        <v>camila.montes1990@nunquam.com.co</v>
      </c>
      <c r="L294" s="13">
        <v>12</v>
      </c>
      <c r="M294">
        <f>VLOOKUP(L294,Celulares!$A$2:$B$30,2,FALSE)</f>
        <v>3115093653</v>
      </c>
    </row>
    <row r="295" spans="1:13" ht="15.75" customHeight="1" x14ac:dyDescent="0.25">
      <c r="A295" t="s">
        <v>1730</v>
      </c>
      <c r="B295" s="3" t="s">
        <v>50</v>
      </c>
      <c r="C295" s="3" t="s">
        <v>895</v>
      </c>
      <c r="D295" s="3" t="s">
        <v>822</v>
      </c>
      <c r="E295" s="3" t="s">
        <v>822</v>
      </c>
      <c r="F295" s="5">
        <v>27066</v>
      </c>
      <c r="G295" s="14">
        <f t="shared" ca="1" si="4"/>
        <v>47.435616438356163</v>
      </c>
      <c r="H295" s="3" t="s">
        <v>1266</v>
      </c>
      <c r="I295" t="str" cm="1">
        <f t="array" ref="I295">ADAPTAR(B295)&amp;ADAPTAR(C295)&amp;"_"&amp;ADAPTAR(E295)&amp;F295</f>
        <v>mariaceleste_monsalve27066</v>
      </c>
      <c r="J295" s="13">
        <v>13</v>
      </c>
      <c r="K295" t="str" cm="1">
        <f t="array" ref="K295">ADAPTAR(B295)&amp;"."&amp;ADAPTAR(D295)&amp;YEAR(F295)&amp;"@"&amp;VLOOKUP(J295,Dominios!$A$2:$B$30,2,FALSE)</f>
        <v>maria.monsalve1974@sempiternam.co</v>
      </c>
      <c r="L295" s="13">
        <v>13</v>
      </c>
      <c r="M295">
        <f>VLOOKUP(L295,Celulares!$A$2:$B$30,2,FALSE)</f>
        <v>3115093598</v>
      </c>
    </row>
    <row r="296" spans="1:13" ht="15.75" customHeight="1" x14ac:dyDescent="0.25">
      <c r="A296" t="s">
        <v>1731</v>
      </c>
      <c r="B296" s="3" t="s">
        <v>982</v>
      </c>
      <c r="C296" s="3" t="s">
        <v>894</v>
      </c>
      <c r="D296" s="3" t="s">
        <v>471</v>
      </c>
      <c r="E296" s="3" t="s">
        <v>762</v>
      </c>
      <c r="F296" s="5">
        <v>32475</v>
      </c>
      <c r="G296" s="14">
        <f t="shared" ca="1" si="4"/>
        <v>32.61643835616438</v>
      </c>
      <c r="H296" s="3" t="s">
        <v>1258</v>
      </c>
      <c r="I296" t="str" cm="1">
        <f t="array" ref="I296">ADAPTAR(B296)&amp;ADAPTAR(C296)&amp;"_"&amp;ADAPTAR(E296)&amp;F296</f>
        <v>emilaignacia_restrepo32475</v>
      </c>
      <c r="J296" s="13">
        <v>14</v>
      </c>
      <c r="K296" t="str" cm="1">
        <f t="array" ref="K296">ADAPTAR(B296)&amp;"."&amp;ADAPTAR(D296)&amp;YEAR(F296)&amp;"@"&amp;VLOOKUP(J296,Dominios!$A$2:$B$30,2,FALSE)</f>
        <v>emila.fernandez1988@sk9.co</v>
      </c>
      <c r="L296" s="13">
        <v>14</v>
      </c>
      <c r="M296">
        <f>VLOOKUP(L296,Celulares!$A$2:$B$30,2,FALSE)</f>
        <v>3115093583</v>
      </c>
    </row>
    <row r="297" spans="1:13" ht="15.75" customHeight="1" x14ac:dyDescent="0.25">
      <c r="A297" t="s">
        <v>1732</v>
      </c>
      <c r="B297" s="3" t="s">
        <v>324</v>
      </c>
      <c r="C297" s="3" t="s">
        <v>629</v>
      </c>
      <c r="D297" s="3" t="s">
        <v>823</v>
      </c>
      <c r="E297" s="3" t="s">
        <v>685</v>
      </c>
      <c r="F297" s="5">
        <v>33049</v>
      </c>
      <c r="G297" s="14">
        <f t="shared" ca="1" si="4"/>
        <v>31.043835616438358</v>
      </c>
      <c r="H297" s="3" t="s">
        <v>1199</v>
      </c>
      <c r="I297" t="str" cm="1">
        <f t="array" ref="I297">ADAPTAR(B297)&amp;ADAPTAR(C297)&amp;"_"&amp;ADAPTAR(E297)&amp;F297</f>
        <v>saraisabella_beltran33049</v>
      </c>
      <c r="J297" s="13">
        <v>15</v>
      </c>
      <c r="K297" t="str" cm="1">
        <f t="array" ref="K297">ADAPTAR(B297)&amp;"."&amp;ADAPTAR(D297)&amp;YEAR(F297)&amp;"@"&amp;VLOOKUP(J297,Dominios!$A$2:$B$30,2,FALSE)</f>
        <v>sara.rivera1990@socialmediacolombia.com.co</v>
      </c>
      <c r="L297" s="13">
        <v>15</v>
      </c>
      <c r="M297">
        <f>VLOOKUP(L297,Celulares!$A$2:$B$30,2,FALSE)</f>
        <v>3115092386</v>
      </c>
    </row>
    <row r="298" spans="1:13" ht="15.75" customHeight="1" x14ac:dyDescent="0.25">
      <c r="A298" t="s">
        <v>1733</v>
      </c>
      <c r="B298" s="3" t="s">
        <v>50</v>
      </c>
      <c r="C298" s="3" t="s">
        <v>159</v>
      </c>
      <c r="D298" s="3" t="s">
        <v>706</v>
      </c>
      <c r="E298" s="3" t="s">
        <v>707</v>
      </c>
      <c r="F298" s="5">
        <v>28375</v>
      </c>
      <c r="G298" s="14">
        <f t="shared" ca="1" si="4"/>
        <v>43.849315068493148</v>
      </c>
      <c r="H298" s="3" t="s">
        <v>1213</v>
      </c>
      <c r="I298" t="str" cm="1">
        <f t="array" ref="I298">ADAPTAR(B298)&amp;ADAPTAR(C298)&amp;"_"&amp;ADAPTAR(E298)&amp;F298</f>
        <v>mariateresa_pineda28375</v>
      </c>
      <c r="J298" s="13">
        <v>16</v>
      </c>
      <c r="K298" t="str" cm="1">
        <f t="array" ref="K298">ADAPTAR(B298)&amp;"."&amp;ADAPTAR(D298)&amp;YEAR(F298)&amp;"@"&amp;VLOOKUP(J298,Dominios!$A$2:$B$30,2,FALSE)</f>
        <v>maria.velez1977@tecnicoensistemas.com.co</v>
      </c>
      <c r="L298" s="13">
        <v>16</v>
      </c>
      <c r="M298">
        <f>VLOOKUP(L298,Celulares!$A$2:$B$30,2,FALSE)</f>
        <v>3115092375</v>
      </c>
    </row>
    <row r="299" spans="1:13" ht="15.75" customHeight="1" x14ac:dyDescent="0.25">
      <c r="A299" t="s">
        <v>1734</v>
      </c>
      <c r="B299" s="3" t="s">
        <v>983</v>
      </c>
      <c r="C299" s="3" t="s">
        <v>306</v>
      </c>
      <c r="D299" s="3" t="s">
        <v>824</v>
      </c>
      <c r="E299" s="3" t="s">
        <v>714</v>
      </c>
      <c r="F299" s="5">
        <v>36108</v>
      </c>
      <c r="G299" s="14">
        <f t="shared" ca="1" si="4"/>
        <v>22.663013698630138</v>
      </c>
      <c r="H299" s="3" t="s">
        <v>1164</v>
      </c>
      <c r="I299" t="str" cm="1">
        <f t="array" ref="I299">ADAPTAR(B299)&amp;ADAPTAR(C299)&amp;"_"&amp;ADAPTAR(E299)&amp;F299</f>
        <v>emilysofia_diaz36108</v>
      </c>
      <c r="J299" s="13">
        <v>17</v>
      </c>
      <c r="K299" t="str" cm="1">
        <f t="array" ref="K299">ADAPTAR(B299)&amp;"."&amp;ADAPTAR(D299)&amp;YEAR(F299)&amp;"@"&amp;VLOOKUP(J299,Dominios!$A$2:$B$30,2,FALSE)</f>
        <v>emily.jaramillo1998@totum.com.co</v>
      </c>
      <c r="L299" s="13">
        <v>17</v>
      </c>
      <c r="M299">
        <f>VLOOKUP(L299,Celulares!$A$2:$B$30,2,FALSE)</f>
        <v>3115092369</v>
      </c>
    </row>
    <row r="300" spans="1:13" ht="15.75" customHeight="1" x14ac:dyDescent="0.25">
      <c r="A300" t="s">
        <v>1735</v>
      </c>
      <c r="B300" s="3" t="s">
        <v>984</v>
      </c>
      <c r="C300" s="3" t="s">
        <v>102</v>
      </c>
      <c r="D300" s="3" t="s">
        <v>825</v>
      </c>
      <c r="E300" s="3" t="s">
        <v>730</v>
      </c>
      <c r="F300" s="5">
        <v>25463</v>
      </c>
      <c r="G300" s="14">
        <f t="shared" ca="1" si="4"/>
        <v>51.827397260273976</v>
      </c>
      <c r="H300" s="3" t="s">
        <v>1208</v>
      </c>
      <c r="I300" t="str" cm="1">
        <f t="array" ref="I300">ADAPTAR(B300)&amp;ADAPTAR(C300)&amp;"_"&amp;ADAPTAR(E300)&amp;F300</f>
        <v>renataesperanza_perez25463</v>
      </c>
      <c r="J300" s="13">
        <v>18</v>
      </c>
      <c r="K300" t="str" cm="1">
        <f t="array" ref="K300">ADAPTAR(B300)&amp;"."&amp;ADAPTAR(D300)&amp;YEAR(F300)&amp;"@"&amp;VLOOKUP(J300,Dominios!$A$2:$B$30,2,FALSE)</f>
        <v>renata.moreno1969@voipcolombia.co</v>
      </c>
      <c r="L300" s="13">
        <v>18</v>
      </c>
      <c r="M300">
        <f>VLOOKUP(L300,Celulares!$A$2:$B$30,2,FALSE)</f>
        <v>3115092360</v>
      </c>
    </row>
    <row r="301" spans="1:13" ht="15.75" customHeight="1" x14ac:dyDescent="0.25">
      <c r="A301" t="s">
        <v>1736</v>
      </c>
      <c r="B301" s="3" t="s">
        <v>942</v>
      </c>
      <c r="C301" s="3" t="s">
        <v>17</v>
      </c>
      <c r="D301" s="3" t="s">
        <v>711</v>
      </c>
      <c r="E301" s="3" t="s">
        <v>475</v>
      </c>
      <c r="F301" s="5">
        <v>25812</v>
      </c>
      <c r="G301" s="14">
        <f t="shared" ca="1" si="4"/>
        <v>50.871232876712327</v>
      </c>
      <c r="H301" s="3" t="s">
        <v>566</v>
      </c>
      <c r="I301" t="str" cm="1">
        <f t="array" ref="I301">ADAPTAR(B301)&amp;ADAPTAR(C301)&amp;"_"&amp;ADAPTAR(E301)&amp;F301</f>
        <v>miafernanda_caicedo25812</v>
      </c>
      <c r="J301" s="13">
        <v>19</v>
      </c>
      <c r="K301" t="str" cm="1">
        <f t="array" ref="K301">ADAPTAR(B301)&amp;"."&amp;ADAPTAR(D301)&amp;YEAR(F301)&amp;"@"&amp;VLOOKUP(J301,Dominios!$A$2:$B$30,2,FALSE)</f>
        <v>mia.carvajal1970@vpncolombia.com.co</v>
      </c>
      <c r="L301" s="13">
        <v>19</v>
      </c>
      <c r="M301">
        <f>VLOOKUP(L301,Celulares!$A$2:$B$30,2,FALSE)</f>
        <v>3115092352</v>
      </c>
    </row>
    <row r="302" spans="1:13" ht="15.75" customHeight="1" x14ac:dyDescent="0.25">
      <c r="A302" t="s">
        <v>1737</v>
      </c>
      <c r="B302" s="3" t="s">
        <v>50</v>
      </c>
      <c r="C302" s="3" t="s">
        <v>492</v>
      </c>
      <c r="D302" s="3" t="s">
        <v>826</v>
      </c>
      <c r="E302" s="3" t="s">
        <v>776</v>
      </c>
      <c r="F302" s="5">
        <v>36026</v>
      </c>
      <c r="G302" s="14">
        <f t="shared" ca="1" si="4"/>
        <v>22.887671232876713</v>
      </c>
      <c r="H302" s="3" t="s">
        <v>1200</v>
      </c>
      <c r="I302" t="str" cm="1">
        <f t="array" ref="I302">ADAPTAR(B302)&amp;ADAPTAR(C302)&amp;"_"&amp;ADAPTAR(E302)&amp;F302</f>
        <v>mariajesus_cifuentes36026</v>
      </c>
      <c r="J302" s="13">
        <v>0</v>
      </c>
      <c r="K302" t="str" cm="1">
        <f t="array" ref="K302">ADAPTAR(B302)&amp;"."&amp;ADAPTAR(D302)&amp;YEAR(F302)&amp;"@"&amp;VLOOKUP(J302,Dominios!$A$2:$B$30,2,FALSE)</f>
        <v>maria.mejia1998@auribus.com.co</v>
      </c>
      <c r="L302" s="13">
        <v>0</v>
      </c>
      <c r="M302">
        <f>VLOOKUP(L302,Celulares!$A$2:$B$30,2,FALSE)</f>
        <v>3115114930</v>
      </c>
    </row>
    <row r="303" spans="1:13" ht="15.75" customHeight="1" x14ac:dyDescent="0.25">
      <c r="A303" t="s">
        <v>1738</v>
      </c>
      <c r="B303" s="3" t="s">
        <v>31</v>
      </c>
      <c r="C303" s="3" t="s">
        <v>893</v>
      </c>
      <c r="D303" s="3" t="s">
        <v>827</v>
      </c>
      <c r="E303" s="3" t="s">
        <v>813</v>
      </c>
      <c r="F303" s="5">
        <v>26288</v>
      </c>
      <c r="G303" s="14">
        <f t="shared" ca="1" si="4"/>
        <v>49.56712328767123</v>
      </c>
      <c r="H303" s="3" t="s">
        <v>1183</v>
      </c>
      <c r="I303" t="str" cm="1">
        <f t="array" ref="I303">ADAPTAR(B303)&amp;ADAPTAR(C303)&amp;"_"&amp;ADAPTAR(E303)&amp;F303</f>
        <v>paolaesther_galindo26288</v>
      </c>
      <c r="J303" s="13">
        <v>1</v>
      </c>
      <c r="K303" t="str" cm="1">
        <f t="array" ref="K303">ADAPTAR(B303)&amp;"."&amp;ADAPTAR(D303)&amp;YEAR(F303)&amp;"@"&amp;VLOOKUP(J303,Dominios!$A$2:$B$30,2,FALSE)</f>
        <v>paola.martinez1971@colamus.co</v>
      </c>
      <c r="L303" s="13">
        <v>1</v>
      </c>
      <c r="M303">
        <f>VLOOKUP(L303,Celulares!$A$2:$B$30,2,FALSE)</f>
        <v>3115114916</v>
      </c>
    </row>
    <row r="304" spans="1:13" ht="15.75" customHeight="1" x14ac:dyDescent="0.25">
      <c r="A304" t="s">
        <v>1739</v>
      </c>
      <c r="B304" s="3" t="s">
        <v>620</v>
      </c>
      <c r="C304" s="3" t="s">
        <v>897</v>
      </c>
      <c r="D304" s="3" t="s">
        <v>828</v>
      </c>
      <c r="E304" s="3" t="s">
        <v>476</v>
      </c>
      <c r="F304" s="5">
        <v>35467</v>
      </c>
      <c r="G304" s="14">
        <f t="shared" ca="1" si="4"/>
        <v>24.419178082191781</v>
      </c>
      <c r="H304" s="3" t="s">
        <v>1234</v>
      </c>
      <c r="I304" t="str" cm="1">
        <f t="array" ref="I304">ADAPTAR(B304)&amp;ADAPTAR(C304)&amp;"_"&amp;ADAPTAR(E304)&amp;F304</f>
        <v>victoriamargarita_prieto35467</v>
      </c>
      <c r="J304" s="13">
        <v>2</v>
      </c>
      <c r="K304" t="str" cm="1">
        <f t="array" ref="K304">ADAPTAR(B304)&amp;"."&amp;ADAPTAR(D304)&amp;YEAR(F304)&amp;"@"&amp;VLOOKUP(J304,Dominios!$A$2:$B$30,2,FALSE)</f>
        <v>victoria.barrios1997@colombiamail.co</v>
      </c>
      <c r="L304" s="13">
        <v>2</v>
      </c>
      <c r="M304">
        <f>VLOOKUP(L304,Celulares!$A$2:$B$30,2,FALSE)</f>
        <v>3115114911</v>
      </c>
    </row>
    <row r="305" spans="1:13" ht="15.75" customHeight="1" x14ac:dyDescent="0.25">
      <c r="A305" t="s">
        <v>1740</v>
      </c>
      <c r="B305" s="3" t="s">
        <v>190</v>
      </c>
      <c r="C305" s="3" t="s">
        <v>7</v>
      </c>
      <c r="D305" s="3" t="s">
        <v>692</v>
      </c>
      <c r="E305" s="3" t="s">
        <v>729</v>
      </c>
      <c r="F305" s="5">
        <v>32493</v>
      </c>
      <c r="G305" s="14">
        <f t="shared" ca="1" si="4"/>
        <v>32.56712328767123</v>
      </c>
      <c r="H305" s="3" t="s">
        <v>1177</v>
      </c>
      <c r="I305" t="str" cm="1">
        <f t="array" ref="I305">ADAPTAR(B305)&amp;ADAPTAR(C305)&amp;"_"&amp;ADAPTAR(E305)&amp;F305</f>
        <v>nicolcamila_fonseca32493</v>
      </c>
      <c r="J305" s="13">
        <v>3</v>
      </c>
      <c r="K305" t="str" cm="1">
        <f t="array" ref="K305">ADAPTAR(B305)&amp;"."&amp;ADAPTAR(D305)&amp;YEAR(F305)&amp;"@"&amp;VLOOKUP(J305,Dominios!$A$2:$B$30,2,FALSE)</f>
        <v>nicol.hurtado1988@diabunter.co</v>
      </c>
      <c r="L305" s="13">
        <v>3</v>
      </c>
      <c r="M305">
        <f>VLOOKUP(L305,Celulares!$A$2:$B$30,2,FALSE)</f>
        <v>3115114910</v>
      </c>
    </row>
    <row r="306" spans="1:13" ht="15.75" customHeight="1" x14ac:dyDescent="0.25">
      <c r="A306" t="s">
        <v>1741</v>
      </c>
      <c r="B306" s="3" t="s">
        <v>324</v>
      </c>
      <c r="C306" s="3" t="s">
        <v>985</v>
      </c>
      <c r="D306" s="3" t="s">
        <v>829</v>
      </c>
      <c r="E306" s="3" t="s">
        <v>744</v>
      </c>
      <c r="F306" s="5">
        <v>32755</v>
      </c>
      <c r="G306" s="14">
        <f t="shared" ca="1" si="4"/>
        <v>31.849315068493151</v>
      </c>
      <c r="H306" s="3" t="s">
        <v>1169</v>
      </c>
      <c r="I306" t="str" cm="1">
        <f t="array" ref="I306">ADAPTAR(B306)&amp;ADAPTAR(C306)&amp;"_"&amp;ADAPTAR(E306)&amp;F306</f>
        <v>saraabril_pacheco32755</v>
      </c>
      <c r="J306" s="13">
        <v>4</v>
      </c>
      <c r="K306" t="str" cm="1">
        <f t="array" ref="K306">ADAPTAR(B306)&amp;"."&amp;ADAPTAR(D306)&amp;YEAR(F306)&amp;"@"&amp;VLOOKUP(J306,Dominios!$A$2:$B$30,2,FALSE)</f>
        <v>sara.palacio1989@ebrietas.co</v>
      </c>
      <c r="L306" s="13">
        <v>4</v>
      </c>
      <c r="M306">
        <f>VLOOKUP(L306,Celulares!$A$2:$B$30,2,FALSE)</f>
        <v>3115114909</v>
      </c>
    </row>
    <row r="307" spans="1:13" ht="15.75" customHeight="1" x14ac:dyDescent="0.25">
      <c r="A307" t="s">
        <v>1742</v>
      </c>
      <c r="B307" s="3" t="s">
        <v>986</v>
      </c>
      <c r="C307" s="3" t="s">
        <v>190</v>
      </c>
      <c r="D307" s="3" t="s">
        <v>476</v>
      </c>
      <c r="E307" s="3" t="s">
        <v>244</v>
      </c>
      <c r="F307" s="5">
        <v>36006</v>
      </c>
      <c r="G307" s="14">
        <f t="shared" ca="1" si="4"/>
        <v>22.942465753424656</v>
      </c>
      <c r="H307" s="3" t="s">
        <v>1188</v>
      </c>
      <c r="I307" t="str" cm="1">
        <f t="array" ref="I307">ADAPTAR(B307)&amp;ADAPTAR(C307)&amp;"_"&amp;ADAPTAR(E307)&amp;F307</f>
        <v>stefanynicol_correa36006</v>
      </c>
      <c r="J307" s="13">
        <v>5</v>
      </c>
      <c r="K307" t="str" cm="1">
        <f t="array" ref="K307">ADAPTAR(B307)&amp;"."&amp;ADAPTAR(D307)&amp;YEAR(F307)&amp;"@"&amp;VLOOKUP(J307,Dominios!$A$2:$B$30,2,FALSE)</f>
        <v>stefany.prieto1998@elsinsonte.co</v>
      </c>
      <c r="L307" s="13">
        <v>5</v>
      </c>
      <c r="M307">
        <f>VLOOKUP(L307,Celulares!$A$2:$B$30,2,FALSE)</f>
        <v>3115060130</v>
      </c>
    </row>
    <row r="308" spans="1:13" ht="15.75" customHeight="1" x14ac:dyDescent="0.25">
      <c r="A308" t="s">
        <v>1743</v>
      </c>
      <c r="B308" s="3" t="s">
        <v>987</v>
      </c>
      <c r="C308" s="3" t="s">
        <v>988</v>
      </c>
      <c r="D308" s="3" t="s">
        <v>830</v>
      </c>
      <c r="E308" s="3" t="s">
        <v>709</v>
      </c>
      <c r="F308" s="5">
        <v>29373</v>
      </c>
      <c r="G308" s="14">
        <f t="shared" ca="1" si="4"/>
        <v>41.115068493150687</v>
      </c>
      <c r="H308" s="3" t="s">
        <v>1236</v>
      </c>
      <c r="I308" t="str" cm="1">
        <f t="array" ref="I308">ADAPTAR(B308)&amp;ADAPTAR(C308)&amp;"_"&amp;ADAPTAR(E308)&amp;F308</f>
        <v>valerigiselle_bernal29373</v>
      </c>
      <c r="J308" s="13">
        <v>6</v>
      </c>
      <c r="K308" t="str" cm="1">
        <f t="array" ref="K308">ADAPTAR(B308)&amp;"."&amp;ADAPTAR(D308)&amp;YEAR(F308)&amp;"@"&amp;VLOOKUP(J308,Dominios!$A$2:$B$30,2,FALSE)</f>
        <v>valeri.camacho1980@enigmaserver.co</v>
      </c>
      <c r="L308" s="13">
        <v>6</v>
      </c>
      <c r="M308">
        <f>VLOOKUP(L308,Celulares!$A$2:$B$30,2,FALSE)</f>
        <v>3115060125</v>
      </c>
    </row>
    <row r="309" spans="1:13" ht="15.75" customHeight="1" x14ac:dyDescent="0.25">
      <c r="A309" t="s">
        <v>1744</v>
      </c>
      <c r="B309" s="3" t="s">
        <v>989</v>
      </c>
      <c r="C309" s="3" t="s">
        <v>990</v>
      </c>
      <c r="D309" s="3" t="s">
        <v>831</v>
      </c>
      <c r="E309" s="3" t="s">
        <v>722</v>
      </c>
      <c r="F309" s="5">
        <v>27440</v>
      </c>
      <c r="G309" s="14">
        <f t="shared" ca="1" si="4"/>
        <v>46.410958904109592</v>
      </c>
      <c r="H309" s="3" t="s">
        <v>1228</v>
      </c>
      <c r="I309" t="str" cm="1">
        <f t="array" ref="I309">ADAPTAR(B309)&amp;ADAPTAR(C309)&amp;"_"&amp;ADAPTAR(E309)&amp;F309</f>
        <v>reginaabigail_barrera27440</v>
      </c>
      <c r="J309" s="13">
        <v>7</v>
      </c>
      <c r="K309" t="str" cm="1">
        <f t="array" ref="K309">ADAPTAR(B309)&amp;"."&amp;ADAPTAR(D309)&amp;YEAR(F309)&amp;"@"&amp;VLOOKUP(J309,Dominios!$A$2:$B$30,2,FALSE)</f>
        <v>regina.arrieta1975@hocknas.co</v>
      </c>
      <c r="L309" s="13">
        <v>7</v>
      </c>
      <c r="M309">
        <f>VLOOKUP(L309,Celulares!$A$2:$B$30,2,FALSE)</f>
        <v>3115060110</v>
      </c>
    </row>
    <row r="310" spans="1:13" ht="15.75" customHeight="1" x14ac:dyDescent="0.25">
      <c r="A310" t="s">
        <v>1745</v>
      </c>
      <c r="B310" s="3" t="s">
        <v>987</v>
      </c>
      <c r="C310" s="3" t="s">
        <v>991</v>
      </c>
      <c r="D310" s="3" t="s">
        <v>832</v>
      </c>
      <c r="E310" s="3" t="s">
        <v>758</v>
      </c>
      <c r="F310" s="5">
        <v>29004</v>
      </c>
      <c r="G310" s="14">
        <f t="shared" ca="1" si="4"/>
        <v>42.126027397260273</v>
      </c>
      <c r="H310" s="3" t="s">
        <v>1177</v>
      </c>
      <c r="I310" t="str" cm="1">
        <f t="array" ref="I310">ADAPTAR(B310)&amp;ADAPTAR(C310)&amp;"_"&amp;ADAPTAR(E310)&amp;F310</f>
        <v>valeriluciana_castellanos29004</v>
      </c>
      <c r="J310" s="13">
        <v>8</v>
      </c>
      <c r="K310" t="str" cm="1">
        <f t="array" ref="K310">ADAPTAR(B310)&amp;"."&amp;ADAPTAR(D310)&amp;YEAR(F310)&amp;"@"&amp;VLOOKUP(J310,Dominios!$A$2:$B$30,2,FALSE)</f>
        <v>valeri.cardenas1979@hostedoceri.co</v>
      </c>
      <c r="L310" s="13">
        <v>8</v>
      </c>
      <c r="M310">
        <f>VLOOKUP(L310,Celulares!$A$2:$B$30,2,FALSE)</f>
        <v>3115060091</v>
      </c>
    </row>
    <row r="311" spans="1:13" ht="15.75" customHeight="1" x14ac:dyDescent="0.25">
      <c r="A311" t="s">
        <v>1746</v>
      </c>
      <c r="B311" s="3" t="s">
        <v>992</v>
      </c>
      <c r="C311" s="3" t="s">
        <v>636</v>
      </c>
      <c r="D311" s="3" t="s">
        <v>833</v>
      </c>
      <c r="E311" s="3" t="s">
        <v>733</v>
      </c>
      <c r="F311" s="5">
        <v>34415</v>
      </c>
      <c r="G311" s="14">
        <f t="shared" ca="1" si="4"/>
        <v>27.301369863013697</v>
      </c>
      <c r="H311" s="3" t="s">
        <v>1247</v>
      </c>
      <c r="I311" t="str" cm="1">
        <f t="array" ref="I311">ADAPTAR(B311)&amp;ADAPTAR(C311)&amp;"_"&amp;ADAPTAR(E311)&amp;F311</f>
        <v>noemimonserrat_meneses34415</v>
      </c>
      <c r="J311" s="13">
        <v>9</v>
      </c>
      <c r="K311" t="str" cm="1">
        <f t="array" ref="K311">ADAPTAR(B311)&amp;"."&amp;ADAPTAR(D311)&amp;YEAR(F311)&amp;"@"&amp;VLOOKUP(J311,Dominios!$A$2:$B$30,2,FALSE)</f>
        <v>noemi.loaiza1994@libertas.com.co</v>
      </c>
      <c r="L311" s="13">
        <v>9</v>
      </c>
      <c r="M311">
        <f>VLOOKUP(L311,Celulares!$A$2:$B$30,2,FALSE)</f>
        <v>3115060080</v>
      </c>
    </row>
    <row r="312" spans="1:13" ht="15.75" customHeight="1" x14ac:dyDescent="0.25">
      <c r="A312" t="s">
        <v>1747</v>
      </c>
      <c r="B312" s="3" t="s">
        <v>939</v>
      </c>
      <c r="C312" s="3" t="s">
        <v>993</v>
      </c>
      <c r="D312" s="3" t="s">
        <v>474</v>
      </c>
      <c r="E312" s="3" t="s">
        <v>823</v>
      </c>
      <c r="F312" s="5">
        <v>26746</v>
      </c>
      <c r="G312" s="14">
        <f t="shared" ca="1" si="4"/>
        <v>48.31232876712329</v>
      </c>
      <c r="H312" s="3" t="s">
        <v>569</v>
      </c>
      <c r="I312" t="str" cm="1">
        <f t="array" ref="I312">ADAPTAR(B312)&amp;ADAPTAR(C312)&amp;"_"&amp;ADAPTAR(E312)&amp;F312</f>
        <v>linaagustina_rivera26746</v>
      </c>
      <c r="J312" s="13">
        <v>10</v>
      </c>
      <c r="K312" t="str" cm="1">
        <f t="array" ref="K312">ADAPTAR(B312)&amp;"."&amp;ADAPTAR(D312)&amp;YEAR(F312)&amp;"@"&amp;VLOOKUP(J312,Dominios!$A$2:$B$30,2,FALSE)</f>
        <v>lina.villa1973@nascitur.com.co</v>
      </c>
      <c r="L312" s="13">
        <v>10</v>
      </c>
      <c r="M312">
        <f>VLOOKUP(L312,Celulares!$A$2:$B$30,2,FALSE)</f>
        <v>3115114385</v>
      </c>
    </row>
    <row r="313" spans="1:13" ht="15.75" customHeight="1" x14ac:dyDescent="0.25">
      <c r="A313" t="s">
        <v>1748</v>
      </c>
      <c r="B313" s="3" t="s">
        <v>994</v>
      </c>
      <c r="C313" s="3" t="s">
        <v>306</v>
      </c>
      <c r="D313" s="3" t="s">
        <v>834</v>
      </c>
      <c r="E313" s="3" t="s">
        <v>818</v>
      </c>
      <c r="F313" s="5">
        <v>32626</v>
      </c>
      <c r="G313" s="14">
        <f t="shared" ca="1" si="4"/>
        <v>32.202739726027396</v>
      </c>
      <c r="H313" s="3" t="s">
        <v>1227</v>
      </c>
      <c r="I313" t="str" cm="1">
        <f t="array" ref="I313">ADAPTAR(B313)&amp;ADAPTAR(C313)&amp;"_"&amp;ADAPTAR(E313)&amp;F313</f>
        <v>tamarasofia_castano32626</v>
      </c>
      <c r="J313" s="13">
        <v>11</v>
      </c>
      <c r="K313" t="str" cm="1">
        <f t="array" ref="K313">ADAPTAR(B313)&amp;"."&amp;ADAPTAR(D313)&amp;YEAR(F313)&amp;"@"&amp;VLOOKUP(J313,Dominios!$A$2:$B$30,2,FALSE)</f>
        <v>tamara.rosero1989@nemesis.ml</v>
      </c>
      <c r="L313" s="13">
        <v>11</v>
      </c>
      <c r="M313">
        <f>VLOOKUP(L313,Celulares!$A$2:$B$30,2,FALSE)</f>
        <v>3115114360</v>
      </c>
    </row>
    <row r="314" spans="1:13" ht="15.75" customHeight="1" x14ac:dyDescent="0.25">
      <c r="A314" t="s">
        <v>1749</v>
      </c>
      <c r="B314" s="3" t="s">
        <v>204</v>
      </c>
      <c r="C314" s="3" t="s">
        <v>50</v>
      </c>
      <c r="D314" s="3" t="s">
        <v>835</v>
      </c>
      <c r="E314" s="3" t="s">
        <v>750</v>
      </c>
      <c r="F314" s="5">
        <v>35242</v>
      </c>
      <c r="G314" s="14">
        <f t="shared" ca="1" si="4"/>
        <v>25.035616438356165</v>
      </c>
      <c r="H314" s="3" t="s">
        <v>1231</v>
      </c>
      <c r="I314" t="str" cm="1">
        <f t="array" ref="I314">ADAPTAR(B314)&amp;ADAPTAR(C314)&amp;"_"&amp;ADAPTAR(E314)&amp;F314</f>
        <v>tatianamaria_cardona35242</v>
      </c>
      <c r="J314" s="13">
        <v>12</v>
      </c>
      <c r="K314" t="str" cm="1">
        <f t="array" ref="K314">ADAPTAR(B314)&amp;"."&amp;ADAPTAR(D314)&amp;YEAR(F314)&amp;"@"&amp;VLOOKUP(J314,Dominios!$A$2:$B$30,2,FALSE)</f>
        <v>tatiana.henao1996@nunquam.com.co</v>
      </c>
      <c r="L314" s="13">
        <v>12</v>
      </c>
      <c r="M314">
        <f>VLOOKUP(L314,Celulares!$A$2:$B$30,2,FALSE)</f>
        <v>3115093653</v>
      </c>
    </row>
    <row r="315" spans="1:13" ht="15.75" customHeight="1" x14ac:dyDescent="0.25">
      <c r="A315" t="s">
        <v>1750</v>
      </c>
      <c r="B315" s="3" t="s">
        <v>620</v>
      </c>
      <c r="C315" s="3" t="s">
        <v>36</v>
      </c>
      <c r="D315" s="3" t="s">
        <v>836</v>
      </c>
      <c r="E315" s="3" t="s">
        <v>676</v>
      </c>
      <c r="F315" s="5">
        <v>25242</v>
      </c>
      <c r="G315" s="14">
        <f t="shared" ca="1" si="4"/>
        <v>52.43287671232877</v>
      </c>
      <c r="H315" s="3" t="s">
        <v>1230</v>
      </c>
      <c r="I315" t="str" cm="1">
        <f t="array" ref="I315">ADAPTAR(B315)&amp;ADAPTAR(C315)&amp;"_"&amp;ADAPTAR(E315)&amp;F315</f>
        <v>victoriaalexandra_rios25242</v>
      </c>
      <c r="J315" s="13">
        <v>13</v>
      </c>
      <c r="K315" t="str" cm="1">
        <f t="array" ref="K315">ADAPTAR(B315)&amp;"."&amp;ADAPTAR(D315)&amp;YEAR(F315)&amp;"@"&amp;VLOOKUP(J315,Dominios!$A$2:$B$30,2,FALSE)</f>
        <v>victoria.jimenez1969@sempiternam.co</v>
      </c>
      <c r="L315" s="13">
        <v>13</v>
      </c>
      <c r="M315">
        <f>VLOOKUP(L315,Celulares!$A$2:$B$30,2,FALSE)</f>
        <v>3115093598</v>
      </c>
    </row>
    <row r="316" spans="1:13" ht="15.75" customHeight="1" x14ac:dyDescent="0.25">
      <c r="A316" t="s">
        <v>1751</v>
      </c>
      <c r="B316" s="3" t="s">
        <v>995</v>
      </c>
      <c r="C316" s="3" t="s">
        <v>996</v>
      </c>
      <c r="D316" s="3" t="s">
        <v>837</v>
      </c>
      <c r="E316" s="3" t="s">
        <v>748</v>
      </c>
      <c r="F316" s="5">
        <v>26783</v>
      </c>
      <c r="G316" s="14">
        <f t="shared" ca="1" si="4"/>
        <v>48.210958904109589</v>
      </c>
      <c r="H316" s="3" t="s">
        <v>1239</v>
      </c>
      <c r="I316" t="str" cm="1">
        <f t="array" ref="I316">ADAPTAR(B316)&amp;ADAPTAR(C316)&amp;"_"&amp;ADAPTAR(E316)&amp;F316</f>
        <v>rominaguadalupe_gutierrez26783</v>
      </c>
      <c r="J316" s="13">
        <v>14</v>
      </c>
      <c r="K316" t="str" cm="1">
        <f t="array" ref="K316">ADAPTAR(B316)&amp;"."&amp;ADAPTAR(D316)&amp;YEAR(F316)&amp;"@"&amp;VLOOKUP(J316,Dominios!$A$2:$B$30,2,FALSE)</f>
        <v>romina.sanchez1973@sk9.co</v>
      </c>
      <c r="L316" s="13">
        <v>14</v>
      </c>
      <c r="M316">
        <f>VLOOKUP(L316,Celulares!$A$2:$B$30,2,FALSE)</f>
        <v>3115093583</v>
      </c>
    </row>
    <row r="317" spans="1:13" ht="15.75" customHeight="1" x14ac:dyDescent="0.25">
      <c r="A317" t="s">
        <v>1752</v>
      </c>
      <c r="B317" s="3" t="s">
        <v>977</v>
      </c>
      <c r="C317" s="3" t="s">
        <v>990</v>
      </c>
      <c r="D317" s="3" t="s">
        <v>456</v>
      </c>
      <c r="E317" s="3" t="s">
        <v>759</v>
      </c>
      <c r="F317" s="5">
        <v>26783</v>
      </c>
      <c r="G317" s="14">
        <f t="shared" ca="1" si="4"/>
        <v>48.210958904109589</v>
      </c>
      <c r="H317" s="3" t="s">
        <v>1166</v>
      </c>
      <c r="I317" t="str" cm="1">
        <f t="array" ref="I317">ADAPTAR(B317)&amp;ADAPTAR(C317)&amp;"_"&amp;ADAPTAR(E317)&amp;F317</f>
        <v>oliviaabigail_ortiz26783</v>
      </c>
      <c r="J317" s="13">
        <v>15</v>
      </c>
      <c r="K317" t="str" cm="1">
        <f t="array" ref="K317">ADAPTAR(B317)&amp;"."&amp;ADAPTAR(D317)&amp;YEAR(F317)&amp;"@"&amp;VLOOKUP(J317,Dominios!$A$2:$B$30,2,FALSE)</f>
        <v>olivia.alvarez1973@socialmediacolombia.com.co</v>
      </c>
      <c r="L317" s="13">
        <v>15</v>
      </c>
      <c r="M317">
        <f>VLOOKUP(L317,Celulares!$A$2:$B$30,2,FALSE)</f>
        <v>3115092386</v>
      </c>
    </row>
    <row r="318" spans="1:13" ht="15.75" customHeight="1" x14ac:dyDescent="0.25">
      <c r="A318" t="s">
        <v>1753</v>
      </c>
      <c r="B318" s="3" t="s">
        <v>997</v>
      </c>
      <c r="C318" s="3" t="s">
        <v>938</v>
      </c>
      <c r="D318" s="3" t="s">
        <v>838</v>
      </c>
      <c r="E318" s="3" t="s">
        <v>840</v>
      </c>
      <c r="F318" s="5">
        <v>32997</v>
      </c>
      <c r="G318" s="14">
        <f t="shared" ca="1" si="4"/>
        <v>31.186301369863013</v>
      </c>
      <c r="H318" s="3" t="s">
        <v>1217</v>
      </c>
      <c r="I318" t="str" cm="1">
        <f t="array" ref="I318">ADAPTAR(B318)&amp;ADAPTAR(C318)&amp;"_"&amp;ADAPTAR(E318)&amp;F318</f>
        <v>violetajazmin_duque32997</v>
      </c>
      <c r="J318" s="13">
        <v>16</v>
      </c>
      <c r="K318" t="str" cm="1">
        <f t="array" ref="K318">ADAPTAR(B318)&amp;"."&amp;ADAPTAR(D318)&amp;YEAR(F318)&amp;"@"&amp;VLOOKUP(J318,Dominios!$A$2:$B$30,2,FALSE)</f>
        <v>violeta.tovar1990@tecnicoensistemas.com.co</v>
      </c>
      <c r="L318" s="13">
        <v>16</v>
      </c>
      <c r="M318">
        <f>VLOOKUP(L318,Celulares!$A$2:$B$30,2,FALSE)</f>
        <v>3115092375</v>
      </c>
    </row>
    <row r="319" spans="1:13" ht="15.75" customHeight="1" x14ac:dyDescent="0.25">
      <c r="A319" t="s">
        <v>1754</v>
      </c>
      <c r="B319" s="3" t="s">
        <v>998</v>
      </c>
      <c r="C319" s="3" t="s">
        <v>967</v>
      </c>
      <c r="D319" s="3" t="s">
        <v>686</v>
      </c>
      <c r="E319" s="3" t="s">
        <v>675</v>
      </c>
      <c r="F319" s="5">
        <v>26199</v>
      </c>
      <c r="G319" s="14">
        <f t="shared" ca="1" si="4"/>
        <v>49.81095890410959</v>
      </c>
      <c r="H319" s="3" t="s">
        <v>1197</v>
      </c>
      <c r="I319" t="str" cm="1">
        <f t="array" ref="I319">ADAPTAR(B319)&amp;ADAPTAR(C319)&amp;"_"&amp;ADAPTAR(E319)&amp;F319</f>
        <v>perlavaleria_rincon26199</v>
      </c>
      <c r="J319" s="13">
        <v>17</v>
      </c>
      <c r="K319" t="str" cm="1">
        <f t="array" ref="K319">ADAPTAR(B319)&amp;"."&amp;ADAPTAR(D319)&amp;YEAR(F319)&amp;"@"&amp;VLOOKUP(J319,Dominios!$A$2:$B$30,2,FALSE)</f>
        <v>perla.contreras1971@totum.com.co</v>
      </c>
      <c r="L319" s="13">
        <v>17</v>
      </c>
      <c r="M319">
        <f>VLOOKUP(L319,Celulares!$A$2:$B$30,2,FALSE)</f>
        <v>3115092369</v>
      </c>
    </row>
    <row r="320" spans="1:13" ht="15.75" customHeight="1" x14ac:dyDescent="0.25">
      <c r="A320" t="s">
        <v>1755</v>
      </c>
      <c r="B320" s="3" t="s">
        <v>31</v>
      </c>
      <c r="C320" s="3" t="s">
        <v>999</v>
      </c>
      <c r="D320" s="3" t="s">
        <v>839</v>
      </c>
      <c r="E320" s="3" t="s">
        <v>784</v>
      </c>
      <c r="F320" s="5">
        <v>36928</v>
      </c>
      <c r="G320" s="14">
        <f t="shared" ca="1" si="4"/>
        <v>20.416438356164385</v>
      </c>
      <c r="H320" s="3" t="s">
        <v>1212</v>
      </c>
      <c r="I320" t="str" cm="1">
        <f t="array" ref="I320">ADAPTAR(B320)&amp;ADAPTAR(C320)&amp;"_"&amp;ADAPTAR(E320)&amp;F320</f>
        <v>paolaelizabeht_torres36928</v>
      </c>
      <c r="J320" s="13">
        <v>18</v>
      </c>
      <c r="K320" t="str" cm="1">
        <f t="array" ref="K320">ADAPTAR(B320)&amp;"."&amp;ADAPTAR(D320)&amp;YEAR(F320)&amp;"@"&amp;VLOOKUP(J320,Dominios!$A$2:$B$30,2,FALSE)</f>
        <v>paola.parra2001@voipcolombia.co</v>
      </c>
      <c r="L320" s="13">
        <v>18</v>
      </c>
      <c r="M320">
        <f>VLOOKUP(L320,Celulares!$A$2:$B$30,2,FALSE)</f>
        <v>3115092360</v>
      </c>
    </row>
    <row r="321" spans="1:13" ht="15.75" customHeight="1" x14ac:dyDescent="0.25">
      <c r="A321" t="s">
        <v>1756</v>
      </c>
      <c r="B321" s="3" t="s">
        <v>1000</v>
      </c>
      <c r="C321" s="3" t="s">
        <v>893</v>
      </c>
      <c r="D321" s="3" t="s">
        <v>840</v>
      </c>
      <c r="E321" s="3" t="s">
        <v>767</v>
      </c>
      <c r="F321" s="5">
        <v>30881</v>
      </c>
      <c r="G321" s="14">
        <f t="shared" ca="1" si="4"/>
        <v>36.983561643835614</v>
      </c>
      <c r="H321" s="3" t="s">
        <v>1264</v>
      </c>
      <c r="I321" t="str" cm="1">
        <f t="array" ref="I321">ADAPTAR(B321)&amp;ADAPTAR(C321)&amp;"_"&amp;ADAPTAR(E321)&amp;F321</f>
        <v>paoulaesther_toro30881</v>
      </c>
      <c r="J321" s="13">
        <v>19</v>
      </c>
      <c r="K321" t="str" cm="1">
        <f t="array" ref="K321">ADAPTAR(B321)&amp;"."&amp;ADAPTAR(D321)&amp;YEAR(F321)&amp;"@"&amp;VLOOKUP(J321,Dominios!$A$2:$B$30,2,FALSE)</f>
        <v>paoula.duque1984@vpncolombia.com.co</v>
      </c>
      <c r="L321" s="13">
        <v>19</v>
      </c>
      <c r="M321">
        <f>VLOOKUP(L321,Celulares!$A$2:$B$30,2,FALSE)</f>
        <v>3115092352</v>
      </c>
    </row>
    <row r="322" spans="1:13" ht="15.75" customHeight="1" x14ac:dyDescent="0.25">
      <c r="A322" t="s">
        <v>1757</v>
      </c>
      <c r="B322" s="3" t="s">
        <v>14</v>
      </c>
      <c r="C322" s="3" t="s">
        <v>303</v>
      </c>
      <c r="D322" s="3" t="s">
        <v>841</v>
      </c>
      <c r="E322" s="3" t="s">
        <v>833</v>
      </c>
      <c r="F322" s="5">
        <v>31130</v>
      </c>
      <c r="G322" s="14">
        <f t="shared" ca="1" si="4"/>
        <v>36.301369863013697</v>
      </c>
      <c r="H322" s="3" t="s">
        <v>1201</v>
      </c>
      <c r="I322" t="str" cm="1">
        <f t="array" ref="I322">ADAPTAR(B322)&amp;ADAPTAR(C322)&amp;"_"&amp;ADAPTAR(E322)&amp;F322</f>
        <v>natalializeth_loaiza31130</v>
      </c>
      <c r="J322" s="13">
        <v>0</v>
      </c>
      <c r="K322" t="str" cm="1">
        <f t="array" ref="K322">ADAPTAR(B322)&amp;"."&amp;ADAPTAR(D322)&amp;YEAR(F322)&amp;"@"&amp;VLOOKUP(J322,Dominios!$A$2:$B$30,2,FALSE)</f>
        <v>natalia.galvis1985@auribus.com.co</v>
      </c>
      <c r="L322" s="13">
        <v>0</v>
      </c>
      <c r="M322">
        <f>VLOOKUP(L322,Celulares!$A$2:$B$30,2,FALSE)</f>
        <v>3115114930</v>
      </c>
    </row>
    <row r="323" spans="1:13" ht="15.75" customHeight="1" x14ac:dyDescent="0.25">
      <c r="A323" t="s">
        <v>1758</v>
      </c>
      <c r="B323" s="3" t="s">
        <v>1001</v>
      </c>
      <c r="C323" s="3" t="s">
        <v>17</v>
      </c>
      <c r="D323" s="3" t="s">
        <v>298</v>
      </c>
      <c r="E323" s="3" t="s">
        <v>728</v>
      </c>
      <c r="F323" s="5">
        <v>24372</v>
      </c>
      <c r="G323" s="14">
        <f t="shared" ref="G323:G386" ca="1" si="5">(TODAY()-F323)/365</f>
        <v>54.816438356164383</v>
      </c>
      <c r="H323" s="3" t="s">
        <v>1214</v>
      </c>
      <c r="I323" t="str" cm="1">
        <f t="array" ref="I323">ADAPTAR(B323)&amp;ADAPTAR(C323)&amp;"_"&amp;ADAPTAR(E323)&amp;F323</f>
        <v>tiffanyfernanda_gonzales24372</v>
      </c>
      <c r="J323" s="13">
        <v>1</v>
      </c>
      <c r="K323" t="str" cm="1">
        <f t="array" ref="K323">ADAPTAR(B323)&amp;"."&amp;ADAPTAR(D323)&amp;YEAR(F323)&amp;"@"&amp;VLOOKUP(J323,Dominios!$A$2:$B$30,2,FALSE)</f>
        <v>tiffany.jaimes1966@colamus.co</v>
      </c>
      <c r="L323" s="13">
        <v>1</v>
      </c>
      <c r="M323">
        <f>VLOOKUP(L323,Celulares!$A$2:$B$30,2,FALSE)</f>
        <v>3115114916</v>
      </c>
    </row>
    <row r="324" spans="1:13" ht="15.75" customHeight="1" x14ac:dyDescent="0.25">
      <c r="A324" t="s">
        <v>1759</v>
      </c>
      <c r="B324" s="3" t="s">
        <v>31</v>
      </c>
      <c r="C324" s="3" t="s">
        <v>33</v>
      </c>
      <c r="D324" s="3" t="s">
        <v>475</v>
      </c>
      <c r="E324" s="3" t="s">
        <v>141</v>
      </c>
      <c r="F324" s="5">
        <v>36013</v>
      </c>
      <c r="G324" s="14">
        <f t="shared" ca="1" si="5"/>
        <v>22.923287671232877</v>
      </c>
      <c r="H324" s="3" t="s">
        <v>1189</v>
      </c>
      <c r="I324" t="str" cm="1">
        <f t="array" ref="I324">ADAPTAR(B324)&amp;ADAPTAR(C324)&amp;"_"&amp;ADAPTAR(E324)&amp;F324</f>
        <v>paolamelissa_galeano36013</v>
      </c>
      <c r="J324" s="13">
        <v>2</v>
      </c>
      <c r="K324" t="str" cm="1">
        <f t="array" ref="K324">ADAPTAR(B324)&amp;"."&amp;ADAPTAR(D324)&amp;YEAR(F324)&amp;"@"&amp;VLOOKUP(J324,Dominios!$A$2:$B$30,2,FALSE)</f>
        <v>paola.caicedo1998@colombiamail.co</v>
      </c>
      <c r="L324" s="13">
        <v>2</v>
      </c>
      <c r="M324">
        <f>VLOOKUP(L324,Celulares!$A$2:$B$30,2,FALSE)</f>
        <v>3115114911</v>
      </c>
    </row>
    <row r="325" spans="1:13" ht="15.75" customHeight="1" x14ac:dyDescent="0.25">
      <c r="A325" t="s">
        <v>1760</v>
      </c>
      <c r="B325" s="3" t="s">
        <v>1002</v>
      </c>
      <c r="C325" s="3" t="s">
        <v>26</v>
      </c>
      <c r="D325" s="3" t="s">
        <v>842</v>
      </c>
      <c r="E325" s="3" t="s">
        <v>699</v>
      </c>
      <c r="F325" s="5">
        <v>27028</v>
      </c>
      <c r="G325" s="14">
        <f t="shared" ca="1" si="5"/>
        <v>47.539726027397258</v>
      </c>
      <c r="H325" s="3" t="s">
        <v>1199</v>
      </c>
      <c r="I325" t="str" cm="1">
        <f t="array" ref="I325">ADAPTAR(B325)&amp;ADAPTAR(C325)&amp;"_"&amp;ADAPTAR(E325)&amp;F325</f>
        <v>scarletadriana_murillo27028</v>
      </c>
      <c r="J325" s="13">
        <v>3</v>
      </c>
      <c r="K325" t="str" cm="1">
        <f t="array" ref="K325">ADAPTAR(B325)&amp;"."&amp;ADAPTAR(D325)&amp;YEAR(F325)&amp;"@"&amp;VLOOKUP(J325,Dominios!$A$2:$B$30,2,FALSE)</f>
        <v>scarlet.fuentes1973@diabunter.co</v>
      </c>
      <c r="L325" s="13">
        <v>3</v>
      </c>
      <c r="M325">
        <f>VLOOKUP(L325,Celulares!$A$2:$B$30,2,FALSE)</f>
        <v>3115114910</v>
      </c>
    </row>
    <row r="326" spans="1:13" ht="15.75" customHeight="1" x14ac:dyDescent="0.25">
      <c r="A326" t="s">
        <v>1761</v>
      </c>
      <c r="B326" s="3" t="s">
        <v>1003</v>
      </c>
      <c r="C326" s="3" t="s">
        <v>1004</v>
      </c>
      <c r="D326" s="3" t="s">
        <v>843</v>
      </c>
      <c r="E326" s="3" t="s">
        <v>754</v>
      </c>
      <c r="F326" s="5">
        <v>24790</v>
      </c>
      <c r="G326" s="14">
        <f t="shared" ca="1" si="5"/>
        <v>53.671232876712331</v>
      </c>
      <c r="H326" s="3" t="s">
        <v>588</v>
      </c>
      <c r="I326" t="str" cm="1">
        <f t="array" ref="I326">ADAPTAR(B326)&amp;ADAPTAR(C326)&amp;"_"&amp;ADAPTAR(E326)&amp;F326</f>
        <v>venecianohemy_soto24790</v>
      </c>
      <c r="J326" s="13">
        <v>4</v>
      </c>
      <c r="K326" t="str" cm="1">
        <f t="array" ref="K326">ADAPTAR(B326)&amp;"."&amp;ADAPTAR(D326)&amp;YEAR(F326)&amp;"@"&amp;VLOOKUP(J326,Dominios!$A$2:$B$30,2,FALSE)</f>
        <v>venecia.velasco1967@ebrietas.co</v>
      </c>
      <c r="L326" s="13">
        <v>4</v>
      </c>
      <c r="M326">
        <f>VLOOKUP(L326,Celulares!$A$2:$B$30,2,FALSE)</f>
        <v>3115114909</v>
      </c>
    </row>
    <row r="327" spans="1:13" ht="15.75" customHeight="1" x14ac:dyDescent="0.25">
      <c r="A327" t="s">
        <v>1762</v>
      </c>
      <c r="B327" s="3" t="s">
        <v>1005</v>
      </c>
      <c r="C327" s="3" t="s">
        <v>114</v>
      </c>
      <c r="D327" s="3" t="s">
        <v>61</v>
      </c>
      <c r="E327" s="3" t="s">
        <v>741</v>
      </c>
      <c r="F327" s="5">
        <v>27894</v>
      </c>
      <c r="G327" s="14">
        <f t="shared" ca="1" si="5"/>
        <v>45.167123287671231</v>
      </c>
      <c r="H327" s="3" t="s">
        <v>531</v>
      </c>
      <c r="I327" t="str" cm="1">
        <f t="array" ref="I327">ADAPTAR(B327)&amp;ADAPTAR(C327)&amp;"_"&amp;ADAPTAR(E327)&amp;F327</f>
        <v>samantajaneth_caro27894</v>
      </c>
      <c r="J327" s="13">
        <v>5</v>
      </c>
      <c r="K327" t="str" cm="1">
        <f t="array" ref="K327">ADAPTAR(B327)&amp;"."&amp;ADAPTAR(D327)&amp;YEAR(F327)&amp;"@"&amp;VLOOKUP(J327,Dominios!$A$2:$B$30,2,FALSE)</f>
        <v>samanta.ruiz1976@elsinsonte.co</v>
      </c>
      <c r="L327" s="13">
        <v>5</v>
      </c>
      <c r="M327">
        <f>VLOOKUP(L327,Celulares!$A$2:$B$30,2,FALSE)</f>
        <v>3115060130</v>
      </c>
    </row>
    <row r="328" spans="1:13" ht="15.75" customHeight="1" x14ac:dyDescent="0.25">
      <c r="A328" t="s">
        <v>1763</v>
      </c>
      <c r="B328" s="3" t="s">
        <v>143</v>
      </c>
      <c r="C328" s="3" t="s">
        <v>624</v>
      </c>
      <c r="D328" s="3" t="s">
        <v>844</v>
      </c>
      <c r="E328" s="3" t="s">
        <v>238</v>
      </c>
      <c r="F328" s="5">
        <v>24765</v>
      </c>
      <c r="G328" s="14">
        <f t="shared" ca="1" si="5"/>
        <v>53.739726027397261</v>
      </c>
      <c r="H328" s="3" t="s">
        <v>544</v>
      </c>
      <c r="I328" t="str" cm="1">
        <f t="array" ref="I328">ADAPTAR(B328)&amp;ADAPTAR(C328)&amp;"_"&amp;ADAPTAR(E328)&amp;F328</f>
        <v>luzemilia_osorio24765</v>
      </c>
      <c r="J328" s="13">
        <v>6</v>
      </c>
      <c r="K328" t="str" cm="1">
        <f t="array" ref="K328">ADAPTAR(B328)&amp;"."&amp;ADAPTAR(D328)&amp;YEAR(F328)&amp;"@"&amp;VLOOKUP(J328,Dominios!$A$2:$B$30,2,FALSE)</f>
        <v>luz.acevedo1967@enigmaserver.co</v>
      </c>
      <c r="L328" s="13">
        <v>6</v>
      </c>
      <c r="M328">
        <f>VLOOKUP(L328,Celulares!$A$2:$B$30,2,FALSE)</f>
        <v>3115060125</v>
      </c>
    </row>
    <row r="329" spans="1:13" ht="15.75" customHeight="1" x14ac:dyDescent="0.25">
      <c r="A329" t="s">
        <v>1764</v>
      </c>
      <c r="B329" s="3" t="s">
        <v>184</v>
      </c>
      <c r="C329" s="3" t="s">
        <v>893</v>
      </c>
      <c r="D329" s="3" t="s">
        <v>845</v>
      </c>
      <c r="E329" s="3" t="s">
        <v>805</v>
      </c>
      <c r="F329" s="5">
        <v>35842</v>
      </c>
      <c r="G329" s="14">
        <f t="shared" ca="1" si="5"/>
        <v>23.391780821917809</v>
      </c>
      <c r="H329" s="3" t="s">
        <v>1184</v>
      </c>
      <c r="I329" t="str" cm="1">
        <f t="array" ref="I329">ADAPTAR(B329)&amp;ADAPTAR(C329)&amp;"_"&amp;ADAPTAR(E329)&amp;F329</f>
        <v>nathaliaesther_narvaez35842</v>
      </c>
      <c r="J329" s="13">
        <v>7</v>
      </c>
      <c r="K329" t="str" cm="1">
        <f t="array" ref="K329">ADAPTAR(B329)&amp;"."&amp;ADAPTAR(D329)&amp;YEAR(F329)&amp;"@"&amp;VLOOKUP(J329,Dominios!$A$2:$B$30,2,FALSE)</f>
        <v>nathalia.zuniga1998@hocknas.co</v>
      </c>
      <c r="L329" s="13">
        <v>7</v>
      </c>
      <c r="M329">
        <f>VLOOKUP(L329,Celulares!$A$2:$B$30,2,FALSE)</f>
        <v>3115060110</v>
      </c>
    </row>
    <row r="330" spans="1:13" ht="15.75" customHeight="1" x14ac:dyDescent="0.25">
      <c r="A330" t="s">
        <v>1765</v>
      </c>
      <c r="B330" s="3" t="s">
        <v>78</v>
      </c>
      <c r="C330" s="3" t="s">
        <v>7</v>
      </c>
      <c r="D330" s="3" t="s">
        <v>846</v>
      </c>
      <c r="E330" s="3" t="s">
        <v>819</v>
      </c>
      <c r="F330" s="5">
        <v>36156</v>
      </c>
      <c r="G330" s="14">
        <f t="shared" ca="1" si="5"/>
        <v>22.531506849315068</v>
      </c>
      <c r="H330" s="3" t="s">
        <v>1233</v>
      </c>
      <c r="I330" t="str" cm="1">
        <f t="array" ref="I330">ADAPTAR(B330)&amp;ADAPTAR(C330)&amp;"_"&amp;ADAPTAR(E330)&amp;F330</f>
        <v>lilianacamila_velasquez36156</v>
      </c>
      <c r="J330" s="13">
        <v>8</v>
      </c>
      <c r="K330" t="str" cm="1">
        <f t="array" ref="K330">ADAPTAR(B330)&amp;"."&amp;ADAPTAR(D330)&amp;YEAR(F330)&amp;"@"&amp;VLOOKUP(J330,Dominios!$A$2:$B$30,2,FALSE)</f>
        <v>liliana.navarro1998@hostedoceri.co</v>
      </c>
      <c r="L330" s="13">
        <v>8</v>
      </c>
      <c r="M330">
        <f>VLOOKUP(L330,Celulares!$A$2:$B$30,2,FALSE)</f>
        <v>3115060091</v>
      </c>
    </row>
    <row r="331" spans="1:13" ht="15.75" customHeight="1" x14ac:dyDescent="0.25">
      <c r="A331" t="s">
        <v>1766</v>
      </c>
      <c r="B331" s="3" t="s">
        <v>1006</v>
      </c>
      <c r="C331" s="3" t="s">
        <v>50</v>
      </c>
      <c r="D331" s="3" t="s">
        <v>688</v>
      </c>
      <c r="E331" s="3" t="s">
        <v>695</v>
      </c>
      <c r="F331" s="5">
        <v>37402</v>
      </c>
      <c r="G331" s="14">
        <f t="shared" ca="1" si="5"/>
        <v>19.117808219178084</v>
      </c>
      <c r="H331" s="3" t="s">
        <v>1180</v>
      </c>
      <c r="I331" t="str" cm="1">
        <f t="array" ref="I331">ADAPTAR(B331)&amp;ADAPTAR(C331)&amp;"_"&amp;ADAPTAR(E331)&amp;F331</f>
        <v>juliamaria_lozano37402</v>
      </c>
      <c r="J331" s="13">
        <v>9</v>
      </c>
      <c r="K331" t="str" cm="1">
        <f t="array" ref="K331">ADAPTAR(B331)&amp;"."&amp;ADAPTAR(D331)&amp;YEAR(F331)&amp;"@"&amp;VLOOKUP(J331,Dominios!$A$2:$B$30,2,FALSE)</f>
        <v>julia.escobar2002@libertas.com.co</v>
      </c>
      <c r="L331" s="13">
        <v>9</v>
      </c>
      <c r="M331">
        <f>VLOOKUP(L331,Celulares!$A$2:$B$30,2,FALSE)</f>
        <v>3115060080</v>
      </c>
    </row>
    <row r="332" spans="1:13" ht="15.75" customHeight="1" x14ac:dyDescent="0.25">
      <c r="A332" t="s">
        <v>1767</v>
      </c>
      <c r="B332" s="3" t="s">
        <v>198</v>
      </c>
      <c r="C332" s="3" t="s">
        <v>174</v>
      </c>
      <c r="D332" s="3" t="s">
        <v>847</v>
      </c>
      <c r="E332" s="3" t="s">
        <v>768</v>
      </c>
      <c r="F332" s="5">
        <v>30914</v>
      </c>
      <c r="G332" s="14">
        <f t="shared" ca="1" si="5"/>
        <v>36.893150684931506</v>
      </c>
      <c r="H332" s="3" t="s">
        <v>1183</v>
      </c>
      <c r="I332" t="str" cm="1">
        <f t="array" ref="I332">ADAPTAR(B332)&amp;ADAPTAR(C332)&amp;"_"&amp;ADAPTAR(E332)&amp;F332</f>
        <v>sandramilena_medina30914</v>
      </c>
      <c r="J332" s="13">
        <v>10</v>
      </c>
      <c r="K332" t="str" cm="1">
        <f t="array" ref="K332">ADAPTAR(B332)&amp;"."&amp;ADAPTAR(D332)&amp;YEAR(F332)&amp;"@"&amp;VLOOKUP(J332,Dominios!$A$2:$B$30,2,FALSE)</f>
        <v>sandra.uribe1984@nascitur.com.co</v>
      </c>
      <c r="L332" s="13">
        <v>10</v>
      </c>
      <c r="M332">
        <f>VLOOKUP(L332,Celulares!$A$2:$B$30,2,FALSE)</f>
        <v>3115114385</v>
      </c>
    </row>
    <row r="333" spans="1:13" ht="15.75" customHeight="1" x14ac:dyDescent="0.25">
      <c r="A333" t="s">
        <v>1768</v>
      </c>
      <c r="B333" s="3" t="s">
        <v>50</v>
      </c>
      <c r="C333" s="3" t="s">
        <v>25</v>
      </c>
      <c r="D333" s="3" t="s">
        <v>683</v>
      </c>
      <c r="E333" s="3" t="s">
        <v>719</v>
      </c>
      <c r="F333" s="5">
        <v>34601</v>
      </c>
      <c r="G333" s="14">
        <f t="shared" ca="1" si="5"/>
        <v>26.791780821917808</v>
      </c>
      <c r="H333" s="3" t="s">
        <v>1189</v>
      </c>
      <c r="I333" t="str" cm="1">
        <f t="array" ref="I333">ADAPTAR(B333)&amp;ADAPTAR(C333)&amp;"_"&amp;ADAPTAR(E333)&amp;F333</f>
        <v>mariaisabel_suarez34601</v>
      </c>
      <c r="J333" s="13">
        <v>11</v>
      </c>
      <c r="K333" t="str" cm="1">
        <f t="array" ref="K333">ADAPTAR(B333)&amp;"."&amp;ADAPTAR(D333)&amp;YEAR(F333)&amp;"@"&amp;VLOOKUP(J333,Dominios!$A$2:$B$30,2,FALSE)</f>
        <v>maria.agudelo1994@nemesis.ml</v>
      </c>
      <c r="L333" s="13">
        <v>11</v>
      </c>
      <c r="M333">
        <f>VLOOKUP(L333,Celulares!$A$2:$B$30,2,FALSE)</f>
        <v>3115114360</v>
      </c>
    </row>
    <row r="334" spans="1:13" ht="15.75" customHeight="1" x14ac:dyDescent="0.25">
      <c r="A334" t="s">
        <v>1769</v>
      </c>
      <c r="B334" s="3" t="s">
        <v>30</v>
      </c>
      <c r="C334" s="3" t="s">
        <v>318</v>
      </c>
      <c r="D334" s="3" t="s">
        <v>848</v>
      </c>
      <c r="E334" s="3" t="s">
        <v>718</v>
      </c>
      <c r="F334" s="5">
        <v>37051</v>
      </c>
      <c r="G334" s="14">
        <f t="shared" ca="1" si="5"/>
        <v>20.079452054794519</v>
      </c>
      <c r="H334" s="3" t="s">
        <v>1237</v>
      </c>
      <c r="I334" t="str" cm="1">
        <f t="array" ref="I334">ADAPTAR(B334)&amp;ADAPTAR(C334)&amp;"_"&amp;ADAPTAR(E334)&amp;F334</f>
        <v>claudiamaritza_mercado37051</v>
      </c>
      <c r="J334" s="13">
        <v>12</v>
      </c>
      <c r="K334" t="str" cm="1">
        <f t="array" ref="K334">ADAPTAR(B334)&amp;"."&amp;ADAPTAR(D334)&amp;YEAR(F334)&amp;"@"&amp;VLOOKUP(J334,Dominios!$A$2:$B$30,2,FALSE)</f>
        <v>claudia.marquez2001@nunquam.com.co</v>
      </c>
      <c r="L334" s="13">
        <v>12</v>
      </c>
      <c r="M334">
        <f>VLOOKUP(L334,Celulares!$A$2:$B$30,2,FALSE)</f>
        <v>3115093653</v>
      </c>
    </row>
    <row r="335" spans="1:13" ht="15.75" customHeight="1" x14ac:dyDescent="0.25">
      <c r="A335" t="s">
        <v>1770</v>
      </c>
      <c r="B335" s="3" t="s">
        <v>146</v>
      </c>
      <c r="C335" s="3" t="s">
        <v>122</v>
      </c>
      <c r="D335" s="3" t="s">
        <v>238</v>
      </c>
      <c r="E335" s="3" t="s">
        <v>739</v>
      </c>
      <c r="F335" s="5">
        <v>27420</v>
      </c>
      <c r="G335" s="14">
        <f t="shared" ca="1" si="5"/>
        <v>46.465753424657535</v>
      </c>
      <c r="H335" s="3" t="s">
        <v>1218</v>
      </c>
      <c r="I335" t="str" cm="1">
        <f t="array" ref="I335">ADAPTAR(B335)&amp;ADAPTAR(C335)&amp;"_"&amp;ADAPTAR(E335)&amp;F335</f>
        <v>marcelajohanna_becerra27420</v>
      </c>
      <c r="J335" s="13">
        <v>13</v>
      </c>
      <c r="K335" t="str" cm="1">
        <f t="array" ref="K335">ADAPTAR(B335)&amp;"."&amp;ADAPTAR(D335)&amp;YEAR(F335)&amp;"@"&amp;VLOOKUP(J335,Dominios!$A$2:$B$30,2,FALSE)</f>
        <v>marcela.osorio1975@sempiternam.co</v>
      </c>
      <c r="L335" s="13">
        <v>13</v>
      </c>
      <c r="M335">
        <f>VLOOKUP(L335,Celulares!$A$2:$B$30,2,FALSE)</f>
        <v>3115093598</v>
      </c>
    </row>
    <row r="336" spans="1:13" ht="15.75" customHeight="1" x14ac:dyDescent="0.25">
      <c r="A336" t="s">
        <v>1771</v>
      </c>
      <c r="B336" s="3" t="s">
        <v>198</v>
      </c>
      <c r="C336" s="3" t="s">
        <v>1007</v>
      </c>
      <c r="D336" s="3" t="s">
        <v>849</v>
      </c>
      <c r="E336" s="3" t="s">
        <v>705</v>
      </c>
      <c r="F336" s="5">
        <v>35567</v>
      </c>
      <c r="G336" s="14">
        <f t="shared" ca="1" si="5"/>
        <v>24.145205479452056</v>
      </c>
      <c r="H336" s="3" t="s">
        <v>1237</v>
      </c>
      <c r="I336" t="str" cm="1">
        <f t="array" ref="I336">ADAPTAR(B336)&amp;ADAPTAR(C336)&amp;"_"&amp;ADAPTAR(E336)&amp;F336</f>
        <v>sandrayadira_cordoba35567</v>
      </c>
      <c r="J336" s="13">
        <v>14</v>
      </c>
      <c r="K336" t="str" cm="1">
        <f t="array" ref="K336">ADAPTAR(B336)&amp;"."&amp;ADAPTAR(D336)&amp;YEAR(F336)&amp;"@"&amp;VLOOKUP(J336,Dominios!$A$2:$B$30,2,FALSE)</f>
        <v>sandra.guerrero1997@sk9.co</v>
      </c>
      <c r="L336" s="13">
        <v>14</v>
      </c>
      <c r="M336">
        <f>VLOOKUP(L336,Celulares!$A$2:$B$30,2,FALSE)</f>
        <v>3115093583</v>
      </c>
    </row>
    <row r="337" spans="1:13" ht="15.75" customHeight="1" x14ac:dyDescent="0.25">
      <c r="A337" t="s">
        <v>1772</v>
      </c>
      <c r="B337" s="3" t="s">
        <v>140</v>
      </c>
      <c r="C337" s="3" t="s">
        <v>17</v>
      </c>
      <c r="D337" s="3" t="s">
        <v>705</v>
      </c>
      <c r="E337" s="3" t="s">
        <v>720</v>
      </c>
      <c r="F337" s="5">
        <v>31153</v>
      </c>
      <c r="G337" s="14">
        <f t="shared" ca="1" si="5"/>
        <v>36.238356164383561</v>
      </c>
      <c r="H337" s="3" t="s">
        <v>565</v>
      </c>
      <c r="I337" t="str" cm="1">
        <f t="array" ref="I337">ADAPTAR(B337)&amp;ADAPTAR(C337)&amp;"_"&amp;ADAPTAR(E337)&amp;F337</f>
        <v>luisafernanda_herrera31153</v>
      </c>
      <c r="J337" s="13">
        <v>15</v>
      </c>
      <c r="K337" t="str" cm="1">
        <f t="array" ref="K337">ADAPTAR(B337)&amp;"."&amp;ADAPTAR(D337)&amp;YEAR(F337)&amp;"@"&amp;VLOOKUP(J337,Dominios!$A$2:$B$30,2,FALSE)</f>
        <v>luisa.cordoba1985@socialmediacolombia.com.co</v>
      </c>
      <c r="L337" s="13">
        <v>15</v>
      </c>
      <c r="M337">
        <f>VLOOKUP(L337,Celulares!$A$2:$B$30,2,FALSE)</f>
        <v>3115092386</v>
      </c>
    </row>
    <row r="338" spans="1:13" ht="15.75" customHeight="1" x14ac:dyDescent="0.25">
      <c r="A338" t="s">
        <v>1773</v>
      </c>
      <c r="B338" s="3" t="s">
        <v>920</v>
      </c>
      <c r="C338" s="3" t="s">
        <v>10</v>
      </c>
      <c r="D338" s="3" t="s">
        <v>850</v>
      </c>
      <c r="E338" s="3" t="s">
        <v>725</v>
      </c>
      <c r="F338" s="5">
        <v>37562</v>
      </c>
      <c r="G338" s="14">
        <f t="shared" ca="1" si="5"/>
        <v>18.67945205479452</v>
      </c>
      <c r="H338" s="3" t="s">
        <v>1227</v>
      </c>
      <c r="I338" t="str" cm="1">
        <f t="array" ref="I338">ADAPTAR(B338)&amp;ADAPTAR(C338)&amp;"_"&amp;ADAPTAR(E338)&amp;F338</f>
        <v>emmamariana_ochoa37562</v>
      </c>
      <c r="J338" s="13">
        <v>16</v>
      </c>
      <c r="K338" t="str" cm="1">
        <f t="array" ref="K338">ADAPTAR(B338)&amp;"."&amp;ADAPTAR(D338)&amp;YEAR(F338)&amp;"@"&amp;VLOOKUP(J338,Dominios!$A$2:$B$30,2,FALSE)</f>
        <v>emma.nino2002@tecnicoensistemas.com.co</v>
      </c>
      <c r="L338" s="13">
        <v>16</v>
      </c>
      <c r="M338">
        <f>VLOOKUP(L338,Celulares!$A$2:$B$30,2,FALSE)</f>
        <v>3115092375</v>
      </c>
    </row>
    <row r="339" spans="1:13" ht="15.75" customHeight="1" x14ac:dyDescent="0.25">
      <c r="A339" t="s">
        <v>1774</v>
      </c>
      <c r="B339" s="3" t="s">
        <v>24</v>
      </c>
      <c r="C339" s="3" t="s">
        <v>174</v>
      </c>
      <c r="D339" s="3" t="s">
        <v>851</v>
      </c>
      <c r="E339" s="3" t="s">
        <v>809</v>
      </c>
      <c r="F339" s="5">
        <v>27685</v>
      </c>
      <c r="G339" s="14">
        <f t="shared" ca="1" si="5"/>
        <v>45.739726027397261</v>
      </c>
      <c r="H339" s="3" t="s">
        <v>1216</v>
      </c>
      <c r="I339" t="str" cm="1">
        <f t="array" ref="I339">ADAPTAR(B339)&amp;ADAPTAR(C339)&amp;"_"&amp;ADAPTAR(E339)&amp;F339</f>
        <v>lauramilena_ardila27685</v>
      </c>
      <c r="J339" s="13">
        <v>17</v>
      </c>
      <c r="K339" t="str" cm="1">
        <f t="array" ref="K339">ADAPTAR(B339)&amp;"."&amp;ADAPTAR(D339)&amp;YEAR(F339)&amp;"@"&amp;VLOOKUP(J339,Dominios!$A$2:$B$30,2,FALSE)</f>
        <v>laura.benitez1975@totum.com.co</v>
      </c>
      <c r="L339" s="13">
        <v>17</v>
      </c>
      <c r="M339">
        <f>VLOOKUP(L339,Celulares!$A$2:$B$30,2,FALSE)</f>
        <v>3115092369</v>
      </c>
    </row>
    <row r="340" spans="1:13" ht="15.75" customHeight="1" x14ac:dyDescent="0.25">
      <c r="A340" t="s">
        <v>1775</v>
      </c>
      <c r="B340" s="3" t="s">
        <v>1008</v>
      </c>
      <c r="C340" s="3" t="s">
        <v>123</v>
      </c>
      <c r="D340" s="3" t="s">
        <v>852</v>
      </c>
      <c r="E340" s="3" t="s">
        <v>723</v>
      </c>
      <c r="F340" s="5">
        <v>34158</v>
      </c>
      <c r="G340" s="14">
        <f t="shared" ca="1" si="5"/>
        <v>28.005479452054793</v>
      </c>
      <c r="H340" s="3" t="s">
        <v>1207</v>
      </c>
      <c r="I340" t="str" cm="1">
        <f t="array" ref="I340">ADAPTAR(B340)&amp;ADAPTAR(C340)&amp;"_"&amp;ADAPTAR(E340)&amp;F340</f>
        <v>julietaastrid_paez34158</v>
      </c>
      <c r="J340" s="13">
        <v>18</v>
      </c>
      <c r="K340" t="str" cm="1">
        <f t="array" ref="K340">ADAPTAR(B340)&amp;"."&amp;ADAPTAR(D340)&amp;YEAR(F340)&amp;"@"&amp;VLOOKUP(J340,Dominios!$A$2:$B$30,2,FALSE)</f>
        <v>julieta.hernandez1993@voipcolombia.co</v>
      </c>
      <c r="L340" s="13">
        <v>18</v>
      </c>
      <c r="M340">
        <f>VLOOKUP(L340,Celulares!$A$2:$B$30,2,FALSE)</f>
        <v>3115092360</v>
      </c>
    </row>
    <row r="341" spans="1:13" ht="15.75" customHeight="1" x14ac:dyDescent="0.25">
      <c r="A341" t="s">
        <v>1776</v>
      </c>
      <c r="B341" s="3" t="s">
        <v>1009</v>
      </c>
      <c r="C341" s="3" t="s">
        <v>50</v>
      </c>
      <c r="D341" s="3" t="s">
        <v>710</v>
      </c>
      <c r="E341" s="3" t="s">
        <v>831</v>
      </c>
      <c r="F341" s="5">
        <v>24207</v>
      </c>
      <c r="G341" s="14">
        <f t="shared" ca="1" si="5"/>
        <v>55.268493150684932</v>
      </c>
      <c r="H341" s="3" t="s">
        <v>1191</v>
      </c>
      <c r="I341" t="str" cm="1">
        <f t="array" ref="I341">ADAPTAR(B341)&amp;ADAPTAR(C341)&amp;"_"&amp;ADAPTAR(E341)&amp;F341</f>
        <v>lindamaria_arrieta24207</v>
      </c>
      <c r="J341" s="13">
        <v>19</v>
      </c>
      <c r="K341" t="str" cm="1">
        <f t="array" ref="K341">ADAPTAR(B341)&amp;"."&amp;ADAPTAR(D341)&amp;YEAR(F341)&amp;"@"&amp;VLOOKUP(J341,Dominios!$A$2:$B$30,2,FALSE)</f>
        <v>linda.franco1966@vpncolombia.com.co</v>
      </c>
      <c r="L341" s="13">
        <v>19</v>
      </c>
      <c r="M341">
        <f>VLOOKUP(L341,Celulares!$A$2:$B$30,2,FALSE)</f>
        <v>3115092352</v>
      </c>
    </row>
    <row r="342" spans="1:13" ht="15.75" customHeight="1" x14ac:dyDescent="0.25">
      <c r="A342" t="s">
        <v>1777</v>
      </c>
      <c r="B342" s="3" t="s">
        <v>1010</v>
      </c>
      <c r="C342" s="3" t="s">
        <v>146</v>
      </c>
      <c r="D342" s="3" t="s">
        <v>39</v>
      </c>
      <c r="E342" s="3" t="s">
        <v>723</v>
      </c>
      <c r="F342" s="5">
        <v>28756</v>
      </c>
      <c r="G342" s="14">
        <f t="shared" ca="1" si="5"/>
        <v>42.805479452054797</v>
      </c>
      <c r="H342" s="3" t="s">
        <v>606</v>
      </c>
      <c r="I342" t="str" cm="1">
        <f t="array" ref="I342">ADAPTAR(B342)&amp;ADAPTAR(C342)&amp;"_"&amp;ADAPTAR(E342)&amp;F342</f>
        <v>gladysmarcela_paez28756</v>
      </c>
      <c r="J342" s="13">
        <v>0</v>
      </c>
      <c r="K342" t="str" cm="1">
        <f t="array" ref="K342">ADAPTAR(B342)&amp;"."&amp;ADAPTAR(D342)&amp;YEAR(F342)&amp;"@"&amp;VLOOKUP(J342,Dominios!$A$2:$B$30,2,FALSE)</f>
        <v>gladys.rincon1978@auribus.com.co</v>
      </c>
      <c r="L342" s="13">
        <v>0</v>
      </c>
      <c r="M342">
        <f>VLOOKUP(L342,Celulares!$A$2:$B$30,2,FALSE)</f>
        <v>3115114930</v>
      </c>
    </row>
    <row r="343" spans="1:13" ht="15.75" customHeight="1" x14ac:dyDescent="0.25">
      <c r="A343" t="s">
        <v>1778</v>
      </c>
      <c r="B343" s="3" t="s">
        <v>1011</v>
      </c>
      <c r="C343" s="3" t="s">
        <v>13</v>
      </c>
      <c r="D343" s="3" t="s">
        <v>85</v>
      </c>
      <c r="E343" s="3" t="s">
        <v>724</v>
      </c>
      <c r="F343" s="5">
        <v>35829</v>
      </c>
      <c r="G343" s="14">
        <f t="shared" ca="1" si="5"/>
        <v>23.427397260273974</v>
      </c>
      <c r="H343" s="3" t="s">
        <v>1260</v>
      </c>
      <c r="I343" t="str" cm="1">
        <f t="array" ref="I343">ADAPTAR(B343)&amp;ADAPTAR(C343)&amp;"_"&amp;ADAPTAR(E343)&amp;F343</f>
        <v>salomeandrea_solano35829</v>
      </c>
      <c r="J343" s="13">
        <v>1</v>
      </c>
      <c r="K343" t="str" cm="1">
        <f t="array" ref="K343">ADAPTAR(B343)&amp;"."&amp;ADAPTAR(D343)&amp;YEAR(F343)&amp;"@"&amp;VLOOKUP(J343,Dominios!$A$2:$B$30,2,FALSE)</f>
        <v>salome.castilla1998@colamus.co</v>
      </c>
      <c r="L343" s="13">
        <v>1</v>
      </c>
      <c r="M343">
        <f>VLOOKUP(L343,Celulares!$A$2:$B$30,2,FALSE)</f>
        <v>3115114916</v>
      </c>
    </row>
    <row r="344" spans="1:13" ht="15.75" customHeight="1" x14ac:dyDescent="0.25">
      <c r="A344" t="s">
        <v>1779</v>
      </c>
      <c r="B344" s="3" t="s">
        <v>939</v>
      </c>
      <c r="C344" s="3" t="s">
        <v>114</v>
      </c>
      <c r="D344" s="3" t="s">
        <v>220</v>
      </c>
      <c r="E344" s="3" t="s">
        <v>42</v>
      </c>
      <c r="F344" s="5">
        <v>31603</v>
      </c>
      <c r="G344" s="14">
        <f t="shared" ca="1" si="5"/>
        <v>35.005479452054793</v>
      </c>
      <c r="H344" s="3" t="s">
        <v>1219</v>
      </c>
      <c r="I344" t="str" cm="1">
        <f t="array" ref="I344">ADAPTAR(B344)&amp;ADAPTAR(C344)&amp;"_"&amp;ADAPTAR(E344)&amp;F344</f>
        <v>linajaneth_buitrago31603</v>
      </c>
      <c r="J344" s="13">
        <v>2</v>
      </c>
      <c r="K344" t="str" cm="1">
        <f t="array" ref="K344">ADAPTAR(B344)&amp;"."&amp;ADAPTAR(D344)&amp;YEAR(F344)&amp;"@"&amp;VLOOKUP(J344,Dominios!$A$2:$B$30,2,FALSE)</f>
        <v>lina.castaneda1986@colombiamail.co</v>
      </c>
      <c r="L344" s="13">
        <v>2</v>
      </c>
      <c r="M344">
        <f>VLOOKUP(L344,Celulares!$A$2:$B$30,2,FALSE)</f>
        <v>3115114911</v>
      </c>
    </row>
    <row r="345" spans="1:13" ht="15.75" customHeight="1" x14ac:dyDescent="0.25">
      <c r="A345" t="s">
        <v>1780</v>
      </c>
      <c r="B345" s="3" t="s">
        <v>120</v>
      </c>
      <c r="C345" s="3" t="s">
        <v>622</v>
      </c>
      <c r="D345" s="3" t="s">
        <v>164</v>
      </c>
      <c r="E345" s="3" t="s">
        <v>698</v>
      </c>
      <c r="F345" s="5">
        <v>29384</v>
      </c>
      <c r="G345" s="14">
        <f t="shared" ca="1" si="5"/>
        <v>41.084931506849315</v>
      </c>
      <c r="H345" s="3" t="s">
        <v>1167</v>
      </c>
      <c r="I345" t="str" cm="1">
        <f t="array" ref="I345">ADAPTAR(B345)&amp;ADAPTAR(C345)&amp;"_"&amp;ADAPTAR(E345)&amp;F345</f>
        <v>jennysusana_calderon29384</v>
      </c>
      <c r="J345" s="13">
        <v>3</v>
      </c>
      <c r="K345" t="str" cm="1">
        <f t="array" ref="K345">ADAPTAR(B345)&amp;"."&amp;ADAPTAR(D345)&amp;YEAR(F345)&amp;"@"&amp;VLOOKUP(J345,Dominios!$A$2:$B$30,2,FALSE)</f>
        <v>jenny.ramos1980@diabunter.co</v>
      </c>
      <c r="L345" s="13">
        <v>3</v>
      </c>
      <c r="M345">
        <f>VLOOKUP(L345,Celulares!$A$2:$B$30,2,FALSE)</f>
        <v>3115114910</v>
      </c>
    </row>
    <row r="346" spans="1:13" ht="15.75" customHeight="1" x14ac:dyDescent="0.25">
      <c r="A346" t="s">
        <v>1781</v>
      </c>
      <c r="B346" s="3" t="s">
        <v>50</v>
      </c>
      <c r="C346" s="3" t="s">
        <v>483</v>
      </c>
      <c r="D346" s="3" t="s">
        <v>87</v>
      </c>
      <c r="E346" s="3" t="s">
        <v>751</v>
      </c>
      <c r="F346" s="5">
        <v>29008</v>
      </c>
      <c r="G346" s="14">
        <f t="shared" ca="1" si="5"/>
        <v>42.115068493150687</v>
      </c>
      <c r="H346" s="3" t="s">
        <v>575</v>
      </c>
      <c r="I346" t="str" cm="1">
        <f t="array" ref="I346">ADAPTAR(B346)&amp;ADAPTAR(C346)&amp;"_"&amp;ADAPTAR(E346)&amp;F346</f>
        <v>mariajose_figueroa29008</v>
      </c>
      <c r="J346" s="13">
        <v>4</v>
      </c>
      <c r="K346" t="str" cm="1">
        <f t="array" ref="K346">ADAPTAR(B346)&amp;"."&amp;ADAPTAR(D346)&amp;YEAR(F346)&amp;"@"&amp;VLOOKUP(J346,Dominios!$A$2:$B$30,2,FALSE)</f>
        <v>maria.bolanos1979@ebrietas.co</v>
      </c>
      <c r="L346" s="13">
        <v>4</v>
      </c>
      <c r="M346">
        <f>VLOOKUP(L346,Celulares!$A$2:$B$30,2,FALSE)</f>
        <v>3115114909</v>
      </c>
    </row>
    <row r="347" spans="1:13" ht="15.75" customHeight="1" x14ac:dyDescent="0.25">
      <c r="A347" t="s">
        <v>1782</v>
      </c>
      <c r="B347" s="3" t="s">
        <v>1012</v>
      </c>
      <c r="C347" s="3" t="s">
        <v>134</v>
      </c>
      <c r="D347" s="3" t="s">
        <v>106</v>
      </c>
      <c r="E347" s="3" t="s">
        <v>731</v>
      </c>
      <c r="F347" s="5">
        <v>26795</v>
      </c>
      <c r="G347" s="14">
        <f t="shared" ca="1" si="5"/>
        <v>48.178082191780824</v>
      </c>
      <c r="H347" s="3" t="s">
        <v>1182</v>
      </c>
      <c r="I347" t="str" cm="1">
        <f t="array" ref="I347">ADAPTAR(B347)&amp;ADAPTAR(C347)&amp;"_"&amp;ADAPTAR(E347)&amp;F347</f>
        <v>jimenalorena_meza26795</v>
      </c>
      <c r="J347" s="13">
        <v>5</v>
      </c>
      <c r="K347" t="str" cm="1">
        <f t="array" ref="K347">ADAPTAR(B347)&amp;"."&amp;ADAPTAR(D347)&amp;YEAR(F347)&amp;"@"&amp;VLOOKUP(J347,Dominios!$A$2:$B$30,2,FALSE)</f>
        <v>jimena.plazas1973@elsinsonte.co</v>
      </c>
      <c r="L347" s="13">
        <v>5</v>
      </c>
      <c r="M347">
        <f>VLOOKUP(L347,Celulares!$A$2:$B$30,2,FALSE)</f>
        <v>3115060130</v>
      </c>
    </row>
    <row r="348" spans="1:13" ht="15.75" customHeight="1" x14ac:dyDescent="0.25">
      <c r="A348" t="s">
        <v>1783</v>
      </c>
      <c r="B348" s="3" t="s">
        <v>24</v>
      </c>
      <c r="C348" s="3" t="s">
        <v>967</v>
      </c>
      <c r="D348" s="3" t="s">
        <v>136</v>
      </c>
      <c r="E348" s="3" t="s">
        <v>788</v>
      </c>
      <c r="F348" s="5">
        <v>25744</v>
      </c>
      <c r="G348" s="14">
        <f t="shared" ca="1" si="5"/>
        <v>51.057534246575344</v>
      </c>
      <c r="H348" s="3" t="s">
        <v>1221</v>
      </c>
      <c r="I348" t="str" cm="1">
        <f t="array" ref="I348">ADAPTAR(B348)&amp;ADAPTAR(C348)&amp;"_"&amp;ADAPTAR(E348)&amp;F348</f>
        <v>lauravaleria_ordonez25744</v>
      </c>
      <c r="J348" s="13">
        <v>6</v>
      </c>
      <c r="K348" t="str" cm="1">
        <f t="array" ref="K348">ADAPTAR(B348)&amp;"."&amp;ADAPTAR(D348)&amp;YEAR(F348)&amp;"@"&amp;VLOOKUP(J348,Dominios!$A$2:$B$30,2,FALSE)</f>
        <v>laura.baron1970@enigmaserver.co</v>
      </c>
      <c r="L348" s="13">
        <v>6</v>
      </c>
      <c r="M348">
        <f>VLOOKUP(L348,Celulares!$A$2:$B$30,2,FALSE)</f>
        <v>3115060125</v>
      </c>
    </row>
    <row r="349" spans="1:13" ht="15.75" customHeight="1" x14ac:dyDescent="0.25">
      <c r="A349" t="s">
        <v>1784</v>
      </c>
      <c r="B349" s="3" t="s">
        <v>20</v>
      </c>
      <c r="C349" s="3" t="s">
        <v>8</v>
      </c>
      <c r="D349" s="3" t="s">
        <v>89</v>
      </c>
      <c r="E349" s="3" t="s">
        <v>816</v>
      </c>
      <c r="F349" s="5">
        <v>32300</v>
      </c>
      <c r="G349" s="14">
        <f t="shared" ca="1" si="5"/>
        <v>33.095890410958901</v>
      </c>
      <c r="H349" s="3" t="s">
        <v>1176</v>
      </c>
      <c r="I349" t="str" cm="1">
        <f t="array" ref="I349">ADAPTAR(B349)&amp;ADAPTAR(C349)&amp;"_"&amp;ADAPTAR(E349)&amp;F349</f>
        <v>anavalentina_camargo32300</v>
      </c>
      <c r="J349" s="13">
        <v>7</v>
      </c>
      <c r="K349" t="str" cm="1">
        <f t="array" ref="K349">ADAPTAR(B349)&amp;"."&amp;ADAPTAR(D349)&amp;YEAR(F349)&amp;"@"&amp;VLOOKUP(J349,Dominios!$A$2:$B$30,2,FALSE)</f>
        <v>ana.gomez1988@hocknas.co</v>
      </c>
      <c r="L349" s="13">
        <v>7</v>
      </c>
      <c r="M349">
        <f>VLOOKUP(L349,Celulares!$A$2:$B$30,2,FALSE)</f>
        <v>3115060110</v>
      </c>
    </row>
    <row r="350" spans="1:13" ht="15.75" customHeight="1" x14ac:dyDescent="0.25">
      <c r="A350" t="s">
        <v>1785</v>
      </c>
      <c r="B350" s="3" t="s">
        <v>324</v>
      </c>
      <c r="C350" s="3" t="s">
        <v>631</v>
      </c>
      <c r="D350" s="3" t="s">
        <v>188</v>
      </c>
      <c r="E350" s="3" t="s">
        <v>243</v>
      </c>
      <c r="F350" s="5">
        <v>25943</v>
      </c>
      <c r="G350" s="14">
        <f t="shared" ca="1" si="5"/>
        <v>50.512328767123286</v>
      </c>
      <c r="H350" s="3" t="s">
        <v>1180</v>
      </c>
      <c r="I350" t="str" cm="1">
        <f t="array" ref="I350">ADAPTAR(B350)&amp;ADAPTAR(C350)&amp;"_"&amp;ADAPTAR(E350)&amp;F350</f>
        <v>sararaquel_cortes25943</v>
      </c>
      <c r="J350" s="13">
        <v>8</v>
      </c>
      <c r="K350" t="str" cm="1">
        <f t="array" ref="K350">ADAPTAR(B350)&amp;"."&amp;ADAPTAR(D350)&amp;YEAR(F350)&amp;"@"&amp;VLOOKUP(J350,Dominios!$A$2:$B$30,2,FALSE)</f>
        <v>sara.toro1971@hostedoceri.co</v>
      </c>
      <c r="L350" s="13">
        <v>8</v>
      </c>
      <c r="M350">
        <f>VLOOKUP(L350,Celulares!$A$2:$B$30,2,FALSE)</f>
        <v>3115060091</v>
      </c>
    </row>
    <row r="351" spans="1:13" ht="15.75" customHeight="1" x14ac:dyDescent="0.25">
      <c r="A351" t="s">
        <v>1786</v>
      </c>
      <c r="B351" s="3" t="s">
        <v>105</v>
      </c>
      <c r="C351" s="3" t="s">
        <v>204</v>
      </c>
      <c r="D351" s="3" t="s">
        <v>119</v>
      </c>
      <c r="E351" s="3" t="s">
        <v>767</v>
      </c>
      <c r="F351" s="5">
        <v>36724</v>
      </c>
      <c r="G351" s="14">
        <f t="shared" ca="1" si="5"/>
        <v>20.975342465753425</v>
      </c>
      <c r="H351" s="3" t="s">
        <v>1173</v>
      </c>
      <c r="I351" t="str" cm="1">
        <f t="array" ref="I351">ADAPTAR(B351)&amp;ADAPTAR(C351)&amp;"_"&amp;ADAPTAR(E351)&amp;F351</f>
        <v>ginnatatiana_toro36724</v>
      </c>
      <c r="J351" s="13">
        <v>9</v>
      </c>
      <c r="K351" t="str" cm="1">
        <f t="array" ref="K351">ADAPTAR(B351)&amp;"."&amp;ADAPTAR(D351)&amp;YEAR(F351)&amp;"@"&amp;VLOOKUP(J351,Dominios!$A$2:$B$30,2,FALSE)</f>
        <v>ginna.barragan2000@libertas.com.co</v>
      </c>
      <c r="L351" s="13">
        <v>9</v>
      </c>
      <c r="M351">
        <f>VLOOKUP(L351,Celulares!$A$2:$B$30,2,FALSE)</f>
        <v>3115060080</v>
      </c>
    </row>
    <row r="352" spans="1:13" ht="15.75" customHeight="1" x14ac:dyDescent="0.25">
      <c r="A352" t="s">
        <v>1787</v>
      </c>
      <c r="B352" s="3" t="s">
        <v>50</v>
      </c>
      <c r="C352" s="3" t="s">
        <v>483</v>
      </c>
      <c r="D352" s="3" t="s">
        <v>46</v>
      </c>
      <c r="E352" s="3" t="s">
        <v>695</v>
      </c>
      <c r="F352" s="5">
        <v>27344</v>
      </c>
      <c r="G352" s="14">
        <f t="shared" ca="1" si="5"/>
        <v>46.673972602739724</v>
      </c>
      <c r="H352" s="3" t="s">
        <v>1242</v>
      </c>
      <c r="I352" t="str" cm="1">
        <f t="array" ref="I352">ADAPTAR(B352)&amp;ADAPTAR(C352)&amp;"_"&amp;ADAPTAR(E352)&amp;F352</f>
        <v>mariajose_lozano27344</v>
      </c>
      <c r="J352" s="13">
        <v>10</v>
      </c>
      <c r="K352" t="str" cm="1">
        <f t="array" ref="K352">ADAPTAR(B352)&amp;"."&amp;ADAPTAR(D352)&amp;YEAR(F352)&amp;"@"&amp;VLOOKUP(J352,Dominios!$A$2:$B$30,2,FALSE)</f>
        <v>maria.rueda1974@nascitur.com.co</v>
      </c>
      <c r="L352" s="13">
        <v>10</v>
      </c>
      <c r="M352">
        <f>VLOOKUP(L352,Celulares!$A$2:$B$30,2,FALSE)</f>
        <v>3115114385</v>
      </c>
    </row>
    <row r="353" spans="1:13" ht="15.75" customHeight="1" x14ac:dyDescent="0.25">
      <c r="A353" t="s">
        <v>1788</v>
      </c>
      <c r="B353" s="3" t="s">
        <v>20</v>
      </c>
      <c r="C353" s="3" t="s">
        <v>306</v>
      </c>
      <c r="D353" s="3" t="s">
        <v>210</v>
      </c>
      <c r="E353" s="3" t="s">
        <v>733</v>
      </c>
      <c r="F353" s="5">
        <v>30577</v>
      </c>
      <c r="G353" s="14">
        <f t="shared" ca="1" si="5"/>
        <v>37.816438356164383</v>
      </c>
      <c r="H353" s="3" t="s">
        <v>1249</v>
      </c>
      <c r="I353" t="str" cm="1">
        <f t="array" ref="I353">ADAPTAR(B353)&amp;ADAPTAR(C353)&amp;"_"&amp;ADAPTAR(E353)&amp;F353</f>
        <v>anasofia_meneses30577</v>
      </c>
      <c r="J353" s="13">
        <v>11</v>
      </c>
      <c r="K353" t="str" cm="1">
        <f t="array" ref="K353">ADAPTAR(B353)&amp;"."&amp;ADAPTAR(D353)&amp;YEAR(F353)&amp;"@"&amp;VLOOKUP(J353,Dominios!$A$2:$B$30,2,FALSE)</f>
        <v>ana.gamez1983@nemesis.ml</v>
      </c>
      <c r="L353" s="13">
        <v>11</v>
      </c>
      <c r="M353">
        <f>VLOOKUP(L353,Celulares!$A$2:$B$30,2,FALSE)</f>
        <v>3115114360</v>
      </c>
    </row>
    <row r="354" spans="1:13" ht="15.75" customHeight="1" x14ac:dyDescent="0.25">
      <c r="A354" t="s">
        <v>1789</v>
      </c>
      <c r="B354" s="3" t="s">
        <v>50</v>
      </c>
      <c r="C354" s="3" t="s">
        <v>17</v>
      </c>
      <c r="D354" s="3" t="s">
        <v>124</v>
      </c>
      <c r="E354" s="3" t="s">
        <v>244</v>
      </c>
      <c r="F354" s="5">
        <v>33555</v>
      </c>
      <c r="G354" s="14">
        <f t="shared" ca="1" si="5"/>
        <v>29.657534246575342</v>
      </c>
      <c r="H354" s="3" t="s">
        <v>1199</v>
      </c>
      <c r="I354" t="str" cm="1">
        <f t="array" ref="I354">ADAPTAR(B354)&amp;ADAPTAR(C354)&amp;"_"&amp;ADAPTAR(E354)&amp;F354</f>
        <v>mariafernanda_correa33555</v>
      </c>
      <c r="J354" s="13">
        <v>12</v>
      </c>
      <c r="K354" t="str" cm="1">
        <f t="array" ref="K354">ADAPTAR(B354)&amp;"."&amp;ADAPTAR(D354)&amp;YEAR(F354)&amp;"@"&amp;VLOOKUP(J354,Dominios!$A$2:$B$30,2,FALSE)</f>
        <v>maria.orjuela1991@nunquam.com.co</v>
      </c>
      <c r="L354" s="13">
        <v>12</v>
      </c>
      <c r="M354">
        <f>VLOOKUP(L354,Celulares!$A$2:$B$30,2,FALSE)</f>
        <v>3115093653</v>
      </c>
    </row>
    <row r="355" spans="1:13" ht="15.75" customHeight="1" x14ac:dyDescent="0.25">
      <c r="A355" t="s">
        <v>1790</v>
      </c>
      <c r="B355" s="3" t="s">
        <v>19</v>
      </c>
      <c r="C355" s="3" t="s">
        <v>50</v>
      </c>
      <c r="D355" s="3" t="s">
        <v>59</v>
      </c>
      <c r="E355" s="3" t="s">
        <v>763</v>
      </c>
      <c r="F355" s="5">
        <v>25082</v>
      </c>
      <c r="G355" s="14">
        <f t="shared" ca="1" si="5"/>
        <v>52.871232876712327</v>
      </c>
      <c r="H355" s="3" t="s">
        <v>1180</v>
      </c>
      <c r="I355" t="str" cm="1">
        <f t="array" ref="I355">ADAPTAR(B355)&amp;ADAPTAR(C355)&amp;"_"&amp;ADAPTAR(E355)&amp;F355</f>
        <v>paulamaria_munoz25082</v>
      </c>
      <c r="J355" s="13">
        <v>13</v>
      </c>
      <c r="K355" t="str" cm="1">
        <f t="array" ref="K355">ADAPTAR(B355)&amp;"."&amp;ADAPTAR(D355)&amp;YEAR(F355)&amp;"@"&amp;VLOOKUP(J355,Dominios!$A$2:$B$30,2,FALSE)</f>
        <v>paula.quinones1968@sempiternam.co</v>
      </c>
      <c r="L355" s="13">
        <v>13</v>
      </c>
      <c r="M355">
        <f>VLOOKUP(L355,Celulares!$A$2:$B$30,2,FALSE)</f>
        <v>3115093598</v>
      </c>
    </row>
    <row r="356" spans="1:13" ht="15.75" customHeight="1" x14ac:dyDescent="0.25">
      <c r="A356" t="s">
        <v>1791</v>
      </c>
      <c r="B356" s="3" t="s">
        <v>50</v>
      </c>
      <c r="C356" s="3" t="s">
        <v>482</v>
      </c>
      <c r="D356" s="3" t="s">
        <v>223</v>
      </c>
      <c r="E356" s="3" t="s">
        <v>820</v>
      </c>
      <c r="F356" s="5">
        <v>29053</v>
      </c>
      <c r="G356" s="14">
        <f t="shared" ca="1" si="5"/>
        <v>41.991780821917807</v>
      </c>
      <c r="H356" s="3" t="s">
        <v>1232</v>
      </c>
      <c r="I356" t="str" cm="1">
        <f t="array" ref="I356">ADAPTAR(B356)&amp;ADAPTAR(C356)&amp;"_"&amp;ADAPTAR(E356)&amp;F356</f>
        <v>mariaantonia_duarte29053</v>
      </c>
      <c r="J356" s="13">
        <v>14</v>
      </c>
      <c r="K356" t="str" cm="1">
        <f t="array" ref="K356">ADAPTAR(B356)&amp;"."&amp;ADAPTAR(D356)&amp;YEAR(F356)&amp;"@"&amp;VLOOKUP(J356,Dominios!$A$2:$B$30,2,FALSE)</f>
        <v>maria.torres1979@sk9.co</v>
      </c>
      <c r="L356" s="13">
        <v>14</v>
      </c>
      <c r="M356">
        <f>VLOOKUP(L356,Celulares!$A$2:$B$30,2,FALSE)</f>
        <v>3115093583</v>
      </c>
    </row>
    <row r="357" spans="1:13" ht="15.75" customHeight="1" x14ac:dyDescent="0.25">
      <c r="A357" t="s">
        <v>1792</v>
      </c>
      <c r="B357" s="3" t="s">
        <v>962</v>
      </c>
      <c r="C357" s="3" t="s">
        <v>306</v>
      </c>
      <c r="D357" s="3" t="s">
        <v>314</v>
      </c>
      <c r="E357" s="3" t="s">
        <v>42</v>
      </c>
      <c r="F357" s="5">
        <v>35006</v>
      </c>
      <c r="G357" s="14">
        <f t="shared" ca="1" si="5"/>
        <v>25.682191780821917</v>
      </c>
      <c r="H357" s="3" t="s">
        <v>1262</v>
      </c>
      <c r="I357" t="str" cm="1">
        <f t="array" ref="I357">ADAPTAR(B357)&amp;ADAPTAR(C357)&amp;"_"&amp;ADAPTAR(E357)&amp;F357</f>
        <v>dannasofia_buitrago35006</v>
      </c>
      <c r="J357" s="13">
        <v>15</v>
      </c>
      <c r="K357" t="str" cm="1">
        <f t="array" ref="K357">ADAPTAR(B357)&amp;"."&amp;ADAPTAR(D357)&amp;YEAR(F357)&amp;"@"&amp;VLOOKUP(J357,Dominios!$A$2:$B$30,2,FALSE)</f>
        <v>danna.cobos1995@socialmediacolombia.com.co</v>
      </c>
      <c r="L357" s="13">
        <v>15</v>
      </c>
      <c r="M357">
        <f>VLOOKUP(L357,Celulares!$A$2:$B$30,2,FALSE)</f>
        <v>3115092386</v>
      </c>
    </row>
    <row r="358" spans="1:13" ht="15.75" customHeight="1" x14ac:dyDescent="0.25">
      <c r="A358" t="s">
        <v>1793</v>
      </c>
      <c r="B358" s="3" t="s">
        <v>165</v>
      </c>
      <c r="C358" s="3" t="s">
        <v>1013</v>
      </c>
      <c r="D358" s="3" t="s">
        <v>48</v>
      </c>
      <c r="E358" s="3" t="s">
        <v>693</v>
      </c>
      <c r="F358" s="5">
        <v>24603</v>
      </c>
      <c r="G358" s="14">
        <f t="shared" ca="1" si="5"/>
        <v>54.183561643835617</v>
      </c>
      <c r="H358" s="3" t="s">
        <v>1179</v>
      </c>
      <c r="I358" t="str" cm="1">
        <f t="array" ref="I358">ADAPTAR(B358)&amp;ADAPTAR(C358)&amp;"_"&amp;ADAPTAR(E358)&amp;F358</f>
        <v>marthairene_delgado24603</v>
      </c>
      <c r="J358" s="13">
        <v>16</v>
      </c>
      <c r="K358" t="str" cm="1">
        <f t="array" ref="K358">ADAPTAR(B358)&amp;"."&amp;ADAPTAR(D358)&amp;YEAR(F358)&amp;"@"&amp;VLOOKUP(J358,Dominios!$A$2:$B$30,2,FALSE)</f>
        <v>martha.perez1967@tecnicoensistemas.com.co</v>
      </c>
      <c r="L358" s="13">
        <v>16</v>
      </c>
      <c r="M358">
        <f>VLOOKUP(L358,Celulares!$A$2:$B$30,2,FALSE)</f>
        <v>3115092375</v>
      </c>
    </row>
    <row r="359" spans="1:13" ht="15.75" customHeight="1" x14ac:dyDescent="0.25">
      <c r="A359" t="s">
        <v>1794</v>
      </c>
      <c r="B359" s="3" t="s">
        <v>137</v>
      </c>
      <c r="C359" s="3" t="s">
        <v>149</v>
      </c>
      <c r="D359" s="3" t="s">
        <v>182</v>
      </c>
      <c r="E359" s="3" t="s">
        <v>732</v>
      </c>
      <c r="F359" s="5">
        <v>30025</v>
      </c>
      <c r="G359" s="14">
        <f t="shared" ca="1" si="5"/>
        <v>39.328767123287669</v>
      </c>
      <c r="H359" s="3" t="s">
        <v>552</v>
      </c>
      <c r="I359" t="str" cm="1">
        <f t="array" ref="I359">ADAPTAR(B359)&amp;ADAPTAR(C359)&amp;"_"&amp;ADAPTAR(E359)&amp;F359</f>
        <v>lucyalicia_pinzon30025</v>
      </c>
      <c r="J359" s="13">
        <v>17</v>
      </c>
      <c r="K359" t="str" cm="1">
        <f t="array" ref="K359">ADAPTAR(B359)&amp;"."&amp;ADAPTAR(D359)&amp;YEAR(F359)&amp;"@"&amp;VLOOKUP(J359,Dominios!$A$2:$B$30,2,FALSE)</f>
        <v>lucy.villalba1982@totum.com.co</v>
      </c>
      <c r="L359" s="13">
        <v>17</v>
      </c>
      <c r="M359">
        <f>VLOOKUP(L359,Celulares!$A$2:$B$30,2,FALSE)</f>
        <v>3115092369</v>
      </c>
    </row>
    <row r="360" spans="1:13" ht="15.75" customHeight="1" x14ac:dyDescent="0.25">
      <c r="A360" t="s">
        <v>1795</v>
      </c>
      <c r="B360" s="3" t="s">
        <v>143</v>
      </c>
      <c r="C360" s="3" t="s">
        <v>1014</v>
      </c>
      <c r="D360" s="3" t="s">
        <v>272</v>
      </c>
      <c r="E360" s="3" t="s">
        <v>772</v>
      </c>
      <c r="F360" s="5">
        <v>28061</v>
      </c>
      <c r="G360" s="14">
        <f t="shared" ca="1" si="5"/>
        <v>44.709589041095889</v>
      </c>
      <c r="H360" s="3" t="s">
        <v>1229</v>
      </c>
      <c r="I360" t="str" cm="1">
        <f t="array" ref="I360">ADAPTAR(B360)&amp;ADAPTAR(C360)&amp;"_"&amp;ADAPTAR(E360)&amp;F360</f>
        <v>luzadelaida_morales28061</v>
      </c>
      <c r="J360" s="13">
        <v>18</v>
      </c>
      <c r="K360" t="str" cm="1">
        <f t="array" ref="K360">ADAPTAR(B360)&amp;"."&amp;ADAPTAR(D360)&amp;YEAR(F360)&amp;"@"&amp;VLOOKUP(J360,Dominios!$A$2:$B$30,2,FALSE)</f>
        <v>luz.paez1976@voipcolombia.co</v>
      </c>
      <c r="L360" s="13">
        <v>18</v>
      </c>
      <c r="M360">
        <f>VLOOKUP(L360,Celulares!$A$2:$B$30,2,FALSE)</f>
        <v>3115092360</v>
      </c>
    </row>
    <row r="361" spans="1:13" ht="15.75" customHeight="1" x14ac:dyDescent="0.25">
      <c r="A361" t="s">
        <v>1796</v>
      </c>
      <c r="B361" s="3" t="s">
        <v>1015</v>
      </c>
      <c r="C361" s="3" t="s">
        <v>1005</v>
      </c>
      <c r="D361" s="3" t="s">
        <v>92</v>
      </c>
      <c r="E361" s="3" t="s">
        <v>737</v>
      </c>
      <c r="F361" s="5">
        <v>24929</v>
      </c>
      <c r="G361" s="14">
        <f t="shared" ca="1" si="5"/>
        <v>53.290410958904111</v>
      </c>
      <c r="H361" s="3" t="s">
        <v>1236</v>
      </c>
      <c r="I361" t="str" cm="1">
        <f t="array" ref="I361">ADAPTAR(B361)&amp;ADAPTAR(C361)&amp;"_"&amp;ADAPTAR(E361)&amp;F361</f>
        <v>scarlettsamanta_campo24929</v>
      </c>
      <c r="J361" s="13">
        <v>19</v>
      </c>
      <c r="K361" t="str" cm="1">
        <f t="array" ref="K361">ADAPTAR(B361)&amp;"."&amp;ADAPTAR(D361)&amp;YEAR(F361)&amp;"@"&amp;VLOOKUP(J361,Dominios!$A$2:$B$30,2,FALSE)</f>
        <v>scarlett.felix1968@vpncolombia.com.co</v>
      </c>
      <c r="L361" s="13">
        <v>19</v>
      </c>
      <c r="M361">
        <f>VLOOKUP(L361,Celulares!$A$2:$B$30,2,FALSE)</f>
        <v>3115092352</v>
      </c>
    </row>
    <row r="362" spans="1:13" ht="15.75" customHeight="1" x14ac:dyDescent="0.25">
      <c r="A362" t="s">
        <v>1797</v>
      </c>
      <c r="B362" s="3" t="s">
        <v>1016</v>
      </c>
      <c r="C362" s="3" t="s">
        <v>1017</v>
      </c>
      <c r="D362" s="3" t="s">
        <v>97</v>
      </c>
      <c r="E362" s="3" t="s">
        <v>765</v>
      </c>
      <c r="F362" s="5">
        <v>34509</v>
      </c>
      <c r="G362" s="14">
        <f t="shared" ca="1" si="5"/>
        <v>27.043835616438358</v>
      </c>
      <c r="H362" s="3" t="s">
        <v>588</v>
      </c>
      <c r="I362" t="str" cm="1">
        <f t="array" ref="I362">ADAPTAR(B362)&amp;ADAPTAR(C362)&amp;"_"&amp;ADAPTAR(E362)&amp;F362</f>
        <v>maryeleonor_estrada34509</v>
      </c>
      <c r="J362" s="13">
        <v>0</v>
      </c>
      <c r="K362" t="str" cm="1">
        <f t="array" ref="K362">ADAPTAR(B362)&amp;"."&amp;ADAPTAR(D362)&amp;YEAR(F362)&amp;"@"&amp;VLOOKUP(J362,Dominios!$A$2:$B$30,2,FALSE)</f>
        <v>mary.evans1994@auribus.com.co</v>
      </c>
      <c r="L362" s="13">
        <v>0</v>
      </c>
      <c r="M362">
        <f>VLOOKUP(L362,Celulares!$A$2:$B$30,2,FALSE)</f>
        <v>3115114930</v>
      </c>
    </row>
    <row r="363" spans="1:13" ht="15.75" customHeight="1" x14ac:dyDescent="0.25">
      <c r="A363" t="s">
        <v>1798</v>
      </c>
      <c r="B363" s="3" t="s">
        <v>931</v>
      </c>
      <c r="C363" s="3" t="s">
        <v>1018</v>
      </c>
      <c r="D363" s="3" t="s">
        <v>161</v>
      </c>
      <c r="E363" s="3" t="s">
        <v>456</v>
      </c>
      <c r="F363" s="5">
        <v>37531</v>
      </c>
      <c r="G363" s="14">
        <f t="shared" ca="1" si="5"/>
        <v>18.764383561643836</v>
      </c>
      <c r="H363" s="3" t="s">
        <v>1186</v>
      </c>
      <c r="I363" t="str" cm="1">
        <f t="array" ref="I363">ADAPTAR(B363)&amp;ADAPTAR(C363)&amp;"_"&amp;ADAPTAR(E363)&amp;F363</f>
        <v>dulcekamila_alvarez37531</v>
      </c>
      <c r="J363" s="13">
        <v>1</v>
      </c>
      <c r="K363" t="str" cm="1">
        <f t="array" ref="K363">ADAPTAR(B363)&amp;"."&amp;ADAPTAR(D363)&amp;YEAR(F363)&amp;"@"&amp;VLOOKUP(J363,Dominios!$A$2:$B$30,2,FALSE)</f>
        <v>dulce.rengifo2002@colamus.co</v>
      </c>
      <c r="L363" s="13">
        <v>1</v>
      </c>
      <c r="M363">
        <f>VLOOKUP(L363,Celulares!$A$2:$B$30,2,FALSE)</f>
        <v>3115114916</v>
      </c>
    </row>
    <row r="364" spans="1:13" ht="15.75" customHeight="1" x14ac:dyDescent="0.25">
      <c r="A364" t="s">
        <v>1799</v>
      </c>
      <c r="B364" s="3" t="s">
        <v>1019</v>
      </c>
      <c r="C364" s="3" t="s">
        <v>306</v>
      </c>
      <c r="D364" s="3" t="s">
        <v>138</v>
      </c>
      <c r="E364" s="3" t="s">
        <v>789</v>
      </c>
      <c r="F364" s="5">
        <v>26275</v>
      </c>
      <c r="G364" s="14">
        <f t="shared" ca="1" si="5"/>
        <v>49.602739726027394</v>
      </c>
      <c r="H364" s="3" t="s">
        <v>1244</v>
      </c>
      <c r="I364" t="str" cm="1">
        <f t="array" ref="I364">ADAPTAR(B364)&amp;ADAPTAR(C364)&amp;"_"&amp;ADAPTAR(E364)&amp;F364</f>
        <v>veronicasofia_carmona26275</v>
      </c>
      <c r="J364" s="13">
        <v>2</v>
      </c>
      <c r="K364" t="str" cm="1">
        <f t="array" ref="K364">ADAPTAR(B364)&amp;"."&amp;ADAPTAR(D364)&amp;YEAR(F364)&amp;"@"&amp;VLOOKUP(J364,Dominios!$A$2:$B$30,2,FALSE)</f>
        <v>veronica.quintero1971@colombiamail.co</v>
      </c>
      <c r="L364" s="13">
        <v>2</v>
      </c>
      <c r="M364">
        <f>VLOOKUP(L364,Celulares!$A$2:$B$30,2,FALSE)</f>
        <v>3115114911</v>
      </c>
    </row>
    <row r="365" spans="1:13" ht="15.75" customHeight="1" x14ac:dyDescent="0.25">
      <c r="A365" t="s">
        <v>1800</v>
      </c>
      <c r="B365" s="3" t="s">
        <v>924</v>
      </c>
      <c r="C365" s="3" t="s">
        <v>36</v>
      </c>
      <c r="D365" s="3" t="s">
        <v>212</v>
      </c>
      <c r="E365" s="3" t="s">
        <v>711</v>
      </c>
      <c r="F365" s="5">
        <v>35847</v>
      </c>
      <c r="G365" s="14">
        <f t="shared" ca="1" si="5"/>
        <v>23.378082191780823</v>
      </c>
      <c r="H365" s="3" t="s">
        <v>544</v>
      </c>
      <c r="I365" t="str" cm="1">
        <f t="array" ref="I365">ADAPTAR(B365)&amp;ADAPTAR(C365)&amp;"_"&amp;ADAPTAR(E365)&amp;F365</f>
        <v>blancaalexandra_carvajal35847</v>
      </c>
      <c r="J365" s="13">
        <v>3</v>
      </c>
      <c r="K365" t="str" cm="1">
        <f t="array" ref="K365">ADAPTAR(B365)&amp;"."&amp;ADAPTAR(D365)&amp;YEAR(F365)&amp;"@"&amp;VLOOKUP(J365,Dominios!$A$2:$B$30,2,FALSE)</f>
        <v>blanca.gonzalez1998@diabunter.co</v>
      </c>
      <c r="L365" s="13">
        <v>3</v>
      </c>
      <c r="M365">
        <f>VLOOKUP(L365,Celulares!$A$2:$B$30,2,FALSE)</f>
        <v>3115114910</v>
      </c>
    </row>
    <row r="366" spans="1:13" ht="15.75" customHeight="1" x14ac:dyDescent="0.25">
      <c r="A366" t="s">
        <v>1801</v>
      </c>
      <c r="B366" s="3" t="s">
        <v>1020</v>
      </c>
      <c r="C366" s="3" t="s">
        <v>1021</v>
      </c>
      <c r="D366" s="3" t="s">
        <v>214</v>
      </c>
      <c r="E366" s="3" t="s">
        <v>729</v>
      </c>
      <c r="F366" s="5">
        <v>26193</v>
      </c>
      <c r="G366" s="14">
        <f t="shared" ca="1" si="5"/>
        <v>49.827397260273976</v>
      </c>
      <c r="H366" s="3" t="s">
        <v>1182</v>
      </c>
      <c r="I366" t="str" cm="1">
        <f t="array" ref="I366">ADAPTAR(B366)&amp;ADAPTAR(C366)&amp;"_"&amp;ADAPTAR(E366)&amp;F366</f>
        <v>gisetantonella_fonseca26193</v>
      </c>
      <c r="J366" s="13">
        <v>4</v>
      </c>
      <c r="K366" t="str" cm="1">
        <f t="array" ref="K366">ADAPTAR(B366)&amp;"."&amp;ADAPTAR(D366)&amp;YEAR(F366)&amp;"@"&amp;VLOOKUP(J366,Dominios!$A$2:$B$30,2,FALSE)</f>
        <v>giset.lopez1971@ebrietas.co</v>
      </c>
      <c r="L366" s="13">
        <v>4</v>
      </c>
      <c r="M366">
        <f>VLOOKUP(L366,Celulares!$A$2:$B$30,2,FALSE)</f>
        <v>3115114909</v>
      </c>
    </row>
    <row r="367" spans="1:13" ht="15.75" customHeight="1" x14ac:dyDescent="0.25">
      <c r="A367" t="s">
        <v>1802</v>
      </c>
      <c r="B367" s="3" t="s">
        <v>193</v>
      </c>
      <c r="C367" s="3" t="s">
        <v>309</v>
      </c>
      <c r="D367" s="3" t="s">
        <v>84</v>
      </c>
      <c r="E367" s="3" t="s">
        <v>235</v>
      </c>
      <c r="F367" s="5">
        <v>33471</v>
      </c>
      <c r="G367" s="14">
        <f t="shared" ca="1" si="5"/>
        <v>29.887671232876713</v>
      </c>
      <c r="H367" s="3" t="s">
        <v>1222</v>
      </c>
      <c r="I367" t="str" cm="1">
        <f t="array" ref="I367">ADAPTAR(B367)&amp;ADAPTAR(C367)&amp;"_"&amp;ADAPTAR(E367)&amp;F367</f>
        <v>stellamarina_giraldo33471</v>
      </c>
      <c r="J367" s="13">
        <v>5</v>
      </c>
      <c r="K367" t="str" cm="1">
        <f t="array" ref="K367">ADAPTAR(B367)&amp;"."&amp;ADAPTAR(D367)&amp;YEAR(F367)&amp;"@"&amp;VLOOKUP(J367,Dominios!$A$2:$B$30,2,FALSE)</f>
        <v>stella.prada1991@elsinsonte.co</v>
      </c>
      <c r="L367" s="13">
        <v>5</v>
      </c>
      <c r="M367">
        <f>VLOOKUP(L367,Celulares!$A$2:$B$30,2,FALSE)</f>
        <v>3115060130</v>
      </c>
    </row>
    <row r="368" spans="1:13" ht="15.75" customHeight="1" x14ac:dyDescent="0.25">
      <c r="A368" t="s">
        <v>1803</v>
      </c>
      <c r="B368" s="3" t="s">
        <v>38</v>
      </c>
      <c r="C368" s="3" t="s">
        <v>1022</v>
      </c>
      <c r="D368" s="3" t="s">
        <v>57</v>
      </c>
      <c r="E368" s="3" t="s">
        <v>736</v>
      </c>
      <c r="F368" s="5">
        <v>29651</v>
      </c>
      <c r="G368" s="14">
        <f t="shared" ca="1" si="5"/>
        <v>40.353424657534248</v>
      </c>
      <c r="H368" s="3" t="s">
        <v>1218</v>
      </c>
      <c r="I368" t="str" cm="1">
        <f t="array" ref="I368">ADAPTAR(B368)&amp;ADAPTAR(C368)&amp;"_"&amp;ADAPTAR(E368)&amp;F368</f>
        <v>helenacasandra_bohorquez29651</v>
      </c>
      <c r="J368" s="13">
        <v>6</v>
      </c>
      <c r="K368" t="str" cm="1">
        <f t="array" ref="K368">ADAPTAR(B368)&amp;"."&amp;ADAPTAR(D368)&amp;YEAR(F368)&amp;"@"&amp;VLOOKUP(J368,Dominios!$A$2:$B$30,2,FALSE)</f>
        <v>helena.castro1981@enigmaserver.co</v>
      </c>
      <c r="L368" s="13">
        <v>6</v>
      </c>
      <c r="M368">
        <f>VLOOKUP(L368,Celulares!$A$2:$B$30,2,FALSE)</f>
        <v>3115060125</v>
      </c>
    </row>
    <row r="369" spans="1:13" ht="15.75" customHeight="1" x14ac:dyDescent="0.25">
      <c r="A369" t="s">
        <v>1804</v>
      </c>
      <c r="B369" s="3" t="s">
        <v>1023</v>
      </c>
      <c r="C369" s="3" t="s">
        <v>21</v>
      </c>
      <c r="D369" s="3" t="s">
        <v>80</v>
      </c>
      <c r="E369" s="3" t="s">
        <v>687</v>
      </c>
      <c r="F369" s="5">
        <v>28785</v>
      </c>
      <c r="G369" s="14">
        <f t="shared" ca="1" si="5"/>
        <v>42.726027397260275</v>
      </c>
      <c r="H369" s="3" t="s">
        <v>1237</v>
      </c>
      <c r="I369" t="str" cm="1">
        <f t="array" ref="I369">ADAPTAR(B369)&amp;ADAPTAR(C369)&amp;"_"&amp;ADAPTAR(E369)&amp;F369</f>
        <v>evacatalina_leon28785</v>
      </c>
      <c r="J369" s="13">
        <v>7</v>
      </c>
      <c r="K369" t="str" cm="1">
        <f t="array" ref="K369">ADAPTAR(B369)&amp;"."&amp;ADAPTAR(D369)&amp;YEAR(F369)&amp;"@"&amp;VLOOKUP(J369,Dominios!$A$2:$B$30,2,FALSE)</f>
        <v>eva.caycedo1978@hocknas.co</v>
      </c>
      <c r="L369" s="13">
        <v>7</v>
      </c>
      <c r="M369">
        <f>VLOOKUP(L369,Celulares!$A$2:$B$30,2,FALSE)</f>
        <v>3115060110</v>
      </c>
    </row>
    <row r="370" spans="1:13" ht="15.75" customHeight="1" x14ac:dyDescent="0.25">
      <c r="A370" t="s">
        <v>1805</v>
      </c>
      <c r="B370" s="3" t="s">
        <v>971</v>
      </c>
      <c r="C370" s="3" t="s">
        <v>634</v>
      </c>
      <c r="D370" s="3" t="s">
        <v>73</v>
      </c>
      <c r="E370" s="3" t="s">
        <v>783</v>
      </c>
      <c r="F370" s="5">
        <v>34119</v>
      </c>
      <c r="G370" s="14">
        <f t="shared" ca="1" si="5"/>
        <v>28.112328767123287</v>
      </c>
      <c r="H370" s="3" t="s">
        <v>1195</v>
      </c>
      <c r="I370" t="str" cm="1">
        <f t="array" ref="I370">ADAPTAR(B370)&amp;ADAPTAR(C370)&amp;"_"&amp;ADAPTAR(E370)&amp;F370</f>
        <v>lunamanuela_pena34119</v>
      </c>
      <c r="J370" s="13">
        <v>8</v>
      </c>
      <c r="K370" t="str" cm="1">
        <f t="array" ref="K370">ADAPTAR(B370)&amp;"."&amp;ADAPTAR(D370)&amp;YEAR(F370)&amp;"@"&amp;VLOOKUP(J370,Dominios!$A$2:$B$30,2,FALSE)</f>
        <v>luna.delgado1993@hostedoceri.co</v>
      </c>
      <c r="L370" s="13">
        <v>8</v>
      </c>
      <c r="M370">
        <f>VLOOKUP(L370,Celulares!$A$2:$B$30,2,FALSE)</f>
        <v>3115060091</v>
      </c>
    </row>
    <row r="371" spans="1:13" ht="15.75" customHeight="1" x14ac:dyDescent="0.25">
      <c r="A371" t="s">
        <v>1806</v>
      </c>
      <c r="B371" s="3" t="s">
        <v>635</v>
      </c>
      <c r="C371" s="3" t="s">
        <v>50</v>
      </c>
      <c r="D371" s="3" t="s">
        <v>241</v>
      </c>
      <c r="E371" s="3" t="s">
        <v>692</v>
      </c>
      <c r="F371" s="5">
        <v>29085</v>
      </c>
      <c r="G371" s="14">
        <f t="shared" ca="1" si="5"/>
        <v>41.904109589041099</v>
      </c>
      <c r="H371" s="3" t="s">
        <v>1179</v>
      </c>
      <c r="I371" t="str" cm="1">
        <f t="array" ref="I371">ADAPTAR(B371)&amp;ADAPTAR(C371)&amp;"_"&amp;ADAPTAR(E371)&amp;F371</f>
        <v>rosamaria_hurtado29085</v>
      </c>
      <c r="J371" s="13">
        <v>9</v>
      </c>
      <c r="K371" t="str" cm="1">
        <f t="array" ref="K371">ADAPTAR(B371)&amp;"."&amp;ADAPTAR(D371)&amp;YEAR(F371)&amp;"@"&amp;VLOOKUP(J371,Dominios!$A$2:$B$30,2,FALSE)</f>
        <v>rosa.medina1979@libertas.com.co</v>
      </c>
      <c r="L371" s="13">
        <v>9</v>
      </c>
      <c r="M371">
        <f>VLOOKUP(L371,Celulares!$A$2:$B$30,2,FALSE)</f>
        <v>3115060080</v>
      </c>
    </row>
    <row r="372" spans="1:13" ht="15.75" customHeight="1" x14ac:dyDescent="0.25">
      <c r="A372" t="s">
        <v>1807</v>
      </c>
      <c r="B372" s="3" t="s">
        <v>1024</v>
      </c>
      <c r="C372" s="3" t="s">
        <v>13</v>
      </c>
      <c r="D372" s="3" t="s">
        <v>77</v>
      </c>
      <c r="E372" s="3" t="s">
        <v>702</v>
      </c>
      <c r="F372" s="5">
        <v>27219</v>
      </c>
      <c r="G372" s="14">
        <f t="shared" ca="1" si="5"/>
        <v>47.016438356164386</v>
      </c>
      <c r="H372" s="3" t="s">
        <v>1182</v>
      </c>
      <c r="I372" t="str" cm="1">
        <f t="array" ref="I372">ADAPTAR(B372)&amp;ADAPTAR(C372)&amp;"_"&amp;ADAPTAR(E372)&amp;F372</f>
        <v>bibianaandrea_mendez27219</v>
      </c>
      <c r="J372" s="13">
        <v>10</v>
      </c>
      <c r="K372" t="str" cm="1">
        <f t="array" ref="K372">ADAPTAR(B372)&amp;"."&amp;ADAPTAR(D372)&amp;YEAR(F372)&amp;"@"&amp;VLOOKUP(J372,Dominios!$A$2:$B$30,2,FALSE)</f>
        <v>bibiana.molano1974@nascitur.com.co</v>
      </c>
      <c r="L372" s="13">
        <v>10</v>
      </c>
      <c r="M372">
        <f>VLOOKUP(L372,Celulares!$A$2:$B$30,2,FALSE)</f>
        <v>3115114385</v>
      </c>
    </row>
    <row r="373" spans="1:13" ht="15.75" customHeight="1" x14ac:dyDescent="0.25">
      <c r="A373" t="s">
        <v>1808</v>
      </c>
      <c r="B373" s="3" t="s">
        <v>1025</v>
      </c>
      <c r="C373" s="3" t="s">
        <v>1026</v>
      </c>
      <c r="D373" s="3" t="s">
        <v>221</v>
      </c>
      <c r="E373" s="3" t="s">
        <v>822</v>
      </c>
      <c r="F373" s="5">
        <v>29153</v>
      </c>
      <c r="G373" s="14">
        <f t="shared" ca="1" si="5"/>
        <v>41.717808219178082</v>
      </c>
      <c r="H373" s="3" t="s">
        <v>1173</v>
      </c>
      <c r="I373" t="str" cm="1">
        <f t="array" ref="I373">ADAPTAR(B373)&amp;ADAPTAR(C373)&amp;"_"&amp;ADAPTAR(E373)&amp;F373</f>
        <v>deisyjoanna_monsalve29153</v>
      </c>
      <c r="J373" s="13">
        <v>11</v>
      </c>
      <c r="K373" t="str" cm="1">
        <f t="array" ref="K373">ADAPTAR(B373)&amp;"."&amp;ADAPTAR(D373)&amp;YEAR(F373)&amp;"@"&amp;VLOOKUP(J373,Dominios!$A$2:$B$30,2,FALSE)</f>
        <v>deisy.silva1979@nemesis.ml</v>
      </c>
      <c r="L373" s="13">
        <v>11</v>
      </c>
      <c r="M373">
        <f>VLOOKUP(L373,Celulares!$A$2:$B$30,2,FALSE)</f>
        <v>3115114360</v>
      </c>
    </row>
    <row r="374" spans="1:13" ht="15.75" customHeight="1" x14ac:dyDescent="0.25">
      <c r="A374" t="s">
        <v>1809</v>
      </c>
      <c r="B374" s="3" t="s">
        <v>958</v>
      </c>
      <c r="C374" s="3" t="s">
        <v>195</v>
      </c>
      <c r="D374" s="3" t="s">
        <v>154</v>
      </c>
      <c r="E374" s="3" t="s">
        <v>762</v>
      </c>
      <c r="F374" s="5">
        <v>28061</v>
      </c>
      <c r="G374" s="14">
        <f t="shared" ca="1" si="5"/>
        <v>44.709589041095889</v>
      </c>
      <c r="H374" s="3" t="s">
        <v>1188</v>
      </c>
      <c r="I374" t="str" cm="1">
        <f t="array" ref="I374">ADAPTAR(B374)&amp;ADAPTAR(C374)&amp;"_"&amp;ADAPTAR(E374)&amp;F374</f>
        <v>clarapatricia_restrepo28061</v>
      </c>
      <c r="J374" s="13">
        <v>12</v>
      </c>
      <c r="K374" t="str" cm="1">
        <f t="array" ref="K374">ADAPTAR(B374)&amp;"."&amp;ADAPTAR(D374)&amp;YEAR(F374)&amp;"@"&amp;VLOOKUP(J374,Dominios!$A$2:$B$30,2,FALSE)</f>
        <v>clara.prado1976@nunquam.com.co</v>
      </c>
      <c r="L374" s="13">
        <v>12</v>
      </c>
      <c r="M374">
        <f>VLOOKUP(L374,Celulares!$A$2:$B$30,2,FALSE)</f>
        <v>3115093653</v>
      </c>
    </row>
    <row r="375" spans="1:13" ht="15.75" customHeight="1" x14ac:dyDescent="0.25">
      <c r="A375" t="s">
        <v>1810</v>
      </c>
      <c r="B375" s="3" t="s">
        <v>50</v>
      </c>
      <c r="C375" s="3" t="s">
        <v>218</v>
      </c>
      <c r="D375" s="3" t="s">
        <v>135</v>
      </c>
      <c r="E375" s="3" t="s">
        <v>220</v>
      </c>
      <c r="F375" s="5">
        <v>30540</v>
      </c>
      <c r="G375" s="14">
        <f t="shared" ca="1" si="5"/>
        <v>37.917808219178085</v>
      </c>
      <c r="H375" s="3" t="s">
        <v>1200</v>
      </c>
      <c r="I375" t="str" cm="1">
        <f t="array" ref="I375">ADAPTAR(B375)&amp;ADAPTAR(C375)&amp;"_"&amp;ADAPTAR(E375)&amp;F375</f>
        <v>mariacristina_castaneda30540</v>
      </c>
      <c r="J375" s="13">
        <v>13</v>
      </c>
      <c r="K375" t="str" cm="1">
        <f t="array" ref="K375">ADAPTAR(B375)&amp;"."&amp;ADAPTAR(D375)&amp;YEAR(F375)&amp;"@"&amp;VLOOKUP(J375,Dominios!$A$2:$B$30,2,FALSE)</f>
        <v>maria.bautista1983@sempiternam.co</v>
      </c>
      <c r="L375" s="13">
        <v>13</v>
      </c>
      <c r="M375">
        <f>VLOOKUP(L375,Celulares!$A$2:$B$30,2,FALSE)</f>
        <v>3115093598</v>
      </c>
    </row>
    <row r="376" spans="1:13" ht="15.75" customHeight="1" x14ac:dyDescent="0.25">
      <c r="A376" t="s">
        <v>1811</v>
      </c>
      <c r="B376" s="3" t="s">
        <v>1027</v>
      </c>
      <c r="C376" s="3" t="s">
        <v>146</v>
      </c>
      <c r="D376" s="3" t="s">
        <v>150</v>
      </c>
      <c r="E376" s="3" t="s">
        <v>475</v>
      </c>
      <c r="F376" s="5">
        <v>31947</v>
      </c>
      <c r="G376" s="14">
        <f t="shared" ca="1" si="5"/>
        <v>34.063013698630137</v>
      </c>
      <c r="H376" s="3" t="s">
        <v>1206</v>
      </c>
      <c r="I376" t="str" cm="1">
        <f t="array" ref="I376">ADAPTAR(B376)&amp;ADAPTAR(C376)&amp;"_"&amp;ADAPTAR(E376)&amp;F376</f>
        <v>cindymarcela_caicedo31947</v>
      </c>
      <c r="J376" s="13">
        <v>14</v>
      </c>
      <c r="K376" t="str" cm="1">
        <f t="array" ref="K376">ADAPTAR(B376)&amp;"."&amp;ADAPTAR(D376)&amp;YEAR(F376)&amp;"@"&amp;VLOOKUP(J376,Dominios!$A$2:$B$30,2,FALSE)</f>
        <v>cindy.paredes1987@sk9.co</v>
      </c>
      <c r="L376" s="13">
        <v>14</v>
      </c>
      <c r="M376">
        <f>VLOOKUP(L376,Celulares!$A$2:$B$30,2,FALSE)</f>
        <v>3115093583</v>
      </c>
    </row>
    <row r="377" spans="1:13" ht="15.75" customHeight="1" x14ac:dyDescent="0.25">
      <c r="A377" t="s">
        <v>1812</v>
      </c>
      <c r="B377" s="3" t="s">
        <v>200</v>
      </c>
      <c r="C377" s="3" t="s">
        <v>102</v>
      </c>
      <c r="D377" s="3" t="s">
        <v>152</v>
      </c>
      <c r="E377" s="3" t="s">
        <v>238</v>
      </c>
      <c r="F377" s="5">
        <v>28772</v>
      </c>
      <c r="G377" s="14">
        <f t="shared" ca="1" si="5"/>
        <v>42.761643835616439</v>
      </c>
      <c r="H377" s="3" t="s">
        <v>609</v>
      </c>
      <c r="I377" t="str" cm="1">
        <f t="array" ref="I377">ADAPTAR(B377)&amp;ADAPTAR(C377)&amp;"_"&amp;ADAPTAR(E377)&amp;F377</f>
        <v>soniaesperanza_osorio28772</v>
      </c>
      <c r="J377" s="13">
        <v>15</v>
      </c>
      <c r="K377" t="str" cm="1">
        <f t="array" ref="K377">ADAPTAR(B377)&amp;"."&amp;ADAPTAR(D377)&amp;YEAR(F377)&amp;"@"&amp;VLOOKUP(J377,Dominios!$A$2:$B$30,2,FALSE)</f>
        <v>sonia.jurado1978@socialmediacolombia.com.co</v>
      </c>
      <c r="L377" s="13">
        <v>15</v>
      </c>
      <c r="M377">
        <f>VLOOKUP(L377,Celulares!$A$2:$B$30,2,FALSE)</f>
        <v>3115092386</v>
      </c>
    </row>
    <row r="378" spans="1:13" ht="15.75" customHeight="1" x14ac:dyDescent="0.25">
      <c r="A378" t="s">
        <v>1813</v>
      </c>
      <c r="B378" s="3" t="s">
        <v>928</v>
      </c>
      <c r="C378" s="3" t="s">
        <v>947</v>
      </c>
      <c r="D378" s="3" t="s">
        <v>496</v>
      </c>
      <c r="E378" s="3" t="s">
        <v>715</v>
      </c>
      <c r="F378" s="5">
        <v>30783</v>
      </c>
      <c r="G378" s="14">
        <f t="shared" ca="1" si="5"/>
        <v>37.252054794520546</v>
      </c>
      <c r="H378" s="3" t="s">
        <v>1238</v>
      </c>
      <c r="I378" t="str" cm="1">
        <f t="array" ref="I378">ADAPTAR(B378)&amp;ADAPTAR(C378)&amp;"_"&amp;ADAPTAR(E378)&amp;F378</f>
        <v>myriammargot_garcia30783</v>
      </c>
      <c r="J378" s="13">
        <v>16</v>
      </c>
      <c r="K378" t="str" cm="1">
        <f t="array" ref="K378">ADAPTAR(B378)&amp;"."&amp;ADAPTAR(D378)&amp;YEAR(F378)&amp;"@"&amp;VLOOKUP(J378,Dominios!$A$2:$B$30,2,FALSE)</f>
        <v>myriam.angarita1984@tecnicoensistemas.com.co</v>
      </c>
      <c r="L378" s="13">
        <v>16</v>
      </c>
      <c r="M378">
        <f>VLOOKUP(L378,Celulares!$A$2:$B$30,2,FALSE)</f>
        <v>3115092375</v>
      </c>
    </row>
    <row r="379" spans="1:13" ht="15.75" customHeight="1" x14ac:dyDescent="0.25">
      <c r="A379" t="s">
        <v>1814</v>
      </c>
      <c r="B379" s="3" t="s">
        <v>1028</v>
      </c>
      <c r="C379" s="3" t="s">
        <v>1029</v>
      </c>
      <c r="D379" s="3" t="s">
        <v>57</v>
      </c>
      <c r="E379" s="3" t="s">
        <v>683</v>
      </c>
      <c r="F379" s="5">
        <v>33091</v>
      </c>
      <c r="G379" s="14">
        <f t="shared" ca="1" si="5"/>
        <v>30.92876712328767</v>
      </c>
      <c r="H379" s="3" t="s">
        <v>1186</v>
      </c>
      <c r="I379" t="str" cm="1">
        <f t="array" ref="I379">ADAPTAR(B379)&amp;ADAPTAR(C379)&amp;"_"&amp;ADAPTAR(E379)&amp;F379</f>
        <v>maracarlotta_agudelo33091</v>
      </c>
      <c r="J379" s="13">
        <v>17</v>
      </c>
      <c r="K379" t="str" cm="1">
        <f t="array" ref="K379">ADAPTAR(B379)&amp;"."&amp;ADAPTAR(D379)&amp;YEAR(F379)&amp;"@"&amp;VLOOKUP(J379,Dominios!$A$2:$B$30,2,FALSE)</f>
        <v>mara.castro1990@totum.com.co</v>
      </c>
      <c r="L379" s="13">
        <v>17</v>
      </c>
      <c r="M379">
        <f>VLOOKUP(L379,Celulares!$A$2:$B$30,2,FALSE)</f>
        <v>3115092369</v>
      </c>
    </row>
    <row r="380" spans="1:13" ht="15.75" customHeight="1" x14ac:dyDescent="0.25">
      <c r="A380" t="s">
        <v>1815</v>
      </c>
      <c r="B380" s="3" t="s">
        <v>299</v>
      </c>
      <c r="C380" s="3" t="s">
        <v>50</v>
      </c>
      <c r="D380" s="3" t="s">
        <v>63</v>
      </c>
      <c r="E380" s="3" t="s">
        <v>784</v>
      </c>
      <c r="F380" s="5">
        <v>27938</v>
      </c>
      <c r="G380" s="14">
        <f t="shared" ca="1" si="5"/>
        <v>45.046575342465751</v>
      </c>
      <c r="H380" s="3" t="s">
        <v>1190</v>
      </c>
      <c r="I380" t="str" cm="1">
        <f t="array" ref="I380">ADAPTAR(B380)&amp;ADAPTAR(C380)&amp;"_"&amp;ADAPTAR(E380)&amp;F380</f>
        <v>inesmaria_torres27938</v>
      </c>
      <c r="J380" s="13">
        <v>18</v>
      </c>
      <c r="K380" t="str" cm="1">
        <f t="array" ref="K380">ADAPTAR(B380)&amp;"."&amp;ADAPTAR(D380)&amp;YEAR(F380)&amp;"@"&amp;VLOOKUP(J380,Dominios!$A$2:$B$30,2,FALSE)</f>
        <v>ines.benavidez1976@voipcolombia.co</v>
      </c>
      <c r="L380" s="13">
        <v>18</v>
      </c>
      <c r="M380">
        <f>VLOOKUP(L380,Celulares!$A$2:$B$30,2,FALSE)</f>
        <v>3115092360</v>
      </c>
    </row>
    <row r="381" spans="1:13" ht="15.75" customHeight="1" x14ac:dyDescent="0.25">
      <c r="A381" t="s">
        <v>1816</v>
      </c>
      <c r="B381" s="3" t="s">
        <v>635</v>
      </c>
      <c r="C381" s="3" t="s">
        <v>897</v>
      </c>
      <c r="D381" s="3" t="s">
        <v>53</v>
      </c>
      <c r="E381" s="3" t="s">
        <v>845</v>
      </c>
      <c r="F381" s="5">
        <v>27473</v>
      </c>
      <c r="G381" s="14">
        <f t="shared" ca="1" si="5"/>
        <v>46.320547945205476</v>
      </c>
      <c r="H381" s="3" t="s">
        <v>1201</v>
      </c>
      <c r="I381" t="str" cm="1">
        <f t="array" ref="I381">ADAPTAR(B381)&amp;ADAPTAR(C381)&amp;"_"&amp;ADAPTAR(E381)&amp;F381</f>
        <v>rosamargarita_zuniga27473</v>
      </c>
      <c r="J381" s="13">
        <v>19</v>
      </c>
      <c r="K381" t="str" cm="1">
        <f t="array" ref="K381">ADAPTAR(B381)&amp;"."&amp;ADAPTAR(D381)&amp;YEAR(F381)&amp;"@"&amp;VLOOKUP(J381,Dominios!$A$2:$B$30,2,FALSE)</f>
        <v>rosa.franco1975@vpncolombia.com.co</v>
      </c>
      <c r="L381" s="13">
        <v>19</v>
      </c>
      <c r="M381">
        <f>VLOOKUP(L381,Celulares!$A$2:$B$30,2,FALSE)</f>
        <v>3115092352</v>
      </c>
    </row>
    <row r="382" spans="1:13" ht="15.75" customHeight="1" x14ac:dyDescent="0.25">
      <c r="A382" t="s">
        <v>1817</v>
      </c>
      <c r="B382" s="3" t="s">
        <v>324</v>
      </c>
      <c r="C382" s="3" t="s">
        <v>1030</v>
      </c>
      <c r="D382" s="3" t="s">
        <v>42</v>
      </c>
      <c r="E382" s="3" t="s">
        <v>780</v>
      </c>
      <c r="F382" s="5">
        <v>29057</v>
      </c>
      <c r="G382" s="14">
        <f t="shared" ca="1" si="5"/>
        <v>41.980821917808221</v>
      </c>
      <c r="H382" s="3" t="s">
        <v>1267</v>
      </c>
      <c r="I382" t="str" cm="1">
        <f t="array" ref="I382">ADAPTAR(B382)&amp;ADAPTAR(C382)&amp;"_"&amp;ADAPTAR(E382)&amp;F382</f>
        <v>saramagnolia_amaya29057</v>
      </c>
      <c r="J382" s="13">
        <v>0</v>
      </c>
      <c r="K382" t="str" cm="1">
        <f t="array" ref="K382">ADAPTAR(B382)&amp;"."&amp;ADAPTAR(D382)&amp;YEAR(F382)&amp;"@"&amp;VLOOKUP(J382,Dominios!$A$2:$B$30,2,FALSE)</f>
        <v>sara.buitrago1979@auribus.com.co</v>
      </c>
      <c r="L382" s="13">
        <v>0</v>
      </c>
      <c r="M382">
        <f>VLOOKUP(L382,Celulares!$A$2:$B$30,2,FALSE)</f>
        <v>3115114930</v>
      </c>
    </row>
    <row r="383" spans="1:13" ht="15.75" customHeight="1" x14ac:dyDescent="0.25">
      <c r="A383" t="s">
        <v>1818</v>
      </c>
      <c r="B383" s="3" t="s">
        <v>997</v>
      </c>
      <c r="C383" s="3" t="s">
        <v>306</v>
      </c>
      <c r="D383" s="3" t="s">
        <v>51</v>
      </c>
      <c r="E383" s="3" t="s">
        <v>838</v>
      </c>
      <c r="F383" s="5">
        <v>25190</v>
      </c>
      <c r="G383" s="14">
        <f t="shared" ca="1" si="5"/>
        <v>52.575342465753423</v>
      </c>
      <c r="H383" s="3" t="s">
        <v>549</v>
      </c>
      <c r="I383" t="str" cm="1">
        <f t="array" ref="I383">ADAPTAR(B383)&amp;ADAPTAR(C383)&amp;"_"&amp;ADAPTAR(E383)&amp;F383</f>
        <v>violetasofia_tovar25190</v>
      </c>
      <c r="J383" s="13">
        <v>1</v>
      </c>
      <c r="K383" t="str" cm="1">
        <f t="array" ref="K383">ADAPTAR(B383)&amp;"."&amp;ADAPTAR(D383)&amp;YEAR(F383)&amp;"@"&amp;VLOOKUP(J383,Dominios!$A$2:$B$30,2,FALSE)</f>
        <v>violeta.pineda1968@colamus.co</v>
      </c>
      <c r="L383" s="13">
        <v>1</v>
      </c>
      <c r="M383">
        <f>VLOOKUP(L383,Celulares!$A$2:$B$30,2,FALSE)</f>
        <v>3115114916</v>
      </c>
    </row>
    <row r="384" spans="1:13" ht="15.75" customHeight="1" x14ac:dyDescent="0.25">
      <c r="A384" t="s">
        <v>1819</v>
      </c>
      <c r="B384" s="3" t="s">
        <v>143</v>
      </c>
      <c r="C384" s="3" t="s">
        <v>1031</v>
      </c>
      <c r="D384" s="3" t="s">
        <v>89</v>
      </c>
      <c r="E384" s="3" t="s">
        <v>774</v>
      </c>
      <c r="F384" s="5">
        <v>30489</v>
      </c>
      <c r="G384" s="14">
        <f t="shared" ca="1" si="5"/>
        <v>38.057534246575344</v>
      </c>
      <c r="H384" s="3" t="s">
        <v>1257</v>
      </c>
      <c r="I384" t="str" cm="1">
        <f t="array" ref="I384">ADAPTAR(B384)&amp;ADAPTAR(C384)&amp;"_"&amp;ADAPTAR(E384)&amp;F384</f>
        <v>luzsoledad_rueda30489</v>
      </c>
      <c r="J384" s="13">
        <v>2</v>
      </c>
      <c r="K384" t="str" cm="1">
        <f t="array" ref="K384">ADAPTAR(B384)&amp;"."&amp;ADAPTAR(D384)&amp;YEAR(F384)&amp;"@"&amp;VLOOKUP(J384,Dominios!$A$2:$B$30,2,FALSE)</f>
        <v>luz.gomez1983@colombiamail.co</v>
      </c>
      <c r="L384" s="13">
        <v>2</v>
      </c>
      <c r="M384">
        <f>VLOOKUP(L384,Celulares!$A$2:$B$30,2,FALSE)</f>
        <v>3115114911</v>
      </c>
    </row>
    <row r="385" spans="1:13" ht="15.75" customHeight="1" x14ac:dyDescent="0.25">
      <c r="A385" t="s">
        <v>1820</v>
      </c>
      <c r="B385" s="3" t="s">
        <v>91</v>
      </c>
      <c r="C385" s="3" t="s">
        <v>13</v>
      </c>
      <c r="D385" s="3" t="s">
        <v>141</v>
      </c>
      <c r="E385" s="3" t="s">
        <v>846</v>
      </c>
      <c r="F385" s="5">
        <v>31365</v>
      </c>
      <c r="G385" s="14">
        <f t="shared" ca="1" si="5"/>
        <v>35.657534246575345</v>
      </c>
      <c r="H385" s="3" t="s">
        <v>544</v>
      </c>
      <c r="I385" t="str" cm="1">
        <f t="array" ref="I385">ADAPTAR(B385)&amp;ADAPTAR(C385)&amp;"_"&amp;ADAPTAR(E385)&amp;F385</f>
        <v>nubiaandrea_navarro31365</v>
      </c>
      <c r="J385" s="13">
        <v>3</v>
      </c>
      <c r="K385" t="str" cm="1">
        <f t="array" ref="K385">ADAPTAR(B385)&amp;"."&amp;ADAPTAR(D385)&amp;YEAR(F385)&amp;"@"&amp;VLOOKUP(J385,Dominios!$A$2:$B$30,2,FALSE)</f>
        <v>nubia.galeano1985@diabunter.co</v>
      </c>
      <c r="L385" s="13">
        <v>3</v>
      </c>
      <c r="M385">
        <f>VLOOKUP(L385,Celulares!$A$2:$B$30,2,FALSE)</f>
        <v>3115114910</v>
      </c>
    </row>
    <row r="386" spans="1:13" ht="15.75" customHeight="1" x14ac:dyDescent="0.25">
      <c r="A386" t="s">
        <v>1821</v>
      </c>
      <c r="B386" s="3" t="s">
        <v>1032</v>
      </c>
      <c r="C386" s="3" t="s">
        <v>1033</v>
      </c>
      <c r="D386" s="3" t="s">
        <v>54</v>
      </c>
      <c r="E386" s="3" t="s">
        <v>821</v>
      </c>
      <c r="F386" s="5">
        <v>36555</v>
      </c>
      <c r="G386" s="14">
        <f t="shared" ca="1" si="5"/>
        <v>21.438356164383563</v>
      </c>
      <c r="H386" s="3" t="s">
        <v>1183</v>
      </c>
      <c r="I386" t="str" cm="1">
        <f t="array" ref="I386">ADAPTAR(B386)&amp;ADAPTAR(C386)&amp;"_"&amp;ADAPTAR(E386)&amp;F386</f>
        <v>yanetmaricella_montes36555</v>
      </c>
      <c r="J386" s="13">
        <v>4</v>
      </c>
      <c r="K386" t="str" cm="1">
        <f t="array" ref="K386">ADAPTAR(B386)&amp;"."&amp;ADAPTAR(D386)&amp;YEAR(F386)&amp;"@"&amp;VLOOKUP(J386,Dominios!$A$2:$B$30,2,FALSE)</f>
        <v>yanet.martinez2000@ebrietas.co</v>
      </c>
      <c r="L386" s="13">
        <v>4</v>
      </c>
      <c r="M386">
        <f>VLOOKUP(L386,Celulares!$A$2:$B$30,2,FALSE)</f>
        <v>3115114909</v>
      </c>
    </row>
    <row r="387" spans="1:13" ht="15.75" customHeight="1" x14ac:dyDescent="0.25">
      <c r="A387" t="s">
        <v>1822</v>
      </c>
      <c r="B387" s="3" t="s">
        <v>1034</v>
      </c>
      <c r="C387" s="3" t="s">
        <v>1035</v>
      </c>
      <c r="D387" s="3" t="s">
        <v>393</v>
      </c>
      <c r="E387" s="3" t="s">
        <v>746</v>
      </c>
      <c r="F387" s="5">
        <v>30752</v>
      </c>
      <c r="G387" s="14">
        <f t="shared" ref="G387:G450" ca="1" si="6">(TODAY()-F387)/365</f>
        <v>37.336986301369862</v>
      </c>
      <c r="H387" s="3" t="s">
        <v>1201</v>
      </c>
      <c r="I387" t="str" cm="1">
        <f t="array" ref="I387">ADAPTAR(B387)&amp;ADAPTAR(C387)&amp;"_"&amp;ADAPTAR(E387)&amp;F387</f>
        <v>celiagiseth_arenas30752</v>
      </c>
      <c r="J387" s="13">
        <v>5</v>
      </c>
      <c r="K387" t="str" cm="1">
        <f t="array" ref="K387">ADAPTAR(B387)&amp;"."&amp;ADAPTAR(D387)&amp;YEAR(F387)&amp;"@"&amp;VLOOKUP(J387,Dominios!$A$2:$B$30,2,FALSE)</f>
        <v>celia.valero1984@elsinsonte.co</v>
      </c>
      <c r="L387" s="13">
        <v>5</v>
      </c>
      <c r="M387">
        <f>VLOOKUP(L387,Celulares!$A$2:$B$30,2,FALSE)</f>
        <v>3115060130</v>
      </c>
    </row>
    <row r="388" spans="1:13" ht="15.75" customHeight="1" x14ac:dyDescent="0.25">
      <c r="A388" t="s">
        <v>1823</v>
      </c>
      <c r="B388" s="3" t="s">
        <v>1036</v>
      </c>
      <c r="C388" s="3" t="s">
        <v>1037</v>
      </c>
      <c r="D388" s="3" t="s">
        <v>289</v>
      </c>
      <c r="E388" s="3" t="s">
        <v>729</v>
      </c>
      <c r="F388" s="5">
        <v>31879</v>
      </c>
      <c r="G388" s="14">
        <f t="shared" ca="1" si="6"/>
        <v>34.249315068493154</v>
      </c>
      <c r="H388" s="3" t="s">
        <v>1187</v>
      </c>
      <c r="I388" t="str" cm="1">
        <f t="array" ref="I388">ADAPTAR(B388)&amp;ADAPTAR(C388)&amp;"_"&amp;ADAPTAR(E388)&amp;F388</f>
        <v>elsalucresia_fonseca31879</v>
      </c>
      <c r="J388" s="13">
        <v>6</v>
      </c>
      <c r="K388" t="str" cm="1">
        <f t="array" ref="K388">ADAPTAR(B388)&amp;"."&amp;ADAPTAR(D388)&amp;YEAR(F388)&amp;"@"&amp;VLOOKUP(J388,Dominios!$A$2:$B$30,2,FALSE)</f>
        <v>elsa.garavito1987@enigmaserver.co</v>
      </c>
      <c r="L388" s="13">
        <v>6</v>
      </c>
      <c r="M388">
        <f>VLOOKUP(L388,Celulares!$A$2:$B$30,2,FALSE)</f>
        <v>3115060125</v>
      </c>
    </row>
    <row r="389" spans="1:13" ht="15.75" customHeight="1" x14ac:dyDescent="0.25">
      <c r="A389" t="s">
        <v>1824</v>
      </c>
      <c r="B389" s="3" t="s">
        <v>920</v>
      </c>
      <c r="C389" s="3" t="s">
        <v>1007</v>
      </c>
      <c r="D389" s="3" t="s">
        <v>175</v>
      </c>
      <c r="E389" s="3" t="s">
        <v>687</v>
      </c>
      <c r="F389" s="5">
        <v>35118</v>
      </c>
      <c r="G389" s="14">
        <f t="shared" ca="1" si="6"/>
        <v>25.375342465753423</v>
      </c>
      <c r="H389" s="3" t="s">
        <v>1200</v>
      </c>
      <c r="I389" t="str" cm="1">
        <f t="array" ref="I389">ADAPTAR(B389)&amp;ADAPTAR(C389)&amp;"_"&amp;ADAPTAR(E389)&amp;F389</f>
        <v>emmayadira_leon35118</v>
      </c>
      <c r="J389" s="13">
        <v>7</v>
      </c>
      <c r="K389" t="str" cm="1">
        <f t="array" ref="K389">ADAPTAR(B389)&amp;"."&amp;ADAPTAR(D389)&amp;YEAR(F389)&amp;"@"&amp;VLOOKUP(J389,Dominios!$A$2:$B$30,2,FALSE)</f>
        <v>emma.santanilla1996@hocknas.co</v>
      </c>
      <c r="L389" s="13">
        <v>7</v>
      </c>
      <c r="M389">
        <f>VLOOKUP(L389,Celulares!$A$2:$B$30,2,FALSE)</f>
        <v>3115060110</v>
      </c>
    </row>
    <row r="390" spans="1:13" ht="15.75" customHeight="1" x14ac:dyDescent="0.25">
      <c r="A390" t="s">
        <v>1825</v>
      </c>
      <c r="B390" s="3" t="s">
        <v>1038</v>
      </c>
      <c r="C390" s="3" t="s">
        <v>948</v>
      </c>
      <c r="D390" s="3" t="s">
        <v>66</v>
      </c>
      <c r="E390" s="3" t="s">
        <v>765</v>
      </c>
      <c r="F390" s="5">
        <v>36649</v>
      </c>
      <c r="G390" s="14">
        <f t="shared" ca="1" si="6"/>
        <v>21.18082191780822</v>
      </c>
      <c r="H390" s="3" t="s">
        <v>1211</v>
      </c>
      <c r="I390" t="str" cm="1">
        <f t="array" ref="I390">ADAPTAR(B390)&amp;ADAPTAR(C390)&amp;"_"&amp;ADAPTAR(E390)&amp;F390</f>
        <v>marisolsoraya_estrada36649</v>
      </c>
      <c r="J390" s="13">
        <v>8</v>
      </c>
      <c r="K390" t="str" cm="1">
        <f t="array" ref="K390">ADAPTAR(B390)&amp;"."&amp;ADAPTAR(D390)&amp;YEAR(F390)&amp;"@"&amp;VLOOKUP(J390,Dominios!$A$2:$B$30,2,FALSE)</f>
        <v>marisol.velez2000@hostedoceri.co</v>
      </c>
      <c r="L390" s="13">
        <v>8</v>
      </c>
      <c r="M390">
        <f>VLOOKUP(L390,Celulares!$A$2:$B$30,2,FALSE)</f>
        <v>3115060091</v>
      </c>
    </row>
    <row r="391" spans="1:13" ht="15.75" customHeight="1" x14ac:dyDescent="0.25">
      <c r="A391" t="s">
        <v>1826</v>
      </c>
      <c r="B391" s="3" t="s">
        <v>1039</v>
      </c>
      <c r="C391" s="3" t="s">
        <v>31</v>
      </c>
      <c r="D391" s="3" t="s">
        <v>315</v>
      </c>
      <c r="E391" s="3" t="s">
        <v>812</v>
      </c>
      <c r="F391" s="5">
        <v>36834</v>
      </c>
      <c r="G391" s="14">
        <f t="shared" ca="1" si="6"/>
        <v>20.673972602739727</v>
      </c>
      <c r="H391" s="3" t="s">
        <v>1180</v>
      </c>
      <c r="I391" t="str" cm="1">
        <f t="array" ref="I391">ADAPTAR(B391)&amp;ADAPTAR(C391)&amp;"_"&amp;ADAPTAR(E391)&amp;F391</f>
        <v>jesicapaola_sepulveda36834</v>
      </c>
      <c r="J391" s="13">
        <v>9</v>
      </c>
      <c r="K391" t="str" cm="1">
        <f t="array" ref="K391">ADAPTAR(B391)&amp;"."&amp;ADAPTAR(D391)&amp;YEAR(F391)&amp;"@"&amp;VLOOKUP(J391,Dominios!$A$2:$B$30,2,FALSE)</f>
        <v>jesica.arango2000@libertas.com.co</v>
      </c>
      <c r="L391" s="13">
        <v>9</v>
      </c>
      <c r="M391">
        <f>VLOOKUP(L391,Celulares!$A$2:$B$30,2,FALSE)</f>
        <v>3115060080</v>
      </c>
    </row>
    <row r="392" spans="1:13" ht="15.75" customHeight="1" x14ac:dyDescent="0.25">
      <c r="A392" t="s">
        <v>1827</v>
      </c>
      <c r="B392" s="3" t="s">
        <v>30</v>
      </c>
      <c r="C392" s="3" t="s">
        <v>933</v>
      </c>
      <c r="D392" s="3" t="s">
        <v>88</v>
      </c>
      <c r="E392" s="3" t="s">
        <v>828</v>
      </c>
      <c r="F392" s="5">
        <v>30404</v>
      </c>
      <c r="G392" s="14">
        <f t="shared" ca="1" si="6"/>
        <v>38.290410958904111</v>
      </c>
      <c r="H392" s="3" t="s">
        <v>1256</v>
      </c>
      <c r="I392" t="str" cm="1">
        <f t="array" ref="I392">ADAPTAR(B392)&amp;ADAPTAR(C392)&amp;"_"&amp;ADAPTAR(E392)&amp;F392</f>
        <v>claudiaestefania_barrios30404</v>
      </c>
      <c r="J392" s="13">
        <v>10</v>
      </c>
      <c r="K392" t="str" cm="1">
        <f t="array" ref="K392">ADAPTAR(B392)&amp;"."&amp;ADAPTAR(D392)&amp;YEAR(F392)&amp;"@"&amp;VLOOKUP(J392,Dominios!$A$2:$B$30,2,FALSE)</f>
        <v>claudia.pinzon1983@nascitur.com.co</v>
      </c>
      <c r="L392" s="13">
        <v>10</v>
      </c>
      <c r="M392">
        <f>VLOOKUP(L392,Celulares!$A$2:$B$30,2,FALSE)</f>
        <v>3115114385</v>
      </c>
    </row>
    <row r="393" spans="1:13" ht="15.75" customHeight="1" x14ac:dyDescent="0.25">
      <c r="A393" t="s">
        <v>1828</v>
      </c>
      <c r="B393" s="3" t="s">
        <v>324</v>
      </c>
      <c r="C393" s="3" t="s">
        <v>991</v>
      </c>
      <c r="D393" s="3" t="s">
        <v>77</v>
      </c>
      <c r="E393" s="3" t="s">
        <v>744</v>
      </c>
      <c r="F393" s="5">
        <v>27311</v>
      </c>
      <c r="G393" s="14">
        <f t="shared" ca="1" si="6"/>
        <v>46.764383561643832</v>
      </c>
      <c r="H393" s="3" t="s">
        <v>559</v>
      </c>
      <c r="I393" t="str" cm="1">
        <f t="array" ref="I393">ADAPTAR(B393)&amp;ADAPTAR(C393)&amp;"_"&amp;ADAPTAR(E393)&amp;F393</f>
        <v>saraluciana_pacheco27311</v>
      </c>
      <c r="J393" s="13">
        <v>11</v>
      </c>
      <c r="K393" t="str" cm="1">
        <f t="array" ref="K393">ADAPTAR(B393)&amp;"."&amp;ADAPTAR(D393)&amp;YEAR(F393)&amp;"@"&amp;VLOOKUP(J393,Dominios!$A$2:$B$30,2,FALSE)</f>
        <v>sara.molano1974@nemesis.ml</v>
      </c>
      <c r="L393" s="13">
        <v>11</v>
      </c>
      <c r="M393">
        <f>VLOOKUP(L393,Celulares!$A$2:$B$30,2,FALSE)</f>
        <v>3115114360</v>
      </c>
    </row>
    <row r="394" spans="1:13" ht="15.75" customHeight="1" x14ac:dyDescent="0.25">
      <c r="A394" t="s">
        <v>1829</v>
      </c>
      <c r="B394" s="3" t="s">
        <v>12</v>
      </c>
      <c r="C394" s="3" t="s">
        <v>14</v>
      </c>
      <c r="D394" s="3" t="s">
        <v>170</v>
      </c>
      <c r="E394" s="3" t="s">
        <v>759</v>
      </c>
      <c r="F394" s="5">
        <v>30000</v>
      </c>
      <c r="G394" s="14">
        <f t="shared" ca="1" si="6"/>
        <v>39.397260273972606</v>
      </c>
      <c r="H394" s="3" t="s">
        <v>1235</v>
      </c>
      <c r="I394" t="str" cm="1">
        <f t="array" ref="I394">ADAPTAR(B394)&amp;ADAPTAR(C394)&amp;"_"&amp;ADAPTAR(E394)&amp;F394</f>
        <v>ximenanatalia_ortiz30000</v>
      </c>
      <c r="J394" s="13">
        <v>12</v>
      </c>
      <c r="K394" t="str" cm="1">
        <f t="array" ref="K394">ADAPTAR(B394)&amp;"."&amp;ADAPTAR(D394)&amp;YEAR(F394)&amp;"@"&amp;VLOOKUP(J394,Dominios!$A$2:$B$30,2,FALSE)</f>
        <v>ximena.cortes1982@nunquam.com.co</v>
      </c>
      <c r="L394" s="13">
        <v>12</v>
      </c>
      <c r="M394">
        <f>VLOOKUP(L394,Celulares!$A$2:$B$30,2,FALSE)</f>
        <v>3115093653</v>
      </c>
    </row>
    <row r="395" spans="1:13" ht="15.75" customHeight="1" x14ac:dyDescent="0.25">
      <c r="A395" t="s">
        <v>1830</v>
      </c>
      <c r="B395" s="3" t="s">
        <v>7</v>
      </c>
      <c r="C395" s="3" t="s">
        <v>13</v>
      </c>
      <c r="D395" s="3" t="s">
        <v>81</v>
      </c>
      <c r="E395" s="3" t="s">
        <v>235</v>
      </c>
      <c r="F395" s="5">
        <v>31072</v>
      </c>
      <c r="G395" s="14">
        <f t="shared" ca="1" si="6"/>
        <v>36.460273972602742</v>
      </c>
      <c r="H395" s="3" t="s">
        <v>1196</v>
      </c>
      <c r="I395" t="str" cm="1">
        <f t="array" ref="I395">ADAPTAR(B395)&amp;ADAPTAR(C395)&amp;"_"&amp;ADAPTAR(E395)&amp;F395</f>
        <v>camilaandrea_giraldo31072</v>
      </c>
      <c r="J395" s="13">
        <v>13</v>
      </c>
      <c r="K395" t="str" cm="1">
        <f t="array" ref="K395">ADAPTAR(B395)&amp;"."&amp;ADAPTAR(D395)&amp;YEAR(F395)&amp;"@"&amp;VLOOKUP(J395,Dominios!$A$2:$B$30,2,FALSE)</f>
        <v>camila.zarate1985@sempiternam.co</v>
      </c>
      <c r="L395" s="13">
        <v>13</v>
      </c>
      <c r="M395">
        <f>VLOOKUP(L395,Celulares!$A$2:$B$30,2,FALSE)</f>
        <v>3115093598</v>
      </c>
    </row>
    <row r="396" spans="1:13" ht="15.75" customHeight="1" x14ac:dyDescent="0.25">
      <c r="A396" t="s">
        <v>1831</v>
      </c>
      <c r="B396" s="3" t="s">
        <v>8</v>
      </c>
      <c r="C396" s="3" t="s">
        <v>304</v>
      </c>
      <c r="D396" s="3" t="s">
        <v>113</v>
      </c>
      <c r="E396" s="3" t="s">
        <v>714</v>
      </c>
      <c r="F396" s="5">
        <v>28326</v>
      </c>
      <c r="G396" s="14">
        <f t="shared" ca="1" si="6"/>
        <v>43.983561643835614</v>
      </c>
      <c r="H396" s="3" t="s">
        <v>1218</v>
      </c>
      <c r="I396" t="str" cm="1">
        <f t="array" ref="I396">ADAPTAR(B396)&amp;ADAPTAR(C396)&amp;"_"&amp;ADAPTAR(E396)&amp;F396</f>
        <v>valentinalucia_diaz28326</v>
      </c>
      <c r="J396" s="13">
        <v>14</v>
      </c>
      <c r="K396" t="str" cm="1">
        <f t="array" ref="K396">ADAPTAR(B396)&amp;"."&amp;ADAPTAR(D396)&amp;YEAR(F396)&amp;"@"&amp;VLOOKUP(J396,Dominios!$A$2:$B$30,2,FALSE)</f>
        <v>valentina.toledo1977@sk9.co</v>
      </c>
      <c r="L396" s="13">
        <v>14</v>
      </c>
      <c r="M396">
        <f>VLOOKUP(L396,Celulares!$A$2:$B$30,2,FALSE)</f>
        <v>3115093583</v>
      </c>
    </row>
    <row r="397" spans="1:13" ht="15.75" customHeight="1" x14ac:dyDescent="0.25">
      <c r="A397" t="s">
        <v>1832</v>
      </c>
      <c r="B397" s="3" t="s">
        <v>629</v>
      </c>
      <c r="C397" s="3" t="s">
        <v>50</v>
      </c>
      <c r="D397" s="3" t="s">
        <v>55</v>
      </c>
      <c r="E397" s="3" t="s">
        <v>844</v>
      </c>
      <c r="F397" s="5">
        <v>29438</v>
      </c>
      <c r="G397" s="14">
        <f t="shared" ca="1" si="6"/>
        <v>40.936986301369863</v>
      </c>
      <c r="H397" s="3" t="s">
        <v>575</v>
      </c>
      <c r="I397" t="str" cm="1">
        <f t="array" ref="I397">ADAPTAR(B397)&amp;ADAPTAR(C397)&amp;"_"&amp;ADAPTAR(E397)&amp;F397</f>
        <v>isabellamaria_acevedo29438</v>
      </c>
      <c r="J397" s="13">
        <v>15</v>
      </c>
      <c r="K397" t="str" cm="1">
        <f t="array" ref="K397">ADAPTAR(B397)&amp;"."&amp;ADAPTAR(D397)&amp;YEAR(F397)&amp;"@"&amp;VLOOKUP(J397,Dominios!$A$2:$B$30,2,FALSE)</f>
        <v>isabella.rodriguez1980@socialmediacolombia.com.co</v>
      </c>
      <c r="L397" s="13">
        <v>15</v>
      </c>
      <c r="M397">
        <f>VLOOKUP(L397,Celulares!$A$2:$B$30,2,FALSE)</f>
        <v>3115092386</v>
      </c>
    </row>
    <row r="398" spans="1:13" ht="15.75" customHeight="1" x14ac:dyDescent="0.25">
      <c r="A398" t="s">
        <v>1833</v>
      </c>
      <c r="B398" s="3" t="s">
        <v>967</v>
      </c>
      <c r="C398" s="3" t="s">
        <v>159</v>
      </c>
      <c r="D398" s="3" t="s">
        <v>316</v>
      </c>
      <c r="E398" s="3" t="s">
        <v>761</v>
      </c>
      <c r="F398" s="5">
        <v>35606</v>
      </c>
      <c r="G398" s="14">
        <f t="shared" ca="1" si="6"/>
        <v>24.038356164383561</v>
      </c>
      <c r="H398" s="3" t="s">
        <v>1265</v>
      </c>
      <c r="I398" t="str" cm="1">
        <f t="array" ref="I398">ADAPTAR(B398)&amp;ADAPTAR(C398)&amp;"_"&amp;ADAPTAR(E398)&amp;F398</f>
        <v>valeriateresa_montoya35606</v>
      </c>
      <c r="J398" s="13">
        <v>16</v>
      </c>
      <c r="K398" t="str" cm="1">
        <f t="array" ref="K398">ADAPTAR(B398)&amp;"."&amp;ADAPTAR(D398)&amp;YEAR(F398)&amp;"@"&amp;VLOOKUP(J398,Dominios!$A$2:$B$30,2,FALSE)</f>
        <v>valeria.latorre1997@tecnicoensistemas.com.co</v>
      </c>
      <c r="L398" s="13">
        <v>16</v>
      </c>
      <c r="M398">
        <f>VLOOKUP(L398,Celulares!$A$2:$B$30,2,FALSE)</f>
        <v>3115092375</v>
      </c>
    </row>
    <row r="399" spans="1:13" ht="15.75" customHeight="1" x14ac:dyDescent="0.25">
      <c r="A399" t="s">
        <v>1834</v>
      </c>
      <c r="B399" s="3" t="s">
        <v>9</v>
      </c>
      <c r="C399" s="3" t="s">
        <v>7</v>
      </c>
      <c r="D399" s="3" t="s">
        <v>177</v>
      </c>
      <c r="E399" s="3" t="s">
        <v>803</v>
      </c>
      <c r="F399" s="5">
        <v>36029</v>
      </c>
      <c r="G399" s="14">
        <f t="shared" ca="1" si="6"/>
        <v>22.87945205479452</v>
      </c>
      <c r="H399" s="3" t="s">
        <v>1205</v>
      </c>
      <c r="I399" t="str" cm="1">
        <f t="array" ref="I399">ADAPTAR(B399)&amp;ADAPTAR(C399)&amp;"_"&amp;ADAPTAR(E399)&amp;F399</f>
        <v>danielacamila_marin36029</v>
      </c>
      <c r="J399" s="13">
        <v>17</v>
      </c>
      <c r="K399" t="str" cm="1">
        <f t="array" ref="K399">ADAPTAR(B399)&amp;"."&amp;ADAPTAR(D399)&amp;YEAR(F399)&amp;"@"&amp;VLOOKUP(J399,Dominios!$A$2:$B$30,2,FALSE)</f>
        <v>daniela.castillo1998@totum.com.co</v>
      </c>
      <c r="L399" s="13">
        <v>17</v>
      </c>
      <c r="M399">
        <f>VLOOKUP(L399,Celulares!$A$2:$B$30,2,FALSE)</f>
        <v>3115092369</v>
      </c>
    </row>
    <row r="400" spans="1:13" ht="15.75" customHeight="1" x14ac:dyDescent="0.25">
      <c r="A400" t="s">
        <v>1835</v>
      </c>
      <c r="B400" s="3" t="s">
        <v>10</v>
      </c>
      <c r="C400" s="3" t="s">
        <v>82</v>
      </c>
      <c r="D400" s="3" t="s">
        <v>203</v>
      </c>
      <c r="E400" s="3" t="s">
        <v>672</v>
      </c>
      <c r="F400" s="5">
        <v>27813</v>
      </c>
      <c r="G400" s="14">
        <f t="shared" ca="1" si="6"/>
        <v>45.389041095890413</v>
      </c>
      <c r="H400" s="3" t="s">
        <v>1183</v>
      </c>
      <c r="I400" t="str" cm="1">
        <f t="array" ref="I400">ADAPTAR(B400)&amp;ADAPTAR(C400)&amp;"_"&amp;ADAPTAR(E400)&amp;F400</f>
        <v>marianaclemencia_londono27813</v>
      </c>
      <c r="J400" s="13">
        <v>18</v>
      </c>
      <c r="K400" t="str" cm="1">
        <f t="array" ref="K400">ADAPTAR(B400)&amp;"."&amp;ADAPTAR(D400)&amp;YEAR(F400)&amp;"@"&amp;VLOOKUP(J400,Dominios!$A$2:$B$30,2,FALSE)</f>
        <v>mariana.redondo1976@voipcolombia.co</v>
      </c>
      <c r="L400" s="13">
        <v>18</v>
      </c>
      <c r="M400">
        <f>VLOOKUP(L400,Celulares!$A$2:$B$30,2,FALSE)</f>
        <v>3115092360</v>
      </c>
    </row>
    <row r="401" spans="1:13" ht="15.75" customHeight="1" x14ac:dyDescent="0.25">
      <c r="A401" t="s">
        <v>1836</v>
      </c>
      <c r="B401" s="3" t="s">
        <v>620</v>
      </c>
      <c r="C401" s="3" t="s">
        <v>948</v>
      </c>
      <c r="D401" s="3" t="s">
        <v>39</v>
      </c>
      <c r="E401" s="3" t="s">
        <v>684</v>
      </c>
      <c r="F401" s="5">
        <v>26670</v>
      </c>
      <c r="G401" s="14">
        <f t="shared" ca="1" si="6"/>
        <v>48.520547945205479</v>
      </c>
      <c r="H401" s="3" t="s">
        <v>535</v>
      </c>
      <c r="I401" t="str" cm="1">
        <f t="array" ref="I401">ADAPTAR(B401)&amp;ADAPTAR(C401)&amp;"_"&amp;ADAPTAR(E401)&amp;F401</f>
        <v>victoriasoraya_mora26670</v>
      </c>
      <c r="J401" s="13">
        <v>19</v>
      </c>
      <c r="K401" t="str" cm="1">
        <f t="array" ref="K401">ADAPTAR(B401)&amp;"."&amp;ADAPTAR(D401)&amp;YEAR(F401)&amp;"@"&amp;VLOOKUP(J401,Dominios!$A$2:$B$30,2,FALSE)</f>
        <v>victoria.rincon1973@vpncolombia.com.co</v>
      </c>
      <c r="L401" s="13">
        <v>19</v>
      </c>
      <c r="M401">
        <f>VLOOKUP(L401,Celulares!$A$2:$B$30,2,FALSE)</f>
        <v>3115092352</v>
      </c>
    </row>
    <row r="402" spans="1:13" ht="15.75" customHeight="1" x14ac:dyDescent="0.25">
      <c r="A402" t="s">
        <v>1837</v>
      </c>
      <c r="B402" s="3" t="s">
        <v>11</v>
      </c>
      <c r="C402" s="3" t="s">
        <v>102</v>
      </c>
      <c r="D402" s="3" t="s">
        <v>206</v>
      </c>
      <c r="E402" s="3" t="s">
        <v>730</v>
      </c>
      <c r="F402" s="5">
        <v>30749</v>
      </c>
      <c r="G402" s="14">
        <f t="shared" ca="1" si="6"/>
        <v>37.345205479452055</v>
      </c>
      <c r="H402" s="3" t="s">
        <v>1174</v>
      </c>
      <c r="I402" t="str" cm="1">
        <f t="array" ref="I402">ADAPTAR(B402)&amp;ADAPTAR(C402)&amp;"_"&amp;ADAPTAR(E402)&amp;F402</f>
        <v>gabrielaesperanza_perez30749</v>
      </c>
      <c r="J402" s="13">
        <v>0</v>
      </c>
      <c r="K402" t="str" cm="1">
        <f t="array" ref="K402">ADAPTAR(B402)&amp;"."&amp;ADAPTAR(D402)&amp;YEAR(F402)&amp;"@"&amp;VLOOKUP(J402,Dominios!$A$2:$B$30,2,FALSE)</f>
        <v>gabriela.zamora1984@auribus.com.co</v>
      </c>
      <c r="L402" s="13">
        <v>0</v>
      </c>
      <c r="M402">
        <f>VLOOKUP(L402,Celulares!$A$2:$B$30,2,FALSE)</f>
        <v>3115114930</v>
      </c>
    </row>
    <row r="403" spans="1:13" ht="15.75" customHeight="1" x14ac:dyDescent="0.25">
      <c r="A403" t="s">
        <v>1838</v>
      </c>
      <c r="B403" s="3" t="s">
        <v>12</v>
      </c>
      <c r="C403" s="3" t="s">
        <v>897</v>
      </c>
      <c r="D403" s="3" t="s">
        <v>148</v>
      </c>
      <c r="E403" s="3" t="s">
        <v>723</v>
      </c>
      <c r="F403" s="5">
        <v>31613</v>
      </c>
      <c r="G403" s="14">
        <f t="shared" ca="1" si="6"/>
        <v>34.978082191780821</v>
      </c>
      <c r="H403" s="3" t="s">
        <v>1188</v>
      </c>
      <c r="I403" t="str" cm="1">
        <f t="array" ref="I403">ADAPTAR(B403)&amp;ADAPTAR(C403)&amp;"_"&amp;ADAPTAR(E403)&amp;F403</f>
        <v>ximenamargarita_paez31613</v>
      </c>
      <c r="J403" s="13">
        <v>1</v>
      </c>
      <c r="K403" t="str" cm="1">
        <f t="array" ref="K403">ADAPTAR(B403)&amp;"."&amp;ADAPTAR(D403)&amp;YEAR(F403)&amp;"@"&amp;VLOOKUP(J403,Dominios!$A$2:$B$30,2,FALSE)</f>
        <v>ximena.blanco1986@colamus.co</v>
      </c>
      <c r="L403" s="13">
        <v>1</v>
      </c>
      <c r="M403">
        <f>VLOOKUP(L403,Celulares!$A$2:$B$30,2,FALSE)</f>
        <v>3115114916</v>
      </c>
    </row>
    <row r="404" spans="1:13" ht="15.75" customHeight="1" x14ac:dyDescent="0.25">
      <c r="A404" t="s">
        <v>1839</v>
      </c>
      <c r="B404" s="3" t="s">
        <v>13</v>
      </c>
      <c r="C404" s="3" t="s">
        <v>31</v>
      </c>
      <c r="D404" s="3" t="s">
        <v>55</v>
      </c>
      <c r="E404" s="3" t="s">
        <v>717</v>
      </c>
      <c r="F404" s="5">
        <v>28186</v>
      </c>
      <c r="G404" s="14">
        <f t="shared" ca="1" si="6"/>
        <v>44.367123287671234</v>
      </c>
      <c r="H404" s="3" t="s">
        <v>1176</v>
      </c>
      <c r="I404" t="str" cm="1">
        <f t="array" ref="I404">ADAPTAR(B404)&amp;ADAPTAR(C404)&amp;"_"&amp;ADAPTAR(E404)&amp;F404</f>
        <v>andreapaola_vasquez28186</v>
      </c>
      <c r="J404" s="13">
        <v>2</v>
      </c>
      <c r="K404" t="str" cm="1">
        <f t="array" ref="K404">ADAPTAR(B404)&amp;"."&amp;ADAPTAR(D404)&amp;YEAR(F404)&amp;"@"&amp;VLOOKUP(J404,Dominios!$A$2:$B$30,2,FALSE)</f>
        <v>andrea.rodriguez1977@colombiamail.co</v>
      </c>
      <c r="L404" s="13">
        <v>2</v>
      </c>
      <c r="M404">
        <f>VLOOKUP(L404,Celulares!$A$2:$B$30,2,FALSE)</f>
        <v>3115114911</v>
      </c>
    </row>
    <row r="405" spans="1:13" ht="15.75" customHeight="1" x14ac:dyDescent="0.25">
      <c r="A405" t="s">
        <v>1840</v>
      </c>
      <c r="B405" s="3" t="s">
        <v>14</v>
      </c>
      <c r="C405" s="3" t="s">
        <v>1012</v>
      </c>
      <c r="D405" s="3" t="s">
        <v>75</v>
      </c>
      <c r="E405" s="3" t="s">
        <v>794</v>
      </c>
      <c r="F405" s="5">
        <v>26169</v>
      </c>
      <c r="G405" s="14">
        <f t="shared" ca="1" si="6"/>
        <v>49.893150684931506</v>
      </c>
      <c r="H405" s="3" t="s">
        <v>1163</v>
      </c>
      <c r="I405" t="str" cm="1">
        <f t="array" ref="I405">ADAPTAR(B405)&amp;ADAPTAR(C405)&amp;"_"&amp;ADAPTAR(E405)&amp;F405</f>
        <v>nataliajimena_sarmiento26169</v>
      </c>
      <c r="J405" s="13">
        <v>3</v>
      </c>
      <c r="K405" t="str" cm="1">
        <f t="array" ref="K405">ADAPTAR(B405)&amp;"."&amp;ADAPTAR(D405)&amp;YEAR(F405)&amp;"@"&amp;VLOOKUP(J405,Dominios!$A$2:$B$30,2,FALSE)</f>
        <v>natalia.cuellar1971@diabunter.co</v>
      </c>
      <c r="L405" s="13">
        <v>3</v>
      </c>
      <c r="M405">
        <f>VLOOKUP(L405,Celulares!$A$2:$B$30,2,FALSE)</f>
        <v>3115114910</v>
      </c>
    </row>
    <row r="406" spans="1:13" ht="15.75" customHeight="1" x14ac:dyDescent="0.25">
      <c r="A406" t="s">
        <v>1841</v>
      </c>
      <c r="B406" s="3" t="s">
        <v>907</v>
      </c>
      <c r="C406" s="3" t="s">
        <v>1011</v>
      </c>
      <c r="D406" s="3" t="s">
        <v>132</v>
      </c>
      <c r="E406" s="3" t="s">
        <v>754</v>
      </c>
      <c r="F406" s="5">
        <v>36234</v>
      </c>
      <c r="G406" s="14">
        <f t="shared" ca="1" si="6"/>
        <v>22.317808219178083</v>
      </c>
      <c r="H406" s="3" t="s">
        <v>1224</v>
      </c>
      <c r="I406" t="str" cm="1">
        <f t="array" ref="I406">ADAPTAR(B406)&amp;ADAPTAR(C406)&amp;"_"&amp;ADAPTAR(E406)&amp;F406</f>
        <v>miasalome_soto36234</v>
      </c>
      <c r="J406" s="13">
        <v>4</v>
      </c>
      <c r="K406" t="str" cm="1">
        <f t="array" ref="K406">ADAPTAR(B406)&amp;"."&amp;ADAPTAR(D406)&amp;YEAR(F406)&amp;"@"&amp;VLOOKUP(J406,Dominios!$A$2:$B$30,2,FALSE)</f>
        <v>mia.rubio1999@ebrietas.co</v>
      </c>
      <c r="L406" s="13">
        <v>4</v>
      </c>
      <c r="M406">
        <f>VLOOKUP(L406,Celulares!$A$2:$B$30,2,FALSE)</f>
        <v>3115114909</v>
      </c>
    </row>
    <row r="407" spans="1:13" ht="15.75" customHeight="1" x14ac:dyDescent="0.25">
      <c r="A407" t="s">
        <v>1842</v>
      </c>
      <c r="B407" s="3" t="s">
        <v>626</v>
      </c>
      <c r="C407" s="3" t="s">
        <v>1040</v>
      </c>
      <c r="D407" s="3" t="s">
        <v>58</v>
      </c>
      <c r="E407" s="3" t="s">
        <v>721</v>
      </c>
      <c r="F407" s="5">
        <v>30089</v>
      </c>
      <c r="G407" s="14">
        <f t="shared" ca="1" si="6"/>
        <v>39.153424657534245</v>
      </c>
      <c r="H407" s="3" t="s">
        <v>1261</v>
      </c>
      <c r="I407" t="str" cm="1">
        <f t="array" ref="I407">ADAPTAR(B407)&amp;ADAPTAR(C407)&amp;"_"&amp;ADAPTAR(E407)&amp;F407</f>
        <v>martinajinet_aguilar30089</v>
      </c>
      <c r="J407" s="13">
        <v>5</v>
      </c>
      <c r="K407" t="str" cm="1">
        <f t="array" ref="K407">ADAPTAR(B407)&amp;"."&amp;ADAPTAR(D407)&amp;YEAR(F407)&amp;"@"&amp;VLOOKUP(J407,Dominios!$A$2:$B$30,2,FALSE)</f>
        <v>martina.ospina1982@elsinsonte.co</v>
      </c>
      <c r="L407" s="13">
        <v>5</v>
      </c>
      <c r="M407">
        <f>VLOOKUP(L407,Celulares!$A$2:$B$30,2,FALSE)</f>
        <v>3115060130</v>
      </c>
    </row>
    <row r="408" spans="1:13" ht="15.75" customHeight="1" x14ac:dyDescent="0.25">
      <c r="A408" t="s">
        <v>1843</v>
      </c>
      <c r="B408" s="3" t="s">
        <v>15</v>
      </c>
      <c r="C408" s="3" t="s">
        <v>482</v>
      </c>
      <c r="D408" s="3" t="s">
        <v>60</v>
      </c>
      <c r="E408" s="3" t="s">
        <v>832</v>
      </c>
      <c r="F408" s="5">
        <v>34293</v>
      </c>
      <c r="G408" s="14">
        <f t="shared" ca="1" si="6"/>
        <v>27.635616438356163</v>
      </c>
      <c r="H408" s="3" t="s">
        <v>1232</v>
      </c>
      <c r="I408" t="str" cm="1">
        <f t="array" ref="I408">ADAPTAR(B408)&amp;ADAPTAR(C408)&amp;"_"&amp;ADAPTAR(E408)&amp;F408</f>
        <v>luciaantonia_cardenas34293</v>
      </c>
      <c r="J408" s="13">
        <v>6</v>
      </c>
      <c r="K408" t="str" cm="1">
        <f t="array" ref="K408">ADAPTAR(B408)&amp;"."&amp;ADAPTAR(D408)&amp;YEAR(F408)&amp;"@"&amp;VLOOKUP(J408,Dominios!$A$2:$B$30,2,FALSE)</f>
        <v>lucia.orozco1993@enigmaserver.co</v>
      </c>
      <c r="L408" s="13">
        <v>6</v>
      </c>
      <c r="M408">
        <f>VLOOKUP(L408,Celulares!$A$2:$B$30,2,FALSE)</f>
        <v>3115060125</v>
      </c>
    </row>
    <row r="409" spans="1:13" ht="15.75" customHeight="1" x14ac:dyDescent="0.25">
      <c r="A409" t="s">
        <v>1844</v>
      </c>
      <c r="B409" s="3" t="s">
        <v>1041</v>
      </c>
      <c r="C409" s="3" t="s">
        <v>7</v>
      </c>
      <c r="D409" s="3" t="s">
        <v>99</v>
      </c>
      <c r="E409" s="3" t="s">
        <v>780</v>
      </c>
      <c r="F409" s="5">
        <v>34633</v>
      </c>
      <c r="G409" s="14">
        <f t="shared" ca="1" si="6"/>
        <v>26.704109589041096</v>
      </c>
      <c r="H409" s="3" t="s">
        <v>1198</v>
      </c>
      <c r="I409" t="str" cm="1">
        <f t="array" ref="I409">ADAPTAR(B409)&amp;ADAPTAR(C409)&amp;"_"&amp;ADAPTAR(E409)&amp;F409</f>
        <v>samanthacamila_amaya34633</v>
      </c>
      <c r="J409" s="13">
        <v>7</v>
      </c>
      <c r="K409" t="str" cm="1">
        <f t="array" ref="K409">ADAPTAR(B409)&amp;"."&amp;ADAPTAR(D409)&amp;YEAR(F409)&amp;"@"&amp;VLOOKUP(J409,Dominios!$A$2:$B$30,2,FALSE)</f>
        <v>samantha.avila1994@hocknas.co</v>
      </c>
      <c r="L409" s="13">
        <v>7</v>
      </c>
      <c r="M409">
        <f>VLOOKUP(L409,Celulares!$A$2:$B$30,2,FALSE)</f>
        <v>3115060110</v>
      </c>
    </row>
    <row r="410" spans="1:13" ht="15.75" customHeight="1" x14ac:dyDescent="0.25">
      <c r="A410" t="s">
        <v>1845</v>
      </c>
      <c r="B410" s="3" t="s">
        <v>16</v>
      </c>
      <c r="C410" s="3" t="s">
        <v>19</v>
      </c>
      <c r="D410" s="3" t="s">
        <v>196</v>
      </c>
      <c r="E410" s="3" t="s">
        <v>719</v>
      </c>
      <c r="F410" s="5">
        <v>30306</v>
      </c>
      <c r="G410" s="14">
        <f t="shared" ca="1" si="6"/>
        <v>38.558904109589044</v>
      </c>
      <c r="H410" s="3" t="s">
        <v>1221</v>
      </c>
      <c r="I410" t="str" cm="1">
        <f t="array" ref="I410">ADAPTAR(B410)&amp;ADAPTAR(C410)&amp;"_"&amp;ADAPTAR(E410)&amp;F410</f>
        <v>mariapaula_suarez30306</v>
      </c>
      <c r="J410" s="13">
        <v>8</v>
      </c>
      <c r="K410" t="str" cm="1">
        <f t="array" ref="K410">ADAPTAR(B410)&amp;"."&amp;ADAPTAR(D410)&amp;YEAR(F410)&amp;"@"&amp;VLOOKUP(J410,Dominios!$A$2:$B$30,2,FALSE)</f>
        <v>maria.montoya1982@hostedoceri.co</v>
      </c>
      <c r="L410" s="13">
        <v>8</v>
      </c>
      <c r="M410">
        <f>VLOOKUP(L410,Celulares!$A$2:$B$30,2,FALSE)</f>
        <v>3115060091</v>
      </c>
    </row>
    <row r="411" spans="1:13" ht="15.75" customHeight="1" x14ac:dyDescent="0.25">
      <c r="A411" t="s">
        <v>1846</v>
      </c>
      <c r="B411" s="3" t="s">
        <v>16</v>
      </c>
      <c r="C411" s="3" t="s">
        <v>17</v>
      </c>
      <c r="D411" s="3" t="s">
        <v>110</v>
      </c>
      <c r="E411" s="3" t="s">
        <v>824</v>
      </c>
      <c r="F411" s="5">
        <v>30392</v>
      </c>
      <c r="G411" s="14">
        <f t="shared" ca="1" si="6"/>
        <v>38.323287671232876</v>
      </c>
      <c r="H411" s="3" t="s">
        <v>1224</v>
      </c>
      <c r="I411" t="str" cm="1">
        <f t="array" ref="I411">ADAPTAR(B411)&amp;ADAPTAR(C411)&amp;"_"&amp;ADAPTAR(E411)&amp;F411</f>
        <v>mariafernanda_jaramillo30392</v>
      </c>
      <c r="J411" s="13">
        <v>9</v>
      </c>
      <c r="K411" t="str" cm="1">
        <f t="array" ref="K411">ADAPTAR(B411)&amp;"."&amp;ADAPTAR(D411)&amp;YEAR(F411)&amp;"@"&amp;VLOOKUP(J411,Dominios!$A$2:$B$30,2,FALSE)</f>
        <v>maria.contreras1983@libertas.com.co</v>
      </c>
      <c r="L411" s="13">
        <v>9</v>
      </c>
      <c r="M411">
        <f>VLOOKUP(L411,Celulares!$A$2:$B$30,2,FALSE)</f>
        <v>3115060080</v>
      </c>
    </row>
    <row r="412" spans="1:13" ht="15.75" customHeight="1" x14ac:dyDescent="0.25">
      <c r="A412" t="s">
        <v>1847</v>
      </c>
      <c r="B412" s="3" t="s">
        <v>17</v>
      </c>
      <c r="C412" s="3" t="s">
        <v>190</v>
      </c>
      <c r="D412" s="3" t="s">
        <v>110</v>
      </c>
      <c r="E412" s="3" t="s">
        <v>745</v>
      </c>
      <c r="F412" s="5">
        <v>34132</v>
      </c>
      <c r="G412" s="14">
        <f t="shared" ca="1" si="6"/>
        <v>28.076712328767123</v>
      </c>
      <c r="H412" s="3" t="s">
        <v>1198</v>
      </c>
      <c r="I412" t="str" cm="1">
        <f t="array" ref="I412">ADAPTAR(B412)&amp;ADAPTAR(C412)&amp;"_"&amp;ADAPTAR(E412)&amp;F412</f>
        <v>fernandanicol_zambrano34132</v>
      </c>
      <c r="J412" s="13">
        <v>10</v>
      </c>
      <c r="K412" t="str" cm="1">
        <f t="array" ref="K412">ADAPTAR(B412)&amp;"."&amp;ADAPTAR(D412)&amp;YEAR(F412)&amp;"@"&amp;VLOOKUP(J412,Dominios!$A$2:$B$30,2,FALSE)</f>
        <v>fernanda.contreras1993@nascitur.com.co</v>
      </c>
      <c r="L412" s="13">
        <v>10</v>
      </c>
      <c r="M412">
        <f>VLOOKUP(L412,Celulares!$A$2:$B$30,2,FALSE)</f>
        <v>3115114385</v>
      </c>
    </row>
    <row r="413" spans="1:13" ht="15.75" customHeight="1" x14ac:dyDescent="0.25">
      <c r="A413" t="s">
        <v>1848</v>
      </c>
      <c r="B413" s="3" t="s">
        <v>1042</v>
      </c>
      <c r="C413" s="3" t="s">
        <v>1043</v>
      </c>
      <c r="D413" s="3" t="s">
        <v>100</v>
      </c>
      <c r="E413" s="3" t="s">
        <v>692</v>
      </c>
      <c r="F413" s="5">
        <v>25484</v>
      </c>
      <c r="G413" s="14">
        <f t="shared" ca="1" si="6"/>
        <v>51.769863013698632</v>
      </c>
      <c r="H413" s="3" t="s">
        <v>1186</v>
      </c>
      <c r="I413" t="str" cm="1">
        <f t="array" ref="I413">ADAPTAR(B413)&amp;ADAPTAR(C413)&amp;"_"&amp;ADAPTAR(E413)&amp;F413</f>
        <v>nicolestefannya_hurtado25484</v>
      </c>
      <c r="J413" s="13">
        <v>11</v>
      </c>
      <c r="K413" t="str" cm="1">
        <f t="array" ref="K413">ADAPTAR(B413)&amp;"."&amp;ADAPTAR(D413)&amp;YEAR(F413)&amp;"@"&amp;VLOOKUP(J413,Dominios!$A$2:$B$30,2,FALSE)</f>
        <v>nicole.jaramillo1969@nemesis.ml</v>
      </c>
      <c r="L413" s="13">
        <v>11</v>
      </c>
      <c r="M413">
        <f>VLOOKUP(L413,Celulares!$A$2:$B$30,2,FALSE)</f>
        <v>3115114360</v>
      </c>
    </row>
    <row r="414" spans="1:13" ht="15.75" customHeight="1" x14ac:dyDescent="0.25">
      <c r="A414" t="s">
        <v>1849</v>
      </c>
      <c r="B414" s="3" t="s">
        <v>18</v>
      </c>
      <c r="C414" s="3" t="s">
        <v>7</v>
      </c>
      <c r="D414" s="3" t="s">
        <v>258</v>
      </c>
      <c r="E414" s="3" t="s">
        <v>736</v>
      </c>
      <c r="F414" s="5">
        <v>33002</v>
      </c>
      <c r="G414" s="14">
        <f t="shared" ca="1" si="6"/>
        <v>31.172602739726027</v>
      </c>
      <c r="H414" s="3" t="s">
        <v>1197</v>
      </c>
      <c r="I414" t="str" cm="1">
        <f t="array" ref="I414">ADAPTAR(B414)&amp;ADAPTAR(C414)&amp;"_"&amp;ADAPTAR(E414)&amp;F414</f>
        <v>alejandracamila_bohorquez33002</v>
      </c>
      <c r="J414" s="13">
        <v>12</v>
      </c>
      <c r="K414" t="str" cm="1">
        <f t="array" ref="K414">ADAPTAR(B414)&amp;"."&amp;ADAPTAR(D414)&amp;YEAR(F414)&amp;"@"&amp;VLOOKUP(J414,Dominios!$A$2:$B$30,2,FALSE)</f>
        <v>alejandra.velandia1990@nunquam.com.co</v>
      </c>
      <c r="L414" s="13">
        <v>12</v>
      </c>
      <c r="M414">
        <f>VLOOKUP(L414,Celulares!$A$2:$B$30,2,FALSE)</f>
        <v>3115093653</v>
      </c>
    </row>
    <row r="415" spans="1:13" ht="15.75" customHeight="1" x14ac:dyDescent="0.25">
      <c r="A415" t="s">
        <v>1850</v>
      </c>
      <c r="B415" s="3" t="s">
        <v>19</v>
      </c>
      <c r="C415" s="3" t="s">
        <v>1044</v>
      </c>
      <c r="D415" s="3" t="s">
        <v>126</v>
      </c>
      <c r="E415" s="3" t="s">
        <v>829</v>
      </c>
      <c r="F415" s="5">
        <v>25027</v>
      </c>
      <c r="G415" s="14">
        <f t="shared" ca="1" si="6"/>
        <v>53.021917808219179</v>
      </c>
      <c r="H415" s="3" t="s">
        <v>1223</v>
      </c>
      <c r="I415" t="str" cm="1">
        <f t="array" ref="I415">ADAPTAR(B415)&amp;ADAPTAR(C415)&amp;"_"&amp;ADAPTAR(E415)&amp;F415</f>
        <v>paulaleticia_palacio25027</v>
      </c>
      <c r="J415" s="13">
        <v>13</v>
      </c>
      <c r="K415" t="str" cm="1">
        <f t="array" ref="K415">ADAPTAR(B415)&amp;"."&amp;ADAPTAR(D415)&amp;YEAR(F415)&amp;"@"&amp;VLOOKUP(J415,Dominios!$A$2:$B$30,2,FALSE)</f>
        <v>paula.caballero1968@sempiternam.co</v>
      </c>
      <c r="L415" s="13">
        <v>13</v>
      </c>
      <c r="M415">
        <f>VLOOKUP(L415,Celulares!$A$2:$B$30,2,FALSE)</f>
        <v>3115093598</v>
      </c>
    </row>
    <row r="416" spans="1:13" ht="15.75" customHeight="1" x14ac:dyDescent="0.25">
      <c r="A416" t="s">
        <v>1851</v>
      </c>
      <c r="B416" s="3" t="s">
        <v>983</v>
      </c>
      <c r="C416" s="3" t="s">
        <v>131</v>
      </c>
      <c r="D416" s="3" t="s">
        <v>127</v>
      </c>
      <c r="E416" s="3" t="s">
        <v>673</v>
      </c>
      <c r="F416" s="5">
        <v>25453</v>
      </c>
      <c r="G416" s="14">
        <f t="shared" ca="1" si="6"/>
        <v>51.854794520547948</v>
      </c>
      <c r="H416" s="3" t="s">
        <v>1167</v>
      </c>
      <c r="I416" t="str" cm="1">
        <f t="array" ref="I416">ADAPTAR(B416)&amp;ADAPTAR(C416)&amp;"_"&amp;ADAPTAR(E416)&amp;F416</f>
        <v>emilydayana_molina25453</v>
      </c>
      <c r="J416" s="13">
        <v>14</v>
      </c>
      <c r="K416" t="str" cm="1">
        <f t="array" ref="K416">ADAPTAR(B416)&amp;"."&amp;ADAPTAR(D416)&amp;YEAR(F416)&amp;"@"&amp;VLOOKUP(J416,Dominios!$A$2:$B$30,2,FALSE)</f>
        <v>emily.torres1969@sk9.co</v>
      </c>
      <c r="L416" s="13">
        <v>14</v>
      </c>
      <c r="M416">
        <f>VLOOKUP(L416,Celulares!$A$2:$B$30,2,FALSE)</f>
        <v>3115093583</v>
      </c>
    </row>
    <row r="417" spans="1:13" ht="15.75" customHeight="1" x14ac:dyDescent="0.25">
      <c r="A417" t="s">
        <v>1852</v>
      </c>
      <c r="B417" s="3" t="s">
        <v>16</v>
      </c>
      <c r="C417" s="3" t="s">
        <v>1045</v>
      </c>
      <c r="D417" s="3" t="s">
        <v>44</v>
      </c>
      <c r="E417" s="3" t="s">
        <v>688</v>
      </c>
      <c r="F417" s="5">
        <v>28955</v>
      </c>
      <c r="G417" s="14">
        <f t="shared" ca="1" si="6"/>
        <v>42.260273972602739</v>
      </c>
      <c r="H417" s="3" t="s">
        <v>1171</v>
      </c>
      <c r="I417" t="str" cm="1">
        <f t="array" ref="I417">ADAPTAR(B417)&amp;ADAPTAR(C417)&amp;"_"&amp;ADAPTAR(E417)&amp;F417</f>
        <v>mariafrancisca_escobar28955</v>
      </c>
      <c r="J417" s="13">
        <v>15</v>
      </c>
      <c r="K417" t="str" cm="1">
        <f t="array" ref="K417">ADAPTAR(B417)&amp;"."&amp;ADAPTAR(D417)&amp;YEAR(F417)&amp;"@"&amp;VLOOKUP(J417,Dominios!$A$2:$B$30,2,FALSE)</f>
        <v>maria.matiz1979@socialmediacolombia.com.co</v>
      </c>
      <c r="L417" s="13">
        <v>15</v>
      </c>
      <c r="M417">
        <f>VLOOKUP(L417,Celulares!$A$2:$B$30,2,FALSE)</f>
        <v>3115092386</v>
      </c>
    </row>
    <row r="418" spans="1:13" ht="15.75" customHeight="1" x14ac:dyDescent="0.25">
      <c r="A418" t="s">
        <v>1853</v>
      </c>
      <c r="B418" s="3" t="s">
        <v>397</v>
      </c>
      <c r="C418" s="3" t="s">
        <v>50</v>
      </c>
      <c r="D418" s="3" t="s">
        <v>89</v>
      </c>
      <c r="E418" s="3" t="s">
        <v>831</v>
      </c>
      <c r="F418" s="5">
        <v>30180</v>
      </c>
      <c r="G418" s="14">
        <f t="shared" ca="1" si="6"/>
        <v>38.904109589041099</v>
      </c>
      <c r="H418" s="3" t="s">
        <v>1179</v>
      </c>
      <c r="I418" t="str" cm="1">
        <f t="array" ref="I418">ADAPTAR(B418)&amp;ADAPTAR(C418)&amp;"_"&amp;ADAPTAR(E418)&amp;F418</f>
        <v>josemaria_arrieta30180</v>
      </c>
      <c r="J418" s="13">
        <v>16</v>
      </c>
      <c r="K418" t="str" cm="1">
        <f t="array" ref="K418">ADAPTAR(B418)&amp;"."&amp;ADAPTAR(D418)&amp;YEAR(F418)&amp;"@"&amp;VLOOKUP(J418,Dominios!$A$2:$B$30,2,FALSE)</f>
        <v>jose.gomez1982@tecnicoensistemas.com.co</v>
      </c>
      <c r="L418" s="13">
        <v>16</v>
      </c>
      <c r="M418">
        <f>VLOOKUP(L418,Celulares!$A$2:$B$30,2,FALSE)</f>
        <v>3115092375</v>
      </c>
    </row>
    <row r="419" spans="1:13" ht="15.75" customHeight="1" x14ac:dyDescent="0.25">
      <c r="A419" t="s">
        <v>1854</v>
      </c>
      <c r="B419" s="3" t="s">
        <v>971</v>
      </c>
      <c r="C419" s="3" t="s">
        <v>17</v>
      </c>
      <c r="D419" s="3" t="s">
        <v>160</v>
      </c>
      <c r="E419" s="3" t="s">
        <v>795</v>
      </c>
      <c r="F419" s="5">
        <v>24108</v>
      </c>
      <c r="G419" s="14">
        <f t="shared" ca="1" si="6"/>
        <v>55.539726027397258</v>
      </c>
      <c r="H419" s="3" t="s">
        <v>1259</v>
      </c>
      <c r="I419" t="str" cm="1">
        <f t="array" ref="I419">ADAPTAR(B419)&amp;ADAPTAR(C419)&amp;"_"&amp;ADAPTAR(E419)&amp;F419</f>
        <v>lunafernanda_hoyos24108</v>
      </c>
      <c r="J419" s="13">
        <v>17</v>
      </c>
      <c r="K419" t="str" cm="1">
        <f t="array" ref="K419">ADAPTAR(B419)&amp;"."&amp;ADAPTAR(D419)&amp;YEAR(F419)&amp;"@"&amp;VLOOKUP(J419,Dominios!$A$2:$B$30,2,FALSE)</f>
        <v>luna.carriazo1966@totum.com.co</v>
      </c>
      <c r="L419" s="13">
        <v>17</v>
      </c>
      <c r="M419">
        <f>VLOOKUP(L419,Celulares!$A$2:$B$30,2,FALSE)</f>
        <v>3115092369</v>
      </c>
    </row>
    <row r="420" spans="1:13" ht="15.75" customHeight="1" x14ac:dyDescent="0.25">
      <c r="A420" t="s">
        <v>1855</v>
      </c>
      <c r="B420" s="3" t="s">
        <v>991</v>
      </c>
      <c r="C420" s="3" t="s">
        <v>26</v>
      </c>
      <c r="D420" s="3" t="s">
        <v>115</v>
      </c>
      <c r="E420" s="3" t="s">
        <v>675</v>
      </c>
      <c r="F420" s="5">
        <v>30112</v>
      </c>
      <c r="G420" s="14">
        <f t="shared" ca="1" si="6"/>
        <v>39.090410958904108</v>
      </c>
      <c r="H420" s="3" t="s">
        <v>1179</v>
      </c>
      <c r="I420" t="str" cm="1">
        <f t="array" ref="I420">ADAPTAR(B420)&amp;ADAPTAR(C420)&amp;"_"&amp;ADAPTAR(E420)&amp;F420</f>
        <v>lucianaadriana_rincon30112</v>
      </c>
      <c r="J420" s="13">
        <v>18</v>
      </c>
      <c r="K420" t="str" cm="1">
        <f t="array" ref="K420">ADAPTAR(B420)&amp;"."&amp;ADAPTAR(D420)&amp;YEAR(F420)&amp;"@"&amp;VLOOKUP(J420,Dominios!$A$2:$B$30,2,FALSE)</f>
        <v>luciana.sanabria1982@voipcolombia.co</v>
      </c>
      <c r="L420" s="13">
        <v>18</v>
      </c>
      <c r="M420">
        <f>VLOOKUP(L420,Celulares!$A$2:$B$30,2,FALSE)</f>
        <v>3115092360</v>
      </c>
    </row>
    <row r="421" spans="1:13" ht="15.75" customHeight="1" x14ac:dyDescent="0.25">
      <c r="A421" t="s">
        <v>1856</v>
      </c>
      <c r="B421" s="3" t="s">
        <v>20</v>
      </c>
      <c r="C421" s="3" t="s">
        <v>50</v>
      </c>
      <c r="D421" s="3" t="s">
        <v>72</v>
      </c>
      <c r="E421" s="3" t="s">
        <v>815</v>
      </c>
      <c r="F421" s="5">
        <v>34186</v>
      </c>
      <c r="G421" s="14">
        <f t="shared" ca="1" si="6"/>
        <v>27.92876712328767</v>
      </c>
      <c r="H421" s="3" t="s">
        <v>1194</v>
      </c>
      <c r="I421" t="str" cm="1">
        <f t="array" ref="I421">ADAPTAR(B421)&amp;ADAPTAR(C421)&amp;"_"&amp;ADAPTAR(E421)&amp;F421</f>
        <v>anamaria_palacios34186</v>
      </c>
      <c r="J421" s="13">
        <v>19</v>
      </c>
      <c r="K421" t="str" cm="1">
        <f t="array" ref="K421">ADAPTAR(B421)&amp;"."&amp;ADAPTAR(D421)&amp;YEAR(F421)&amp;"@"&amp;VLOOKUP(J421,Dominios!$A$2:$B$30,2,FALSE)</f>
        <v>ana.quiroga1993@vpncolombia.com.co</v>
      </c>
      <c r="L421" s="13">
        <v>19</v>
      </c>
      <c r="M421">
        <f>VLOOKUP(L421,Celulares!$A$2:$B$30,2,FALSE)</f>
        <v>3115092352</v>
      </c>
    </row>
    <row r="422" spans="1:13" ht="15.75" customHeight="1" x14ac:dyDescent="0.25">
      <c r="A422" t="s">
        <v>1857</v>
      </c>
      <c r="B422" s="3" t="s">
        <v>6</v>
      </c>
      <c r="C422" s="3" t="s">
        <v>38</v>
      </c>
      <c r="D422" s="3" t="s">
        <v>263</v>
      </c>
      <c r="E422" s="3" t="s">
        <v>845</v>
      </c>
      <c r="F422" s="5">
        <v>27268</v>
      </c>
      <c r="G422" s="14">
        <f t="shared" ca="1" si="6"/>
        <v>46.88219178082192</v>
      </c>
      <c r="H422" s="3" t="s">
        <v>559</v>
      </c>
      <c r="I422" t="str" cm="1">
        <f t="array" ref="I422">ADAPTAR(B422)&amp;ADAPTAR(C422)&amp;"_"&amp;ADAPTAR(E422)&amp;F422</f>
        <v>sofiahelena_zuniga27268</v>
      </c>
      <c r="J422" s="13">
        <v>0</v>
      </c>
      <c r="K422" t="str" cm="1">
        <f t="array" ref="K422">ADAPTAR(B422)&amp;"."&amp;ADAPTAR(D422)&amp;YEAR(F422)&amp;"@"&amp;VLOOKUP(J422,Dominios!$A$2:$B$30,2,FALSE)</f>
        <v>sofia.neira1974@auribus.com.co</v>
      </c>
      <c r="L422" s="13">
        <v>0</v>
      </c>
      <c r="M422">
        <f>VLOOKUP(L422,Celulares!$A$2:$B$30,2,FALSE)</f>
        <v>3115114930</v>
      </c>
    </row>
    <row r="423" spans="1:13" ht="15.75" customHeight="1" x14ac:dyDescent="0.25">
      <c r="A423" t="s">
        <v>1858</v>
      </c>
      <c r="B423" s="3" t="s">
        <v>1046</v>
      </c>
      <c r="C423" s="3" t="s">
        <v>123</v>
      </c>
      <c r="D423" s="3" t="s">
        <v>155</v>
      </c>
      <c r="E423" s="3" t="s">
        <v>701</v>
      </c>
      <c r="F423" s="5">
        <v>34389</v>
      </c>
      <c r="G423" s="14">
        <f t="shared" ca="1" si="6"/>
        <v>27.372602739726027</v>
      </c>
      <c r="H423" s="3" t="s">
        <v>609</v>
      </c>
      <c r="I423" t="str" cm="1">
        <f t="array" ref="I423">ADAPTAR(B423)&amp;ADAPTAR(C423)&amp;"_"&amp;ADAPTAR(E423)&amp;F423</f>
        <v>melanieastrid_vega34389</v>
      </c>
      <c r="J423" s="13">
        <v>1</v>
      </c>
      <c r="K423" t="str" cm="1">
        <f t="array" ref="K423">ADAPTAR(B423)&amp;"."&amp;ADAPTAR(D423)&amp;YEAR(F423)&amp;"@"&amp;VLOOKUP(J423,Dominios!$A$2:$B$30,2,FALSE)</f>
        <v>melanie.murillo1994@colamus.co</v>
      </c>
      <c r="L423" s="13">
        <v>1</v>
      </c>
      <c r="M423">
        <f>VLOOKUP(L423,Celulares!$A$2:$B$30,2,FALSE)</f>
        <v>3115114916</v>
      </c>
    </row>
    <row r="424" spans="1:13" ht="15.75" customHeight="1" x14ac:dyDescent="0.25">
      <c r="A424" t="s">
        <v>1859</v>
      </c>
      <c r="B424" s="3" t="s">
        <v>989</v>
      </c>
      <c r="C424" s="3" t="s">
        <v>951</v>
      </c>
      <c r="D424" s="3" t="s">
        <v>71</v>
      </c>
      <c r="E424" s="3" t="s">
        <v>731</v>
      </c>
      <c r="F424" s="5">
        <v>33430</v>
      </c>
      <c r="G424" s="14">
        <f t="shared" ca="1" si="6"/>
        <v>30</v>
      </c>
      <c r="H424" s="3" t="s">
        <v>1245</v>
      </c>
      <c r="I424" t="str" cm="1">
        <f t="array" ref="I424">ADAPTAR(B424)&amp;ADAPTAR(C424)&amp;"_"&amp;ADAPTAR(E424)&amp;F424</f>
        <v>reginalucrecia_meza33430</v>
      </c>
      <c r="J424" s="13">
        <v>2</v>
      </c>
      <c r="K424" t="str" cm="1">
        <f t="array" ref="K424">ADAPTAR(B424)&amp;"."&amp;ADAPTAR(D424)&amp;YEAR(F424)&amp;"@"&amp;VLOOKUP(J424,Dominios!$A$2:$B$30,2,FALSE)</f>
        <v>regina.munoz1991@colombiamail.co</v>
      </c>
      <c r="L424" s="13">
        <v>2</v>
      </c>
      <c r="M424">
        <f>VLOOKUP(L424,Celulares!$A$2:$B$30,2,FALSE)</f>
        <v>3115114911</v>
      </c>
    </row>
    <row r="425" spans="1:13" ht="15.75" customHeight="1" x14ac:dyDescent="0.25">
      <c r="A425" t="s">
        <v>1860</v>
      </c>
      <c r="B425" s="3" t="s">
        <v>21</v>
      </c>
      <c r="C425" s="3" t="s">
        <v>1047</v>
      </c>
      <c r="D425" s="3" t="s">
        <v>68</v>
      </c>
      <c r="E425" s="3" t="s">
        <v>797</v>
      </c>
      <c r="F425" s="5">
        <v>30298</v>
      </c>
      <c r="G425" s="14">
        <f t="shared" ca="1" si="6"/>
        <v>38.580821917808223</v>
      </c>
      <c r="H425" s="3" t="s">
        <v>1175</v>
      </c>
      <c r="I425" t="str" cm="1">
        <f t="array" ref="I425">ADAPTAR(B425)&amp;ADAPTAR(C425)&amp;"_"&amp;ADAPTAR(E425)&amp;F425</f>
        <v>catalinasther_ayala30298</v>
      </c>
      <c r="J425" s="13">
        <v>3</v>
      </c>
      <c r="K425" t="str" cm="1">
        <f t="array" ref="K425">ADAPTAR(B425)&amp;"."&amp;ADAPTAR(D425)&amp;YEAR(F425)&amp;"@"&amp;VLOOKUP(J425,Dominios!$A$2:$B$30,2,FALSE)</f>
        <v>catalina.sierra1982@diabunter.co</v>
      </c>
      <c r="L425" s="13">
        <v>3</v>
      </c>
      <c r="M425">
        <f>VLOOKUP(L425,Celulares!$A$2:$B$30,2,FALSE)</f>
        <v>3115114910</v>
      </c>
    </row>
    <row r="426" spans="1:13" ht="15.75" customHeight="1" x14ac:dyDescent="0.25">
      <c r="A426" t="s">
        <v>1861</v>
      </c>
      <c r="B426" s="3" t="s">
        <v>1048</v>
      </c>
      <c r="C426" s="3" t="s">
        <v>1049</v>
      </c>
      <c r="D426" s="3" t="s">
        <v>72</v>
      </c>
      <c r="E426" s="3" t="s">
        <v>686</v>
      </c>
      <c r="F426" s="5">
        <v>27785</v>
      </c>
      <c r="G426" s="14">
        <f t="shared" ca="1" si="6"/>
        <v>45.465753424657535</v>
      </c>
      <c r="H426" s="3" t="s">
        <v>1213</v>
      </c>
      <c r="I426" t="str" cm="1">
        <f t="array" ref="I426">ADAPTAR(B426)&amp;ADAPTAR(C426)&amp;"_"&amp;ADAPTAR(E426)&amp;F426</f>
        <v>ashleyjhonana_contreras27785</v>
      </c>
      <c r="J426" s="13">
        <v>4</v>
      </c>
      <c r="K426" t="str" cm="1">
        <f t="array" ref="K426">ADAPTAR(B426)&amp;"."&amp;ADAPTAR(D426)&amp;YEAR(F426)&amp;"@"&amp;VLOOKUP(J426,Dominios!$A$2:$B$30,2,FALSE)</f>
        <v>ashley.quiroga1976@ebrietas.co</v>
      </c>
      <c r="L426" s="13">
        <v>4</v>
      </c>
      <c r="M426">
        <f>VLOOKUP(L426,Celulares!$A$2:$B$30,2,FALSE)</f>
        <v>3115114909</v>
      </c>
    </row>
    <row r="427" spans="1:13" ht="15.75" customHeight="1" x14ac:dyDescent="0.25">
      <c r="A427" t="s">
        <v>1862</v>
      </c>
      <c r="B427" s="3" t="s">
        <v>984</v>
      </c>
      <c r="C427" s="3" t="s">
        <v>17</v>
      </c>
      <c r="D427" s="3" t="s">
        <v>265</v>
      </c>
      <c r="E427" s="3" t="s">
        <v>782</v>
      </c>
      <c r="F427" s="5">
        <v>35173</v>
      </c>
      <c r="G427" s="14">
        <f t="shared" ca="1" si="6"/>
        <v>25.224657534246575</v>
      </c>
      <c r="H427" s="3" t="s">
        <v>1220</v>
      </c>
      <c r="I427" t="str" cm="1">
        <f t="array" ref="I427">ADAPTAR(B427)&amp;ADAPTAR(C427)&amp;"_"&amp;ADAPTAR(E427)&amp;F427</f>
        <v>renatafernanda_forero35173</v>
      </c>
      <c r="J427" s="13">
        <v>5</v>
      </c>
      <c r="K427" t="str" cm="1">
        <f t="array" ref="K427">ADAPTAR(B427)&amp;"."&amp;ADAPTAR(D427)&amp;YEAR(F427)&amp;"@"&amp;VLOOKUP(J427,Dominios!$A$2:$B$30,2,FALSE)</f>
        <v>renata.osorio1996@elsinsonte.co</v>
      </c>
      <c r="L427" s="13">
        <v>5</v>
      </c>
      <c r="M427">
        <f>VLOOKUP(L427,Celulares!$A$2:$B$30,2,FALSE)</f>
        <v>3115060130</v>
      </c>
    </row>
    <row r="428" spans="1:13" ht="15.75" customHeight="1" x14ac:dyDescent="0.25">
      <c r="A428" t="s">
        <v>1863</v>
      </c>
      <c r="B428" s="3" t="s">
        <v>942</v>
      </c>
      <c r="C428" s="3" t="s">
        <v>993</v>
      </c>
      <c r="D428" s="3" t="s">
        <v>103</v>
      </c>
      <c r="E428" s="3" t="s">
        <v>805</v>
      </c>
      <c r="F428" s="5">
        <v>24145</v>
      </c>
      <c r="G428" s="14">
        <f t="shared" ca="1" si="6"/>
        <v>55.438356164383563</v>
      </c>
      <c r="H428" s="3" t="s">
        <v>1227</v>
      </c>
      <c r="I428" t="str" cm="1">
        <f t="array" ref="I428">ADAPTAR(B428)&amp;ADAPTAR(C428)&amp;"_"&amp;ADAPTAR(E428)&amp;F428</f>
        <v>miaagustina_narvaez24145</v>
      </c>
      <c r="J428" s="13">
        <v>6</v>
      </c>
      <c r="K428" t="str" cm="1">
        <f t="array" ref="K428">ADAPTAR(B428)&amp;"."&amp;ADAPTAR(D428)&amp;YEAR(F428)&amp;"@"&amp;VLOOKUP(J428,Dominios!$A$2:$B$30,2,FALSE)</f>
        <v>mia.oviedo1966@enigmaserver.co</v>
      </c>
      <c r="L428" s="13">
        <v>6</v>
      </c>
      <c r="M428">
        <f>VLOOKUP(L428,Celulares!$A$2:$B$30,2,FALSE)</f>
        <v>3115060125</v>
      </c>
    </row>
    <row r="429" spans="1:13" ht="15.75" customHeight="1" x14ac:dyDescent="0.25">
      <c r="A429" t="s">
        <v>1864</v>
      </c>
      <c r="B429" s="3" t="s">
        <v>985</v>
      </c>
      <c r="C429" s="3" t="s">
        <v>1011</v>
      </c>
      <c r="D429" s="3" t="s">
        <v>89</v>
      </c>
      <c r="E429" s="3" t="s">
        <v>834</v>
      </c>
      <c r="F429" s="5">
        <v>34219</v>
      </c>
      <c r="G429" s="14">
        <f t="shared" ca="1" si="6"/>
        <v>27.838356164383562</v>
      </c>
      <c r="H429" s="3" t="s">
        <v>1182</v>
      </c>
      <c r="I429" t="str" cm="1">
        <f t="array" ref="I429">ADAPTAR(B429)&amp;ADAPTAR(C429)&amp;"_"&amp;ADAPTAR(E429)&amp;F429</f>
        <v>abrilsalome_rosero34219</v>
      </c>
      <c r="J429" s="13">
        <v>7</v>
      </c>
      <c r="K429" t="str" cm="1">
        <f t="array" ref="K429">ADAPTAR(B429)&amp;"."&amp;ADAPTAR(D429)&amp;YEAR(F429)&amp;"@"&amp;VLOOKUP(J429,Dominios!$A$2:$B$30,2,FALSE)</f>
        <v>abril.gomez1993@hocknas.co</v>
      </c>
      <c r="L429" s="13">
        <v>7</v>
      </c>
      <c r="M429">
        <f>VLOOKUP(L429,Celulares!$A$2:$B$30,2,FALSE)</f>
        <v>3115060110</v>
      </c>
    </row>
    <row r="430" spans="1:13" ht="15.75" customHeight="1" x14ac:dyDescent="0.25">
      <c r="A430" t="s">
        <v>1865</v>
      </c>
      <c r="B430" s="3" t="s">
        <v>920</v>
      </c>
      <c r="C430" s="3" t="s">
        <v>1050</v>
      </c>
      <c r="D430" s="3" t="s">
        <v>68</v>
      </c>
      <c r="E430" s="3" t="s">
        <v>818</v>
      </c>
      <c r="F430" s="5">
        <v>30545</v>
      </c>
      <c r="G430" s="14">
        <f t="shared" ca="1" si="6"/>
        <v>37.904109589041099</v>
      </c>
      <c r="H430" s="3" t="s">
        <v>1251</v>
      </c>
      <c r="I430" t="str" cm="1">
        <f t="array" ref="I430">ADAPTAR(B430)&amp;ADAPTAR(C430)&amp;"_"&amp;ADAPTAR(E430)&amp;F430</f>
        <v>emmamagdalena_castano30545</v>
      </c>
      <c r="J430" s="13">
        <v>8</v>
      </c>
      <c r="K430" t="str" cm="1">
        <f t="array" ref="K430">ADAPTAR(B430)&amp;"."&amp;ADAPTAR(D430)&amp;YEAR(F430)&amp;"@"&amp;VLOOKUP(J430,Dominios!$A$2:$B$30,2,FALSE)</f>
        <v>emma.sierra1983@hostedoceri.co</v>
      </c>
      <c r="L430" s="13">
        <v>8</v>
      </c>
      <c r="M430">
        <f>VLOOKUP(L430,Celulares!$A$2:$B$30,2,FALSE)</f>
        <v>3115060091</v>
      </c>
    </row>
    <row r="431" spans="1:13" ht="15.75" customHeight="1" x14ac:dyDescent="0.25">
      <c r="A431" t="s">
        <v>1866</v>
      </c>
      <c r="B431" s="3" t="s">
        <v>624</v>
      </c>
      <c r="C431" s="3" t="s">
        <v>13</v>
      </c>
      <c r="D431" s="3" t="s">
        <v>47</v>
      </c>
      <c r="E431" s="3" t="s">
        <v>278</v>
      </c>
      <c r="F431" s="5">
        <v>26375</v>
      </c>
      <c r="G431" s="14">
        <f t="shared" ca="1" si="6"/>
        <v>49.328767123287669</v>
      </c>
      <c r="H431" s="3" t="s">
        <v>1180</v>
      </c>
      <c r="I431" t="str" cm="1">
        <f t="array" ref="I431">ADAPTAR(B431)&amp;ADAPTAR(C431)&amp;"_"&amp;ADAPTAR(E431)&amp;F431</f>
        <v>emiliaandrea_cruz26375</v>
      </c>
      <c r="J431" s="13">
        <v>9</v>
      </c>
      <c r="K431" t="str" cm="1">
        <f t="array" ref="K431">ADAPTAR(B431)&amp;"."&amp;ADAPTAR(D431)&amp;YEAR(F431)&amp;"@"&amp;VLOOKUP(J431,Dominios!$A$2:$B$30,2,FALSE)</f>
        <v>emilia.gomez1972@libertas.com.co</v>
      </c>
      <c r="L431" s="13">
        <v>9</v>
      </c>
      <c r="M431">
        <f>VLOOKUP(L431,Celulares!$A$2:$B$30,2,FALSE)</f>
        <v>3115060080</v>
      </c>
    </row>
    <row r="432" spans="1:13" ht="15.75" customHeight="1" x14ac:dyDescent="0.25">
      <c r="A432" t="s">
        <v>1867</v>
      </c>
      <c r="B432" s="3" t="s">
        <v>22</v>
      </c>
      <c r="C432" s="3" t="s">
        <v>1051</v>
      </c>
      <c r="D432" s="3" t="s">
        <v>40</v>
      </c>
      <c r="E432" s="3" t="s">
        <v>298</v>
      </c>
      <c r="F432" s="5">
        <v>36211</v>
      </c>
      <c r="G432" s="14">
        <f t="shared" ca="1" si="6"/>
        <v>22.38082191780822</v>
      </c>
      <c r="H432" s="3" t="s">
        <v>1183</v>
      </c>
      <c r="I432" t="str" cm="1">
        <f t="array" ref="I432">ADAPTAR(B432)&amp;ADAPTAR(C432)&amp;"_"&amp;ADAPTAR(E432)&amp;F432</f>
        <v>jazminestrella_jaimes36211</v>
      </c>
      <c r="J432" s="13">
        <v>10</v>
      </c>
      <c r="K432" t="str" cm="1">
        <f t="array" ref="K432">ADAPTAR(B432)&amp;"."&amp;ADAPTAR(D432)&amp;YEAR(F432)&amp;"@"&amp;VLOOKUP(J432,Dominios!$A$2:$B$30,2,FALSE)</f>
        <v>jazmin.espitia1999@nascitur.com.co</v>
      </c>
      <c r="L432" s="13">
        <v>10</v>
      </c>
      <c r="M432">
        <f>VLOOKUP(L432,Celulares!$A$2:$B$30,2,FALSE)</f>
        <v>3115114385</v>
      </c>
    </row>
    <row r="433" spans="1:13" ht="15.75" customHeight="1" x14ac:dyDescent="0.25">
      <c r="A433" t="s">
        <v>1868</v>
      </c>
      <c r="B433" s="3" t="s">
        <v>1052</v>
      </c>
      <c r="C433" s="3" t="s">
        <v>50</v>
      </c>
      <c r="D433" s="3" t="s">
        <v>276</v>
      </c>
      <c r="E433" s="3" t="s">
        <v>816</v>
      </c>
      <c r="F433" s="5">
        <v>34173</v>
      </c>
      <c r="G433" s="14">
        <f t="shared" ca="1" si="6"/>
        <v>27.964383561643835</v>
      </c>
      <c r="H433" s="3" t="s">
        <v>1219</v>
      </c>
      <c r="I433" t="str" cm="1">
        <f t="array" ref="I433">ADAPTAR(B433)&amp;ADAPTAR(C433)&amp;"_"&amp;ADAPTAR(E433)&amp;F433</f>
        <v>juanitamaria_camargo34173</v>
      </c>
      <c r="J433" s="13">
        <v>11</v>
      </c>
      <c r="K433" t="str" cm="1">
        <f t="array" ref="K433">ADAPTAR(B433)&amp;"."&amp;ADAPTAR(D433)&amp;YEAR(F433)&amp;"@"&amp;VLOOKUP(J433,Dominios!$A$2:$B$30,2,FALSE)</f>
        <v>juanita.garzon1993@nemesis.ml</v>
      </c>
      <c r="L433" s="13">
        <v>11</v>
      </c>
      <c r="M433">
        <f>VLOOKUP(L433,Celulares!$A$2:$B$30,2,FALSE)</f>
        <v>3115114360</v>
      </c>
    </row>
    <row r="434" spans="1:13" ht="15.75" customHeight="1" x14ac:dyDescent="0.25">
      <c r="A434" t="s">
        <v>1869</v>
      </c>
      <c r="B434" s="3" t="s">
        <v>1053</v>
      </c>
      <c r="C434" s="3" t="s">
        <v>1005</v>
      </c>
      <c r="D434" s="3" t="s">
        <v>145</v>
      </c>
      <c r="E434" s="3" t="s">
        <v>779</v>
      </c>
      <c r="F434" s="5">
        <v>31313</v>
      </c>
      <c r="G434" s="14">
        <f t="shared" ca="1" si="6"/>
        <v>35.799999999999997</v>
      </c>
      <c r="H434" s="3" t="s">
        <v>569</v>
      </c>
      <c r="I434" t="str" cm="1">
        <f t="array" ref="I434">ADAPTAR(B434)&amp;ADAPTAR(C434)&amp;"_"&amp;ADAPTAR(E434)&amp;F434</f>
        <v>brianasamanta_valencia31313</v>
      </c>
      <c r="J434" s="13">
        <v>12</v>
      </c>
      <c r="K434" t="str" cm="1">
        <f t="array" ref="K434">ADAPTAR(B434)&amp;"."&amp;ADAPTAR(D434)&amp;YEAR(F434)&amp;"@"&amp;VLOOKUP(J434,Dominios!$A$2:$B$30,2,FALSE)</f>
        <v>briana.acosta1985@nunquam.com.co</v>
      </c>
      <c r="L434" s="13">
        <v>12</v>
      </c>
      <c r="M434">
        <f>VLOOKUP(L434,Celulares!$A$2:$B$30,2,FALSE)</f>
        <v>3115093653</v>
      </c>
    </row>
    <row r="435" spans="1:13" ht="15.75" customHeight="1" x14ac:dyDescent="0.25">
      <c r="A435" t="s">
        <v>1870</v>
      </c>
      <c r="B435" s="3" t="s">
        <v>23</v>
      </c>
      <c r="C435" s="3" t="s">
        <v>960</v>
      </c>
      <c r="D435" s="3" t="s">
        <v>73</v>
      </c>
      <c r="E435" s="3" t="s">
        <v>475</v>
      </c>
      <c r="F435" s="5">
        <v>34297</v>
      </c>
      <c r="G435" s="14">
        <f t="shared" ca="1" si="6"/>
        <v>27.624657534246577</v>
      </c>
      <c r="H435" s="3" t="s">
        <v>1199</v>
      </c>
      <c r="I435" t="str" cm="1">
        <f t="array" ref="I435">ADAPTAR(B435)&amp;ADAPTAR(C435)&amp;"_"&amp;ADAPTAR(E435)&amp;F435</f>
        <v>vanessadel pilar_caicedo34297</v>
      </c>
      <c r="J435" s="13">
        <v>13</v>
      </c>
      <c r="K435" t="str" cm="1">
        <f t="array" ref="K435">ADAPTAR(B435)&amp;"."&amp;ADAPTAR(D435)&amp;YEAR(F435)&amp;"@"&amp;VLOOKUP(J435,Dominios!$A$2:$B$30,2,FALSE)</f>
        <v>vanessa.delgado1993@sempiternam.co</v>
      </c>
      <c r="L435" s="13">
        <v>13</v>
      </c>
      <c r="M435">
        <f>VLOOKUP(L435,Celulares!$A$2:$B$30,2,FALSE)</f>
        <v>3115093598</v>
      </c>
    </row>
    <row r="436" spans="1:13" ht="15.75" customHeight="1" x14ac:dyDescent="0.25">
      <c r="A436" t="s">
        <v>1871</v>
      </c>
      <c r="B436" s="3" t="s">
        <v>482</v>
      </c>
      <c r="C436" s="3" t="s">
        <v>1054</v>
      </c>
      <c r="D436" s="3" t="s">
        <v>69</v>
      </c>
      <c r="E436" s="3" t="s">
        <v>680</v>
      </c>
      <c r="F436" s="5">
        <v>34758</v>
      </c>
      <c r="G436" s="14">
        <f t="shared" ca="1" si="6"/>
        <v>26.361643835616437</v>
      </c>
      <c r="H436" s="3" t="s">
        <v>1254</v>
      </c>
      <c r="I436" t="str" cm="1">
        <f t="array" ref="I436">ADAPTAR(B436)&amp;ADAPTAR(C436)&amp;"_"&amp;ADAPTAR(E436)&amp;F436</f>
        <v>antoniade jesus_garzon34758</v>
      </c>
      <c r="J436" s="13">
        <v>14</v>
      </c>
      <c r="K436" t="str" cm="1">
        <f t="array" ref="K436">ADAPTAR(B436)&amp;"."&amp;ADAPTAR(D436)&amp;YEAR(F436)&amp;"@"&amp;VLOOKUP(J436,Dominios!$A$2:$B$30,2,FALSE)</f>
        <v>antonia.fajardo1995@sk9.co</v>
      </c>
      <c r="L436" s="13">
        <v>14</v>
      </c>
      <c r="M436">
        <f>VLOOKUP(L436,Celulares!$A$2:$B$30,2,FALSE)</f>
        <v>3115093583</v>
      </c>
    </row>
    <row r="437" spans="1:13" ht="15.75" customHeight="1" x14ac:dyDescent="0.25">
      <c r="A437" t="s">
        <v>1872</v>
      </c>
      <c r="B437" s="3" t="s">
        <v>24</v>
      </c>
      <c r="C437" s="3" t="s">
        <v>7</v>
      </c>
      <c r="D437" s="3" t="s">
        <v>79</v>
      </c>
      <c r="E437" s="3" t="s">
        <v>727</v>
      </c>
      <c r="F437" s="5">
        <v>30494</v>
      </c>
      <c r="G437" s="14">
        <f t="shared" ca="1" si="6"/>
        <v>38.043835616438358</v>
      </c>
      <c r="H437" s="3" t="s">
        <v>569</v>
      </c>
      <c r="I437" t="str" cm="1">
        <f t="array" ref="I437">ADAPTAR(B437)&amp;ADAPTAR(C437)&amp;"_"&amp;ADAPTAR(E437)&amp;F437</f>
        <v>lauracamila_nunez30494</v>
      </c>
      <c r="J437" s="13">
        <v>15</v>
      </c>
      <c r="K437" t="str" cm="1">
        <f t="array" ref="K437">ADAPTAR(B437)&amp;"."&amp;ADAPTAR(D437)&amp;YEAR(F437)&amp;"@"&amp;VLOOKUP(J437,Dominios!$A$2:$B$30,2,FALSE)</f>
        <v>laura.zuluaga1983@socialmediacolombia.com.co</v>
      </c>
      <c r="L437" s="13">
        <v>15</v>
      </c>
      <c r="M437">
        <f>VLOOKUP(L437,Celulares!$A$2:$B$30,2,FALSE)</f>
        <v>3115092386</v>
      </c>
    </row>
    <row r="438" spans="1:13" ht="15.75" customHeight="1" x14ac:dyDescent="0.25">
      <c r="A438" t="s">
        <v>1873</v>
      </c>
      <c r="B438" s="3" t="s">
        <v>1021</v>
      </c>
      <c r="C438" s="3" t="s">
        <v>1035</v>
      </c>
      <c r="D438" s="3" t="s">
        <v>173</v>
      </c>
      <c r="E438" s="3" t="s">
        <v>683</v>
      </c>
      <c r="F438" s="5">
        <v>32718</v>
      </c>
      <c r="G438" s="14">
        <f t="shared" ca="1" si="6"/>
        <v>31.950684931506849</v>
      </c>
      <c r="H438" s="3" t="s">
        <v>1172</v>
      </c>
      <c r="I438" t="str" cm="1">
        <f t="array" ref="I438">ADAPTAR(B438)&amp;ADAPTAR(C438)&amp;"_"&amp;ADAPTAR(E438)&amp;F438</f>
        <v>antonellagiseth_agudelo32718</v>
      </c>
      <c r="J438" s="13">
        <v>16</v>
      </c>
      <c r="K438" t="str" cm="1">
        <f t="array" ref="K438">ADAPTAR(B438)&amp;"."&amp;ADAPTAR(D438)&amp;YEAR(F438)&amp;"@"&amp;VLOOKUP(J438,Dominios!$A$2:$B$30,2,FALSE)</f>
        <v>antonella.alfaro1989@tecnicoensistemas.com.co</v>
      </c>
      <c r="L438" s="13">
        <v>16</v>
      </c>
      <c r="M438">
        <f>VLOOKUP(L438,Celulares!$A$2:$B$30,2,FALSE)</f>
        <v>3115092375</v>
      </c>
    </row>
    <row r="439" spans="1:13" ht="15.75" customHeight="1" x14ac:dyDescent="0.25">
      <c r="A439" t="s">
        <v>1874</v>
      </c>
      <c r="B439" s="3" t="s">
        <v>971</v>
      </c>
      <c r="C439" s="3" t="s">
        <v>17</v>
      </c>
      <c r="D439" s="3" t="s">
        <v>83</v>
      </c>
      <c r="E439" s="3" t="s">
        <v>837</v>
      </c>
      <c r="F439" s="5">
        <v>27860</v>
      </c>
      <c r="G439" s="14">
        <f t="shared" ca="1" si="6"/>
        <v>45.260273972602739</v>
      </c>
      <c r="H439" s="3" t="s">
        <v>1173</v>
      </c>
      <c r="I439" t="str" cm="1">
        <f t="array" ref="I439">ADAPTAR(B439)&amp;ADAPTAR(C439)&amp;"_"&amp;ADAPTAR(E439)&amp;F439</f>
        <v>lunafernanda_sanchez27860</v>
      </c>
      <c r="J439" s="13">
        <v>17</v>
      </c>
      <c r="K439" t="str" cm="1">
        <f t="array" ref="K439">ADAPTAR(B439)&amp;"."&amp;ADAPTAR(D439)&amp;YEAR(F439)&amp;"@"&amp;VLOOKUP(J439,Dominios!$A$2:$B$30,2,FALSE)</f>
        <v>luna.jurado1976@totum.com.co</v>
      </c>
      <c r="L439" s="13">
        <v>17</v>
      </c>
      <c r="M439">
        <f>VLOOKUP(L439,Celulares!$A$2:$B$30,2,FALSE)</f>
        <v>3115092369</v>
      </c>
    </row>
    <row r="440" spans="1:13" ht="15.75" customHeight="1" x14ac:dyDescent="0.25">
      <c r="A440" t="s">
        <v>1875</v>
      </c>
      <c r="B440" s="3" t="s">
        <v>1055</v>
      </c>
      <c r="C440" s="3" t="s">
        <v>134</v>
      </c>
      <c r="D440" s="3" t="s">
        <v>131</v>
      </c>
      <c r="E440" s="3" t="s">
        <v>838</v>
      </c>
      <c r="F440" s="5">
        <v>27719</v>
      </c>
      <c r="G440" s="14">
        <f t="shared" ca="1" si="6"/>
        <v>45.646575342465752</v>
      </c>
      <c r="H440" s="3" t="s">
        <v>1199</v>
      </c>
      <c r="I440" t="str" cm="1">
        <f t="array" ref="I440">ADAPTAR(B440)&amp;ADAPTAR(C440)&amp;"_"&amp;ADAPTAR(E440)&amp;F440</f>
        <v>carlalorena_tovar27719</v>
      </c>
      <c r="J440" s="13">
        <v>18</v>
      </c>
      <c r="K440" t="str" cm="1">
        <f t="array" ref="K440">ADAPTAR(B440)&amp;"."&amp;ADAPTAR(D440)&amp;YEAR(F440)&amp;"@"&amp;VLOOKUP(J440,Dominios!$A$2:$B$30,2,FALSE)</f>
        <v>carla.dayana1975@voipcolombia.co</v>
      </c>
      <c r="L440" s="13">
        <v>18</v>
      </c>
      <c r="M440">
        <f>VLOOKUP(L440,Celulares!$A$2:$B$30,2,FALSE)</f>
        <v>3115092360</v>
      </c>
    </row>
    <row r="441" spans="1:13" ht="15.75" customHeight="1" x14ac:dyDescent="0.25">
      <c r="A441" t="s">
        <v>1876</v>
      </c>
      <c r="B441" s="3" t="s">
        <v>1056</v>
      </c>
      <c r="C441" s="3" t="s">
        <v>616</v>
      </c>
      <c r="D441" s="3" t="s">
        <v>279</v>
      </c>
      <c r="E441" s="3" t="s">
        <v>755</v>
      </c>
      <c r="F441" s="5">
        <v>31885</v>
      </c>
      <c r="G441" s="14">
        <f t="shared" ca="1" si="6"/>
        <v>34.232876712328768</v>
      </c>
      <c r="H441" s="3" t="s">
        <v>575</v>
      </c>
      <c r="I441" t="str" cm="1">
        <f t="array" ref="I441">ADAPTAR(B441)&amp;ADAPTAR(C441)&amp;"_"&amp;ADAPTAR(E441)&amp;F441</f>
        <v>allisonjuliana_bolanos31885</v>
      </c>
      <c r="J441" s="13">
        <v>19</v>
      </c>
      <c r="K441" t="str" cm="1">
        <f t="array" ref="K441">ADAPTAR(B441)&amp;"."&amp;ADAPTAR(D441)&amp;YEAR(F441)&amp;"@"&amp;VLOOKUP(J441,Dominios!$A$2:$B$30,2,FALSE)</f>
        <v>allison.nino1987@vpncolombia.com.co</v>
      </c>
      <c r="L441" s="13">
        <v>19</v>
      </c>
      <c r="M441">
        <f>VLOOKUP(L441,Celulares!$A$2:$B$30,2,FALSE)</f>
        <v>3115092352</v>
      </c>
    </row>
    <row r="442" spans="1:13" ht="15.75" customHeight="1" x14ac:dyDescent="0.25">
      <c r="A442" t="s">
        <v>1877</v>
      </c>
      <c r="B442" s="3" t="s">
        <v>636</v>
      </c>
      <c r="C442" s="3" t="s">
        <v>1057</v>
      </c>
      <c r="D442" s="3" t="s">
        <v>144</v>
      </c>
      <c r="E442" s="3" t="s">
        <v>747</v>
      </c>
      <c r="F442" s="5">
        <v>35831</v>
      </c>
      <c r="G442" s="14">
        <f t="shared" ca="1" si="6"/>
        <v>23.421917808219177</v>
      </c>
      <c r="H442" s="3" t="s">
        <v>1178</v>
      </c>
      <c r="I442" t="str" cm="1">
        <f t="array" ref="I442">ADAPTAR(B442)&amp;ADAPTAR(C442)&amp;"_"&amp;ADAPTAR(E442)&amp;F442</f>
        <v>monserratyuliet_rojas35831</v>
      </c>
      <c r="J442" s="13">
        <v>0</v>
      </c>
      <c r="K442" t="str" cm="1">
        <f t="array" ref="K442">ADAPTAR(B442)&amp;"."&amp;ADAPTAR(D442)&amp;YEAR(F442)&amp;"@"&amp;VLOOKUP(J442,Dominios!$A$2:$B$30,2,FALSE)</f>
        <v>monserrat.marin1998@auribus.com.co</v>
      </c>
      <c r="L442" s="13">
        <v>0</v>
      </c>
      <c r="M442">
        <f>VLOOKUP(L442,Celulares!$A$2:$B$30,2,FALSE)</f>
        <v>3115114930</v>
      </c>
    </row>
    <row r="443" spans="1:13" ht="15.75" customHeight="1" x14ac:dyDescent="0.25">
      <c r="A443" t="s">
        <v>1878</v>
      </c>
      <c r="B443" s="3" t="s">
        <v>1058</v>
      </c>
      <c r="C443" s="3" t="s">
        <v>963</v>
      </c>
      <c r="D443" s="3" t="s">
        <v>251</v>
      </c>
      <c r="E443" s="3" t="s">
        <v>682</v>
      </c>
      <c r="F443" s="5">
        <v>31959</v>
      </c>
      <c r="G443" s="14">
        <f t="shared" ca="1" si="6"/>
        <v>34.030136986301372</v>
      </c>
      <c r="H443" s="3" t="s">
        <v>1191</v>
      </c>
      <c r="I443" t="str" cm="1">
        <f t="array" ref="I443">ADAPTAR(B443)&amp;ADAPTAR(C443)&amp;"_"&amp;ADAPTAR(E443)&amp;F443</f>
        <v>paulinmichele_orozco31959</v>
      </c>
      <c r="J443" s="13">
        <v>1</v>
      </c>
      <c r="K443" t="str" cm="1">
        <f t="array" ref="K443">ADAPTAR(B443)&amp;"."&amp;ADAPTAR(D443)&amp;YEAR(F443)&amp;"@"&amp;VLOOKUP(J443,Dominios!$A$2:$B$30,2,FALSE)</f>
        <v>paulin.aldana1987@colamus.co</v>
      </c>
      <c r="L443" s="13">
        <v>1</v>
      </c>
      <c r="M443">
        <f>VLOOKUP(L443,Celulares!$A$2:$B$30,2,FALSE)</f>
        <v>3115114916</v>
      </c>
    </row>
    <row r="444" spans="1:13" ht="15.75" customHeight="1" x14ac:dyDescent="0.25">
      <c r="A444" t="s">
        <v>1879</v>
      </c>
      <c r="B444" s="3" t="s">
        <v>25</v>
      </c>
      <c r="C444" s="3" t="s">
        <v>195</v>
      </c>
      <c r="D444" s="3" t="s">
        <v>153</v>
      </c>
      <c r="E444" s="3" t="s">
        <v>297</v>
      </c>
      <c r="F444" s="5">
        <v>27353</v>
      </c>
      <c r="G444" s="14">
        <f t="shared" ca="1" si="6"/>
        <v>46.649315068493152</v>
      </c>
      <c r="H444" s="3" t="s">
        <v>609</v>
      </c>
      <c r="I444" t="str" cm="1">
        <f t="array" ref="I444">ADAPTAR(B444)&amp;ADAPTAR(C444)&amp;"_"&amp;ADAPTAR(E444)&amp;F444</f>
        <v>isabelpatricia_trujillo27353</v>
      </c>
      <c r="J444" s="13">
        <v>2</v>
      </c>
      <c r="K444" t="str" cm="1">
        <f t="array" ref="K444">ADAPTAR(B444)&amp;"."&amp;ADAPTAR(D444)&amp;YEAR(F444)&amp;"@"&amp;VLOOKUP(J444,Dominios!$A$2:$B$30,2,FALSE)</f>
        <v>isabel.vargas1974@colombiamail.co</v>
      </c>
      <c r="L444" s="13">
        <v>2</v>
      </c>
      <c r="M444">
        <f>VLOOKUP(L444,Celulares!$A$2:$B$30,2,FALSE)</f>
        <v>3115114911</v>
      </c>
    </row>
    <row r="445" spans="1:13" ht="15.75" customHeight="1" x14ac:dyDescent="0.25">
      <c r="A445" t="s">
        <v>1880</v>
      </c>
      <c r="B445" s="3" t="s">
        <v>616</v>
      </c>
      <c r="C445" s="3" t="s">
        <v>897</v>
      </c>
      <c r="D445" s="3" t="s">
        <v>166</v>
      </c>
      <c r="E445" s="3" t="s">
        <v>244</v>
      </c>
      <c r="F445" s="5">
        <v>32383</v>
      </c>
      <c r="G445" s="14">
        <f t="shared" ca="1" si="6"/>
        <v>32.868493150684934</v>
      </c>
      <c r="H445" s="3" t="s">
        <v>1170</v>
      </c>
      <c r="I445" t="str" cm="1">
        <f t="array" ref="I445">ADAPTAR(B445)&amp;ADAPTAR(C445)&amp;"_"&amp;ADAPTAR(E445)&amp;F445</f>
        <v>julianamargarita_correa32383</v>
      </c>
      <c r="J445" s="13">
        <v>3</v>
      </c>
      <c r="K445" t="str" cm="1">
        <f t="array" ref="K445">ADAPTAR(B445)&amp;"."&amp;ADAPTAR(D445)&amp;YEAR(F445)&amp;"@"&amp;VLOOKUP(J445,Dominios!$A$2:$B$30,2,FALSE)</f>
        <v>juliana.sarmiento1988@diabunter.co</v>
      </c>
      <c r="L445" s="13">
        <v>3</v>
      </c>
      <c r="M445">
        <f>VLOOKUP(L445,Celulares!$A$2:$B$30,2,FALSE)</f>
        <v>3115114910</v>
      </c>
    </row>
    <row r="446" spans="1:13" ht="15.75" customHeight="1" x14ac:dyDescent="0.25">
      <c r="A446" t="s">
        <v>1881</v>
      </c>
      <c r="B446" s="3" t="s">
        <v>1059</v>
      </c>
      <c r="C446" s="3" t="s">
        <v>1060</v>
      </c>
      <c r="D446" s="3" t="s">
        <v>121</v>
      </c>
      <c r="E446" s="3" t="s">
        <v>42</v>
      </c>
      <c r="F446" s="5">
        <v>37385</v>
      </c>
      <c r="G446" s="14">
        <f t="shared" ca="1" si="6"/>
        <v>19.164383561643834</v>
      </c>
      <c r="H446" s="3" t="s">
        <v>580</v>
      </c>
      <c r="I446" t="str" cm="1">
        <f t="array" ref="I446">ADAPTAR(B446)&amp;ADAPTAR(C446)&amp;"_"&amp;ADAPTAR(E446)&amp;F446</f>
        <v>valerieliliam_buitrago37385</v>
      </c>
      <c r="J446" s="13">
        <v>4</v>
      </c>
      <c r="K446" t="str" cm="1">
        <f t="array" ref="K446">ADAPTAR(B446)&amp;"."&amp;ADAPTAR(D446)&amp;YEAR(F446)&amp;"@"&amp;VLOOKUP(J446,Dominios!$A$2:$B$30,2,FALSE)</f>
        <v>valerie.segura2002@ebrietas.co</v>
      </c>
      <c r="L446" s="13">
        <v>4</v>
      </c>
      <c r="M446">
        <f>VLOOKUP(L446,Celulares!$A$2:$B$30,2,FALSE)</f>
        <v>3115114909</v>
      </c>
    </row>
    <row r="447" spans="1:13" ht="15.75" customHeight="1" x14ac:dyDescent="0.25">
      <c r="A447" t="s">
        <v>1882</v>
      </c>
      <c r="B447" s="3" t="s">
        <v>1061</v>
      </c>
      <c r="C447" s="3" t="s">
        <v>1062</v>
      </c>
      <c r="D447" s="3" t="s">
        <v>104</v>
      </c>
      <c r="E447" s="3" t="s">
        <v>474</v>
      </c>
      <c r="F447" s="5">
        <v>26411</v>
      </c>
      <c r="G447" s="14">
        <f t="shared" ca="1" si="6"/>
        <v>49.230136986301368</v>
      </c>
      <c r="H447" s="3" t="s">
        <v>1181</v>
      </c>
      <c r="I447" t="str" cm="1">
        <f t="array" ref="I447">ADAPTAR(B447)&amp;ADAPTAR(C447)&amp;"_"&amp;ADAPTAR(E447)&amp;F447</f>
        <v>florenciaestella_villa26411</v>
      </c>
      <c r="J447" s="13">
        <v>5</v>
      </c>
      <c r="K447" t="str" cm="1">
        <f t="array" ref="K447">ADAPTAR(B447)&amp;"."&amp;ADAPTAR(D447)&amp;YEAR(F447)&amp;"@"&amp;VLOOKUP(J447,Dominios!$A$2:$B$30,2,FALSE)</f>
        <v>florencia.varela1972@elsinsonte.co</v>
      </c>
      <c r="L447" s="13">
        <v>5</v>
      </c>
      <c r="M447">
        <f>VLOOKUP(L447,Celulares!$A$2:$B$30,2,FALSE)</f>
        <v>3115060130</v>
      </c>
    </row>
    <row r="448" spans="1:13" ht="15.75" customHeight="1" x14ac:dyDescent="0.25">
      <c r="A448" t="s">
        <v>1883</v>
      </c>
      <c r="B448" s="3" t="s">
        <v>26</v>
      </c>
      <c r="C448" s="3" t="s">
        <v>7</v>
      </c>
      <c r="D448" s="3" t="s">
        <v>40</v>
      </c>
      <c r="E448" s="3" t="s">
        <v>817</v>
      </c>
      <c r="F448" s="5">
        <v>34173</v>
      </c>
      <c r="G448" s="14">
        <f t="shared" ca="1" si="6"/>
        <v>27.964383561643835</v>
      </c>
      <c r="H448" s="3" t="s">
        <v>1270</v>
      </c>
      <c r="I448" t="str" cm="1">
        <f t="array" ref="I448">ADAPTAR(B448)&amp;ADAPTAR(C448)&amp;"_"&amp;ADAPTAR(E448)&amp;F448</f>
        <v>adrianacamila_castillo34173</v>
      </c>
      <c r="J448" s="13">
        <v>6</v>
      </c>
      <c r="K448" t="str" cm="1">
        <f t="array" ref="K448">ADAPTAR(B448)&amp;"."&amp;ADAPTAR(D448)&amp;YEAR(F448)&amp;"@"&amp;VLOOKUP(J448,Dominios!$A$2:$B$30,2,FALSE)</f>
        <v>adriana.espitia1993@enigmaserver.co</v>
      </c>
      <c r="L448" s="13">
        <v>6</v>
      </c>
      <c r="M448">
        <f>VLOOKUP(L448,Celulares!$A$2:$B$30,2,FALSE)</f>
        <v>3115060125</v>
      </c>
    </row>
    <row r="449" spans="1:13" ht="15.75" customHeight="1" x14ac:dyDescent="0.25">
      <c r="A449" t="s">
        <v>1884</v>
      </c>
      <c r="B449" s="3" t="s">
        <v>1063</v>
      </c>
      <c r="C449" s="3" t="s">
        <v>31</v>
      </c>
      <c r="D449" s="3" t="s">
        <v>291</v>
      </c>
      <c r="E449" s="3" t="s">
        <v>766</v>
      </c>
      <c r="F449" s="5">
        <v>28170</v>
      </c>
      <c r="G449" s="14">
        <f t="shared" ca="1" si="6"/>
        <v>44.410958904109592</v>
      </c>
      <c r="H449" s="3" t="s">
        <v>1271</v>
      </c>
      <c r="I449" t="str" cm="1">
        <f t="array" ref="I449">ADAPTAR(B449)&amp;ADAPTAR(C449)&amp;"_"&amp;ADAPTAR(E449)&amp;F449</f>
        <v>naomipaola_melo28170</v>
      </c>
      <c r="J449" s="13">
        <v>7</v>
      </c>
      <c r="K449" t="str" cm="1">
        <f t="array" ref="K449">ADAPTAR(B449)&amp;"."&amp;ADAPTAR(D449)&amp;YEAR(F449)&amp;"@"&amp;VLOOKUP(J449,Dominios!$A$2:$B$30,2,FALSE)</f>
        <v>naomi.cely1977@hocknas.co</v>
      </c>
      <c r="L449" s="13">
        <v>7</v>
      </c>
      <c r="M449">
        <f>VLOOKUP(L449,Celulares!$A$2:$B$30,2,FALSE)</f>
        <v>3115060110</v>
      </c>
    </row>
    <row r="450" spans="1:13" ht="15.75" customHeight="1" x14ac:dyDescent="0.25">
      <c r="A450" t="s">
        <v>1885</v>
      </c>
      <c r="B450" s="3" t="s">
        <v>27</v>
      </c>
      <c r="C450" s="3" t="s">
        <v>306</v>
      </c>
      <c r="D450" s="3" t="s">
        <v>180</v>
      </c>
      <c r="E450" s="3" t="s">
        <v>807</v>
      </c>
      <c r="F450" s="5">
        <v>33078</v>
      </c>
      <c r="G450" s="14">
        <f t="shared" ca="1" si="6"/>
        <v>30.964383561643835</v>
      </c>
      <c r="H450" s="3" t="s">
        <v>1272</v>
      </c>
      <c r="I450" t="str" cm="1">
        <f t="array" ref="I450">ADAPTAR(B450)&amp;ADAPTAR(C450)&amp;"_"&amp;ADAPTAR(E450)&amp;F450</f>
        <v>amandasofia_ariza33078</v>
      </c>
      <c r="J450" s="13">
        <v>8</v>
      </c>
      <c r="K450" t="str" cm="1">
        <f t="array" ref="K450">ADAPTAR(B450)&amp;"."&amp;ADAPTAR(D450)&amp;YEAR(F450)&amp;"@"&amp;VLOOKUP(J450,Dominios!$A$2:$B$30,2,FALSE)</f>
        <v>amanda.murcia1990@hostedoceri.co</v>
      </c>
      <c r="L450" s="13">
        <v>8</v>
      </c>
      <c r="M450">
        <f>VLOOKUP(L450,Celulares!$A$2:$B$30,2,FALSE)</f>
        <v>3115060091</v>
      </c>
    </row>
    <row r="451" spans="1:13" ht="15.75" customHeight="1" x14ac:dyDescent="0.25">
      <c r="A451" t="s">
        <v>1886</v>
      </c>
      <c r="B451" s="3" t="s">
        <v>1064</v>
      </c>
      <c r="C451" s="3" t="s">
        <v>13</v>
      </c>
      <c r="D451" s="3" t="s">
        <v>171</v>
      </c>
      <c r="E451" s="3" t="s">
        <v>710</v>
      </c>
      <c r="F451" s="5">
        <v>31844</v>
      </c>
      <c r="G451" s="14">
        <f t="shared" ref="G451:G514" ca="1" si="7">(TODAY()-F451)/365</f>
        <v>34.345205479452055</v>
      </c>
      <c r="H451" s="3" t="s">
        <v>1183</v>
      </c>
      <c r="I451" t="str" cm="1">
        <f t="array" ref="I451">ADAPTAR(B451)&amp;ADAPTAR(C451)&amp;"_"&amp;ADAPTAR(E451)&amp;F451</f>
        <v>arianaandrea_franco31844</v>
      </c>
      <c r="J451" s="13">
        <v>9</v>
      </c>
      <c r="K451" t="str" cm="1">
        <f t="array" ref="K451">ADAPTAR(B451)&amp;"."&amp;ADAPTAR(D451)&amp;YEAR(F451)&amp;"@"&amp;VLOOKUP(J451,Dominios!$A$2:$B$30,2,FALSE)</f>
        <v>ariana.ortegon1987@libertas.com.co</v>
      </c>
      <c r="L451" s="13">
        <v>9</v>
      </c>
      <c r="M451">
        <f>VLOOKUP(L451,Celulares!$A$2:$B$30,2,FALSE)</f>
        <v>3115060080</v>
      </c>
    </row>
    <row r="452" spans="1:13" ht="15.75" customHeight="1" x14ac:dyDescent="0.25">
      <c r="A452" t="s">
        <v>1887</v>
      </c>
      <c r="B452" s="3" t="s">
        <v>1065</v>
      </c>
      <c r="C452" s="3" t="s">
        <v>896</v>
      </c>
      <c r="D452" s="3" t="s">
        <v>183</v>
      </c>
      <c r="E452" s="3" t="s">
        <v>763</v>
      </c>
      <c r="F452" s="5">
        <v>26326</v>
      </c>
      <c r="G452" s="14">
        <f t="shared" ca="1" si="7"/>
        <v>49.463013698630135</v>
      </c>
      <c r="H452" s="3" t="s">
        <v>1273</v>
      </c>
      <c r="I452" t="str" cm="1">
        <f t="array" ref="I452">ADAPTAR(B452)&amp;ADAPTAR(C452)&amp;"_"&amp;ADAPTAR(E452)&amp;F452</f>
        <v>morenapaz_munoz26326</v>
      </c>
      <c r="J452" s="13">
        <v>10</v>
      </c>
      <c r="K452" t="str" cm="1">
        <f t="array" ref="K452">ADAPTAR(B452)&amp;"."&amp;ADAPTAR(D452)&amp;YEAR(F452)&amp;"@"&amp;VLOOKUP(J452,Dominios!$A$2:$B$30,2,FALSE)</f>
        <v>morena.forero1972@nascitur.com.co</v>
      </c>
      <c r="L452" s="13">
        <v>10</v>
      </c>
      <c r="M452">
        <f>VLOOKUP(L452,Celulares!$A$2:$B$30,2,FALSE)</f>
        <v>3115114385</v>
      </c>
    </row>
    <row r="453" spans="1:13" ht="15.75" customHeight="1" x14ac:dyDescent="0.25">
      <c r="A453" t="s">
        <v>1888</v>
      </c>
      <c r="B453" s="3" t="s">
        <v>1066</v>
      </c>
      <c r="C453" s="3" t="s">
        <v>28</v>
      </c>
      <c r="D453" s="3" t="s">
        <v>292</v>
      </c>
      <c r="E453" s="3" t="s">
        <v>753</v>
      </c>
      <c r="F453" s="5">
        <v>31327</v>
      </c>
      <c r="G453" s="14">
        <f t="shared" ca="1" si="7"/>
        <v>35.761643835616439</v>
      </c>
      <c r="H453" s="3" t="s">
        <v>1274</v>
      </c>
      <c r="I453" t="str" cm="1">
        <f t="array" ref="I453">ADAPTAR(B453)&amp;ADAPTAR(C453)&amp;"_"&amp;ADAPTAR(E453)&amp;F453</f>
        <v>natalieconstanza_guevara31327</v>
      </c>
      <c r="J453" s="13">
        <v>11</v>
      </c>
      <c r="K453" t="str" cm="1">
        <f t="array" ref="K453">ADAPTAR(B453)&amp;"."&amp;ADAPTAR(D453)&amp;YEAR(F453)&amp;"@"&amp;VLOOKUP(J453,Dominios!$A$2:$B$30,2,FALSE)</f>
        <v>natalie.melo1985@nemesis.ml</v>
      </c>
      <c r="L453" s="13">
        <v>11</v>
      </c>
      <c r="M453">
        <f>VLOOKUP(L453,Celulares!$A$2:$B$30,2,FALSE)</f>
        <v>3115114360</v>
      </c>
    </row>
    <row r="454" spans="1:13" ht="15.75" customHeight="1" x14ac:dyDescent="0.25">
      <c r="A454" t="s">
        <v>1889</v>
      </c>
      <c r="B454" s="3" t="s">
        <v>1067</v>
      </c>
      <c r="C454" s="3" t="s">
        <v>1068</v>
      </c>
      <c r="D454" s="3" t="s">
        <v>201</v>
      </c>
      <c r="E454" s="3" t="s">
        <v>757</v>
      </c>
      <c r="F454" s="5">
        <v>26041</v>
      </c>
      <c r="G454" s="14">
        <f t="shared" ca="1" si="7"/>
        <v>50.243835616438353</v>
      </c>
      <c r="H454" s="3" t="s">
        <v>580</v>
      </c>
      <c r="I454" t="str" cm="1">
        <f t="array" ref="I454">ADAPTAR(B454)&amp;ADAPTAR(C454)&amp;"_"&amp;ADAPTAR(E454)&amp;F454</f>
        <v>luzjanet_arias26041</v>
      </c>
      <c r="J454" s="13">
        <v>12</v>
      </c>
      <c r="K454" t="str" cm="1">
        <f t="array" ref="K454">ADAPTAR(B454)&amp;"."&amp;ADAPTAR(D454)&amp;YEAR(F454)&amp;"@"&amp;VLOOKUP(J454,Dominios!$A$2:$B$30,2,FALSE)</f>
        <v>luz.cespedes1971@nunquam.com.co</v>
      </c>
      <c r="L454" s="13">
        <v>12</v>
      </c>
      <c r="M454">
        <f>VLOOKUP(L454,Celulares!$A$2:$B$30,2,FALSE)</f>
        <v>3115093653</v>
      </c>
    </row>
    <row r="455" spans="1:13" ht="15.75" customHeight="1" x14ac:dyDescent="0.25">
      <c r="A455" t="s">
        <v>1890</v>
      </c>
      <c r="B455" s="3" t="s">
        <v>1069</v>
      </c>
      <c r="C455" s="3" t="s">
        <v>1070</v>
      </c>
      <c r="D455" s="3" t="s">
        <v>186</v>
      </c>
      <c r="E455" s="3" t="s">
        <v>743</v>
      </c>
      <c r="F455" s="5">
        <v>27396</v>
      </c>
      <c r="G455" s="14">
        <f t="shared" ca="1" si="7"/>
        <v>46.531506849315072</v>
      </c>
      <c r="H455" s="3" t="s">
        <v>1275</v>
      </c>
      <c r="I455" t="str" cm="1">
        <f t="array" ref="I455">ADAPTAR(B455)&amp;ADAPTAR(C455)&amp;"_"&amp;ADAPTAR(E455)&amp;F455</f>
        <v>loladominga_salcedo27396</v>
      </c>
      <c r="J455" s="13">
        <v>13</v>
      </c>
      <c r="K455" t="str" cm="1">
        <f t="array" ref="K455">ADAPTAR(B455)&amp;"."&amp;ADAPTAR(D455)&amp;YEAR(F455)&amp;"@"&amp;VLOOKUP(J455,Dominios!$A$2:$B$30,2,FALSE)</f>
        <v>lola.corredor1975@sempiternam.co</v>
      </c>
      <c r="L455" s="13">
        <v>13</v>
      </c>
      <c r="M455">
        <f>VLOOKUP(L455,Celulares!$A$2:$B$30,2,FALSE)</f>
        <v>3115093598</v>
      </c>
    </row>
    <row r="456" spans="1:13" ht="15.75" customHeight="1" x14ac:dyDescent="0.25">
      <c r="A456" t="s">
        <v>1891</v>
      </c>
      <c r="B456" s="3" t="s">
        <v>916</v>
      </c>
      <c r="C456" s="3" t="s">
        <v>1071</v>
      </c>
      <c r="D456" s="3" t="s">
        <v>180</v>
      </c>
      <c r="E456" s="3" t="s">
        <v>770</v>
      </c>
      <c r="F456" s="5">
        <v>30546</v>
      </c>
      <c r="G456" s="14">
        <f t="shared" ca="1" si="7"/>
        <v>37.901369863013699</v>
      </c>
      <c r="H456" s="3" t="s">
        <v>1276</v>
      </c>
      <c r="I456" t="str" cm="1">
        <f t="array" ref="I456">ADAPTAR(B456)&amp;ADAPTAR(C456)&amp;"_"&amp;ADAPTAR(E456)&amp;F456</f>
        <v>zoeangely_daza30546</v>
      </c>
      <c r="J456" s="13">
        <v>14</v>
      </c>
      <c r="K456" t="str" cm="1">
        <f t="array" ref="K456">ADAPTAR(B456)&amp;"."&amp;ADAPTAR(D456)&amp;YEAR(F456)&amp;"@"&amp;VLOOKUP(J456,Dominios!$A$2:$B$30,2,FALSE)</f>
        <v>zoe.murcia1983@sk9.co</v>
      </c>
      <c r="L456" s="13">
        <v>14</v>
      </c>
      <c r="M456">
        <f>VLOOKUP(L456,Celulares!$A$2:$B$30,2,FALSE)</f>
        <v>3115093583</v>
      </c>
    </row>
    <row r="457" spans="1:13" ht="15.75" customHeight="1" x14ac:dyDescent="0.25">
      <c r="A457" t="s">
        <v>1892</v>
      </c>
      <c r="B457" s="3" t="s">
        <v>29</v>
      </c>
      <c r="C457" s="3" t="s">
        <v>78</v>
      </c>
      <c r="D457" s="3" t="s">
        <v>158</v>
      </c>
      <c r="E457" s="3" t="s">
        <v>726</v>
      </c>
      <c r="F457" s="5">
        <v>32556</v>
      </c>
      <c r="G457" s="14">
        <f t="shared" ca="1" si="7"/>
        <v>32.394520547945206</v>
      </c>
      <c r="H457" s="3" t="s">
        <v>1277</v>
      </c>
      <c r="I457" t="str" cm="1">
        <f t="array" ref="I457">ADAPTAR(B457)&amp;ADAPTAR(C457)&amp;"_"&amp;ADAPTAR(E457)&amp;F457</f>
        <v>carolinaliliana_espinosa32556</v>
      </c>
      <c r="J457" s="13">
        <v>15</v>
      </c>
      <c r="K457" t="str" cm="1">
        <f t="array" ref="K457">ADAPTAR(B457)&amp;"."&amp;ADAPTAR(D457)&amp;YEAR(F457)&amp;"@"&amp;VLOOKUP(J457,Dominios!$A$2:$B$30,2,FALSE)</f>
        <v>carolina.bernate1989@socialmediacolombia.com.co</v>
      </c>
      <c r="L457" s="13">
        <v>15</v>
      </c>
      <c r="M457">
        <f>VLOOKUP(L457,Celulares!$A$2:$B$30,2,FALSE)</f>
        <v>3115092386</v>
      </c>
    </row>
    <row r="458" spans="1:13" ht="15.75" customHeight="1" x14ac:dyDescent="0.25">
      <c r="A458" t="s">
        <v>1893</v>
      </c>
      <c r="B458" s="3" t="s">
        <v>1072</v>
      </c>
      <c r="C458" s="3" t="s">
        <v>1051</v>
      </c>
      <c r="D458" s="3" t="s">
        <v>168</v>
      </c>
      <c r="E458" s="3" t="s">
        <v>712</v>
      </c>
      <c r="F458" s="5">
        <v>34760</v>
      </c>
      <c r="G458" s="14">
        <f t="shared" ca="1" si="7"/>
        <v>26.356164383561644</v>
      </c>
      <c r="H458" s="3" t="s">
        <v>1278</v>
      </c>
      <c r="I458" t="str" cm="1">
        <f t="array" ref="I458">ADAPTAR(B458)&amp;ADAPTAR(C458)&amp;"_"&amp;ADAPTAR(E458)&amp;F458</f>
        <v>micaelaestrella_padilla34760</v>
      </c>
      <c r="J458" s="13">
        <v>16</v>
      </c>
      <c r="K458" t="str" cm="1">
        <f t="array" ref="K458">ADAPTAR(B458)&amp;"."&amp;ADAPTAR(D458)&amp;YEAR(F458)&amp;"@"&amp;VLOOKUP(J458,Dominios!$A$2:$B$30,2,FALSE)</f>
        <v>micaela.beltran1995@tecnicoensistemas.com.co</v>
      </c>
      <c r="L458" s="13">
        <v>16</v>
      </c>
      <c r="M458">
        <f>VLOOKUP(L458,Celulares!$A$2:$B$30,2,FALSE)</f>
        <v>3115092375</v>
      </c>
    </row>
    <row r="459" spans="1:13" ht="15.75" customHeight="1" x14ac:dyDescent="0.25">
      <c r="A459" t="s">
        <v>1894</v>
      </c>
      <c r="B459" s="3" t="s">
        <v>1006</v>
      </c>
      <c r="C459" s="3" t="s">
        <v>50</v>
      </c>
      <c r="D459" s="3" t="s">
        <v>293</v>
      </c>
      <c r="E459" s="3" t="s">
        <v>793</v>
      </c>
      <c r="F459" s="5">
        <v>31109</v>
      </c>
      <c r="G459" s="14">
        <f t="shared" ca="1" si="7"/>
        <v>36.358904109589041</v>
      </c>
      <c r="H459" s="3" t="s">
        <v>1279</v>
      </c>
      <c r="I459" t="str" cm="1">
        <f t="array" ref="I459">ADAPTAR(B459)&amp;ADAPTAR(C459)&amp;"_"&amp;ADAPTAR(E459)&amp;F459</f>
        <v>juliamaria_ramos31109</v>
      </c>
      <c r="J459" s="13">
        <v>17</v>
      </c>
      <c r="K459" t="str" cm="1">
        <f t="array" ref="K459">ADAPTAR(B459)&amp;"."&amp;ADAPTAR(D459)&amp;YEAR(F459)&amp;"@"&amp;VLOOKUP(J459,Dominios!$A$2:$B$30,2,FALSE)</f>
        <v>julia.sanchez1985@totum.com.co</v>
      </c>
      <c r="L459" s="13">
        <v>17</v>
      </c>
      <c r="M459">
        <f>VLOOKUP(L459,Celulares!$A$2:$B$30,2,FALSE)</f>
        <v>3115092369</v>
      </c>
    </row>
    <row r="460" spans="1:13" ht="15.75" customHeight="1" x14ac:dyDescent="0.25">
      <c r="A460" t="s">
        <v>1895</v>
      </c>
      <c r="B460" s="3" t="s">
        <v>30</v>
      </c>
      <c r="C460" s="3" t="s">
        <v>78</v>
      </c>
      <c r="D460" s="3" t="s">
        <v>197</v>
      </c>
      <c r="E460" s="3" t="s">
        <v>810</v>
      </c>
      <c r="F460" s="5">
        <v>26856</v>
      </c>
      <c r="G460" s="14">
        <f t="shared" ca="1" si="7"/>
        <v>48.010958904109586</v>
      </c>
      <c r="H460" s="3" t="s">
        <v>1280</v>
      </c>
      <c r="I460" t="str" cm="1">
        <f t="array" ref="I460">ADAPTAR(B460)&amp;ADAPTAR(C460)&amp;"_"&amp;ADAPTAR(E460)&amp;F460</f>
        <v>claudialiliana_gonzalez26856</v>
      </c>
      <c r="J460" s="13">
        <v>18</v>
      </c>
      <c r="K460" t="str" cm="1">
        <f t="array" ref="K460">ADAPTAR(B460)&amp;"."&amp;ADAPTAR(D460)&amp;YEAR(F460)&amp;"@"&amp;VLOOKUP(J460,Dominios!$A$2:$B$30,2,FALSE)</f>
        <v>claudia.camacho1973@voipcolombia.co</v>
      </c>
      <c r="L460" s="13">
        <v>18</v>
      </c>
      <c r="M460">
        <f>VLOOKUP(L460,Celulares!$A$2:$B$30,2,FALSE)</f>
        <v>3115092360</v>
      </c>
    </row>
    <row r="461" spans="1:13" ht="15.75" customHeight="1" x14ac:dyDescent="0.25">
      <c r="A461" t="s">
        <v>1896</v>
      </c>
      <c r="B461" s="3" t="s">
        <v>31</v>
      </c>
      <c r="C461" s="3" t="s">
        <v>36</v>
      </c>
      <c r="D461" s="3" t="s">
        <v>56</v>
      </c>
      <c r="E461" s="3" t="s">
        <v>61</v>
      </c>
      <c r="F461" s="5">
        <v>32808</v>
      </c>
      <c r="G461" s="14">
        <f t="shared" ca="1" si="7"/>
        <v>31.704109589041096</v>
      </c>
      <c r="H461" s="3" t="s">
        <v>1281</v>
      </c>
      <c r="I461" t="str" cm="1">
        <f t="array" ref="I461">ADAPTAR(B461)&amp;ADAPTAR(C461)&amp;"_"&amp;ADAPTAR(E461)&amp;F461</f>
        <v>paolaalexandra_ruiz32808</v>
      </c>
      <c r="J461" s="13">
        <v>19</v>
      </c>
      <c r="K461" t="str" cm="1">
        <f t="array" ref="K461">ADAPTAR(B461)&amp;"."&amp;ADAPTAR(D461)&amp;YEAR(F461)&amp;"@"&amp;VLOOKUP(J461,Dominios!$A$2:$B$30,2,FALSE)</f>
        <v>paola.rojas1989@vpncolombia.com.co</v>
      </c>
      <c r="L461" s="13">
        <v>19</v>
      </c>
      <c r="M461">
        <f>VLOOKUP(L461,Celulares!$A$2:$B$30,2,FALSE)</f>
        <v>3115092352</v>
      </c>
    </row>
    <row r="462" spans="1:13" ht="15.75" customHeight="1" x14ac:dyDescent="0.25">
      <c r="A462" t="s">
        <v>1897</v>
      </c>
      <c r="B462" s="3" t="s">
        <v>973</v>
      </c>
      <c r="C462" s="3" t="s">
        <v>122</v>
      </c>
      <c r="D462" s="3" t="s">
        <v>117</v>
      </c>
      <c r="E462" s="3" t="s">
        <v>470</v>
      </c>
      <c r="F462" s="5">
        <v>32560</v>
      </c>
      <c r="G462" s="14">
        <f t="shared" ca="1" si="7"/>
        <v>32.38356164383562</v>
      </c>
      <c r="H462" s="3" t="s">
        <v>1282</v>
      </c>
      <c r="I462" t="str" cm="1">
        <f t="array" ref="I462">ADAPTAR(B462)&amp;ADAPTAR(C462)&amp;"_"&amp;ADAPTAR(E462)&amp;F462</f>
        <v>alexajohanna_ocampo32560</v>
      </c>
      <c r="J462" s="13">
        <v>0</v>
      </c>
      <c r="K462" t="str" cm="1">
        <f t="array" ref="K462">ADAPTAR(B462)&amp;"."&amp;ADAPTAR(D462)&amp;YEAR(F462)&amp;"@"&amp;VLOOKUP(J462,Dominios!$A$2:$B$30,2,FALSE)</f>
        <v>alexa.diaz1989@auribus.com.co</v>
      </c>
      <c r="L462" s="13">
        <v>0</v>
      </c>
      <c r="M462">
        <f>VLOOKUP(L462,Celulares!$A$2:$B$30,2,FALSE)</f>
        <v>3115114930</v>
      </c>
    </row>
    <row r="463" spans="1:13" ht="15.75" customHeight="1" x14ac:dyDescent="0.25">
      <c r="A463" t="s">
        <v>1898</v>
      </c>
      <c r="B463" s="3" t="s">
        <v>32</v>
      </c>
      <c r="C463" s="3" t="s">
        <v>309</v>
      </c>
      <c r="D463" s="3" t="s">
        <v>117</v>
      </c>
      <c r="E463" s="3" t="s">
        <v>704</v>
      </c>
      <c r="F463" s="5">
        <v>32293</v>
      </c>
      <c r="G463" s="14">
        <f t="shared" ca="1" si="7"/>
        <v>33.115068493150687</v>
      </c>
      <c r="H463" s="3" t="s">
        <v>1283</v>
      </c>
      <c r="I463" t="str" cm="1">
        <f t="array" ref="I463">ADAPTAR(B463)&amp;ADAPTAR(C463)&amp;"_"&amp;ADAPTAR(E463)&amp;F463</f>
        <v>elenamarina_patino32293</v>
      </c>
      <c r="J463" s="13">
        <v>1</v>
      </c>
      <c r="K463" t="str" cm="1">
        <f t="array" ref="K463">ADAPTAR(B463)&amp;"."&amp;ADAPTAR(D463)&amp;YEAR(F463)&amp;"@"&amp;VLOOKUP(J463,Dominios!$A$2:$B$30,2,FALSE)</f>
        <v>elena.diaz1988@colamus.co</v>
      </c>
      <c r="L463" s="13">
        <v>1</v>
      </c>
      <c r="M463">
        <f>VLOOKUP(L463,Celulares!$A$2:$B$30,2,FALSE)</f>
        <v>3115114916</v>
      </c>
    </row>
    <row r="464" spans="1:13" ht="15.75" customHeight="1" x14ac:dyDescent="0.25">
      <c r="A464" t="s">
        <v>1899</v>
      </c>
      <c r="B464" s="3" t="s">
        <v>1073</v>
      </c>
      <c r="C464" s="3" t="s">
        <v>159</v>
      </c>
      <c r="D464" s="3" t="s">
        <v>199</v>
      </c>
      <c r="E464" s="3" t="s">
        <v>823</v>
      </c>
      <c r="F464" s="5">
        <v>34585</v>
      </c>
      <c r="G464" s="14">
        <f t="shared" ca="1" si="7"/>
        <v>26.835616438356166</v>
      </c>
      <c r="H464" s="3" t="s">
        <v>1284</v>
      </c>
      <c r="I464" t="str" cm="1">
        <f t="array" ref="I464">ADAPTAR(B464)&amp;ADAPTAR(C464)&amp;"_"&amp;ADAPTAR(E464)&amp;F464</f>
        <v>isidorateresa_rivera34585</v>
      </c>
      <c r="J464" s="13">
        <v>2</v>
      </c>
      <c r="K464" t="str" cm="1">
        <f t="array" ref="K464">ADAPTAR(B464)&amp;"."&amp;ADAPTAR(D464)&amp;YEAR(F464)&amp;"@"&amp;VLOOKUP(J464,Dominios!$A$2:$B$30,2,FALSE)</f>
        <v>isidora.lopez1994@colombiamail.co</v>
      </c>
      <c r="L464" s="13">
        <v>2</v>
      </c>
      <c r="M464">
        <f>VLOOKUP(L464,Celulares!$A$2:$B$30,2,FALSE)</f>
        <v>3115114911</v>
      </c>
    </row>
    <row r="465" spans="1:13" ht="15.75" customHeight="1" x14ac:dyDescent="0.25">
      <c r="A465" t="s">
        <v>1900</v>
      </c>
      <c r="B465" s="3" t="s">
        <v>1074</v>
      </c>
      <c r="C465" s="3" t="s">
        <v>304</v>
      </c>
      <c r="D465" s="3" t="s">
        <v>216</v>
      </c>
      <c r="E465" s="3" t="s">
        <v>734</v>
      </c>
      <c r="F465" s="5">
        <v>26931</v>
      </c>
      <c r="G465" s="14">
        <f t="shared" ca="1" si="7"/>
        <v>47.805479452054797</v>
      </c>
      <c r="H465" s="3" t="s">
        <v>1285</v>
      </c>
      <c r="I465" t="str" cm="1">
        <f t="array" ref="I465">ADAPTAR(B465)&amp;ADAPTAR(C465)&amp;"_"&amp;ADAPTAR(E465)&amp;F465</f>
        <v>rebecalucia_ramirez26931</v>
      </c>
      <c r="J465" s="13">
        <v>3</v>
      </c>
      <c r="K465" t="str" cm="1">
        <f t="array" ref="K465">ADAPTAR(B465)&amp;"."&amp;ADAPTAR(D465)&amp;YEAR(F465)&amp;"@"&amp;VLOOKUP(J465,Dominios!$A$2:$B$30,2,FALSE)</f>
        <v>rebeca.soto1973@diabunter.co</v>
      </c>
      <c r="L465" s="13">
        <v>3</v>
      </c>
      <c r="M465">
        <f>VLOOKUP(L465,Celulares!$A$2:$B$30,2,FALSE)</f>
        <v>3115114910</v>
      </c>
    </row>
    <row r="466" spans="1:13" ht="15.75" customHeight="1" x14ac:dyDescent="0.25">
      <c r="A466" t="s">
        <v>1901</v>
      </c>
      <c r="B466" s="3" t="s">
        <v>936</v>
      </c>
      <c r="C466" s="3" t="s">
        <v>146</v>
      </c>
      <c r="D466" s="3" t="s">
        <v>207</v>
      </c>
      <c r="E466" s="3" t="s">
        <v>720</v>
      </c>
      <c r="F466" s="5">
        <v>27631</v>
      </c>
      <c r="G466" s="14">
        <f t="shared" ca="1" si="7"/>
        <v>45.887671232876713</v>
      </c>
      <c r="H466" s="3" t="s">
        <v>1286</v>
      </c>
      <c r="I466" t="str" cm="1">
        <f t="array" ref="I466">ADAPTAR(B466)&amp;ADAPTAR(C466)&amp;"_"&amp;ADAPTAR(E466)&amp;F466</f>
        <v>josefinamarcela_herrera27631</v>
      </c>
      <c r="J466" s="13">
        <v>4</v>
      </c>
      <c r="K466" t="str" cm="1">
        <f t="array" ref="K466">ADAPTAR(B466)&amp;"."&amp;ADAPTAR(D466)&amp;YEAR(F466)&amp;"@"&amp;VLOOKUP(J466,Dominios!$A$2:$B$30,2,FALSE)</f>
        <v>josefina.villate1975@ebrietas.co</v>
      </c>
      <c r="L466" s="13">
        <v>4</v>
      </c>
      <c r="M466">
        <f>VLOOKUP(L466,Celulares!$A$2:$B$30,2,FALSE)</f>
        <v>3115114909</v>
      </c>
    </row>
    <row r="467" spans="1:13" ht="15.75" customHeight="1" x14ac:dyDescent="0.25">
      <c r="A467" t="s">
        <v>1902</v>
      </c>
      <c r="B467" s="3" t="s">
        <v>990</v>
      </c>
      <c r="C467" s="3" t="s">
        <v>319</v>
      </c>
      <c r="D467" s="3" t="s">
        <v>57</v>
      </c>
      <c r="E467" s="3" t="s">
        <v>798</v>
      </c>
      <c r="F467" s="5">
        <v>24607</v>
      </c>
      <c r="G467" s="14">
        <f t="shared" ca="1" si="7"/>
        <v>54.172602739726024</v>
      </c>
      <c r="H467" s="3" t="s">
        <v>1287</v>
      </c>
      <c r="I467" t="str" cm="1">
        <f t="array" ref="I467">ADAPTAR(B467)&amp;ADAPTAR(C467)&amp;"_"&amp;ADAPTAR(E467)&amp;F467</f>
        <v>abigailgeraldine_mendoza24607</v>
      </c>
      <c r="J467" s="13">
        <v>5</v>
      </c>
      <c r="K467" t="str" cm="1">
        <f t="array" ref="K467">ADAPTAR(B467)&amp;"."&amp;ADAPTAR(D467)&amp;YEAR(F467)&amp;"@"&amp;VLOOKUP(J467,Dominios!$A$2:$B$30,2,FALSE)</f>
        <v>abigail.castro1967@elsinsonte.co</v>
      </c>
      <c r="L467" s="13">
        <v>5</v>
      </c>
      <c r="M467">
        <f>VLOOKUP(L467,Celulares!$A$2:$B$30,2,FALSE)</f>
        <v>3115060130</v>
      </c>
    </row>
    <row r="468" spans="1:13" ht="15.75" customHeight="1" x14ac:dyDescent="0.25">
      <c r="A468" t="s">
        <v>1903</v>
      </c>
      <c r="B468" s="3" t="s">
        <v>1008</v>
      </c>
      <c r="C468" s="3" t="s">
        <v>306</v>
      </c>
      <c r="D468" s="3" t="s">
        <v>156</v>
      </c>
      <c r="E468" s="3" t="s">
        <v>772</v>
      </c>
      <c r="F468" s="5">
        <v>31161</v>
      </c>
      <c r="G468" s="14">
        <f t="shared" ca="1" si="7"/>
        <v>36.216438356164382</v>
      </c>
      <c r="H468" s="3" t="s">
        <v>1288</v>
      </c>
      <c r="I468" t="str" cm="1">
        <f t="array" ref="I468">ADAPTAR(B468)&amp;ADAPTAR(C468)&amp;"_"&amp;ADAPTAR(E468)&amp;F468</f>
        <v>julietasofia_morales31161</v>
      </c>
      <c r="J468" s="13">
        <v>6</v>
      </c>
      <c r="K468" t="str" cm="1">
        <f t="array" ref="K468">ADAPTAR(B468)&amp;"."&amp;ADAPTAR(D468)&amp;YEAR(F468)&amp;"@"&amp;VLOOKUP(J468,Dominios!$A$2:$B$30,2,FALSE)</f>
        <v>julieta.bohorquez1985@enigmaserver.co</v>
      </c>
      <c r="L468" s="13">
        <v>6</v>
      </c>
      <c r="M468">
        <f>VLOOKUP(L468,Celulares!$A$2:$B$30,2,FALSE)</f>
        <v>3115060125</v>
      </c>
    </row>
    <row r="469" spans="1:13" ht="15.75" customHeight="1" x14ac:dyDescent="0.25">
      <c r="A469" t="s">
        <v>1904</v>
      </c>
      <c r="B469" s="3" t="s">
        <v>33</v>
      </c>
      <c r="C469" s="3" t="s">
        <v>1075</v>
      </c>
      <c r="D469" s="3" t="s">
        <v>51</v>
      </c>
      <c r="E469" s="3" t="s">
        <v>519</v>
      </c>
      <c r="F469" s="5">
        <v>29964</v>
      </c>
      <c r="G469" s="14">
        <f t="shared" ca="1" si="7"/>
        <v>39.495890410958907</v>
      </c>
      <c r="H469" s="3" t="s">
        <v>1289</v>
      </c>
      <c r="I469" t="str" cm="1">
        <f t="array" ref="I469">ADAPTAR(B469)&amp;ADAPTAR(C469)&amp;"_"&amp;ADAPTAR(E469)&amp;F469</f>
        <v>melissarubiela_pulido29964</v>
      </c>
      <c r="J469" s="13">
        <v>7</v>
      </c>
      <c r="K469" t="str" cm="1">
        <f t="array" ref="K469">ADAPTAR(B469)&amp;"."&amp;ADAPTAR(D469)&amp;YEAR(F469)&amp;"@"&amp;VLOOKUP(J469,Dominios!$A$2:$B$30,2,FALSE)</f>
        <v>melissa.pineda1982@hocknas.co</v>
      </c>
      <c r="L469" s="13">
        <v>7</v>
      </c>
      <c r="M469">
        <f>VLOOKUP(L469,Celulares!$A$2:$B$30,2,FALSE)</f>
        <v>3115060110</v>
      </c>
    </row>
    <row r="470" spans="1:13" ht="15.75" customHeight="1" x14ac:dyDescent="0.25">
      <c r="A470" t="s">
        <v>1905</v>
      </c>
      <c r="B470" s="3" t="s">
        <v>1076</v>
      </c>
      <c r="C470" s="3" t="s">
        <v>7</v>
      </c>
      <c r="D470" s="3" t="s">
        <v>2507</v>
      </c>
      <c r="E470" s="3" t="s">
        <v>718</v>
      </c>
      <c r="F470" s="5">
        <v>36660</v>
      </c>
      <c r="G470" s="14">
        <f t="shared" ca="1" si="7"/>
        <v>21.150684931506849</v>
      </c>
      <c r="H470" s="3" t="s">
        <v>1290</v>
      </c>
      <c r="I470" t="str" cm="1">
        <f t="array" ref="I470">ADAPTAR(B470)&amp;ADAPTAR(C470)&amp;"_"&amp;ADAPTAR(E470)&amp;F470</f>
        <v>michellecamila_mercado36660</v>
      </c>
      <c r="J470" s="13">
        <v>8</v>
      </c>
      <c r="K470" t="str" cm="1">
        <f t="array" ref="K470">ADAPTAR(B470)&amp;"."&amp;ADAPTAR(D470)&amp;YEAR(F470)&amp;"@"&amp;VLOOKUP(J470,Dominios!$A$2:$B$30,2,FALSE)</f>
        <v>michelle.pineres2000@hostedoceri.co</v>
      </c>
      <c r="L470" s="13">
        <v>8</v>
      </c>
      <c r="M470">
        <f>VLOOKUP(L470,Celulares!$A$2:$B$30,2,FALSE)</f>
        <v>3115060091</v>
      </c>
    </row>
    <row r="471" spans="1:13" ht="15.75" customHeight="1" x14ac:dyDescent="0.25">
      <c r="A471" t="s">
        <v>1906</v>
      </c>
      <c r="B471" s="3" t="s">
        <v>34</v>
      </c>
      <c r="C471" s="3" t="s">
        <v>50</v>
      </c>
      <c r="D471" s="3" t="s">
        <v>54</v>
      </c>
      <c r="E471" s="3" t="s">
        <v>742</v>
      </c>
      <c r="F471" s="5">
        <v>31566</v>
      </c>
      <c r="G471" s="14">
        <f t="shared" ca="1" si="7"/>
        <v>35.106849315068494</v>
      </c>
      <c r="H471" s="3" t="s">
        <v>1252</v>
      </c>
      <c r="I471" t="str" cm="1">
        <f t="array" ref="I471">ADAPTAR(B471)&amp;ADAPTAR(C471)&amp;"_"&amp;ADAPTAR(E471)&amp;F471</f>
        <v>albamaria_florez31566</v>
      </c>
      <c r="J471" s="13">
        <v>9</v>
      </c>
      <c r="K471" t="str" cm="1">
        <f t="array" ref="K471">ADAPTAR(B471)&amp;"."&amp;ADAPTAR(D471)&amp;YEAR(F471)&amp;"@"&amp;VLOOKUP(J471,Dominios!$A$2:$B$30,2,FALSE)</f>
        <v>alba.martinez1986@libertas.com.co</v>
      </c>
      <c r="L471" s="13">
        <v>9</v>
      </c>
      <c r="M471">
        <f>VLOOKUP(L471,Celulares!$A$2:$B$30,2,FALSE)</f>
        <v>3115060080</v>
      </c>
    </row>
    <row r="472" spans="1:13" ht="15.75" customHeight="1" x14ac:dyDescent="0.25">
      <c r="A472" t="s">
        <v>1907</v>
      </c>
      <c r="B472" s="3" t="s">
        <v>2508</v>
      </c>
      <c r="C472" s="3" t="s">
        <v>7</v>
      </c>
      <c r="D472" s="3" t="s">
        <v>169</v>
      </c>
      <c r="E472" s="3" t="s">
        <v>800</v>
      </c>
      <c r="F472" s="5">
        <v>35310</v>
      </c>
      <c r="G472" s="14">
        <f t="shared" ca="1" si="7"/>
        <v>24.849315068493151</v>
      </c>
      <c r="H472" s="3" t="s">
        <v>1291</v>
      </c>
      <c r="I472" t="str" cm="1">
        <f t="array" ref="I472">ADAPTAR(B472)&amp;ADAPTAR(C472)&amp;"_"&amp;ADAPTAR(E472)&amp;F472</f>
        <v>mariacamilacamila_carrillo35310</v>
      </c>
      <c r="J472" s="13">
        <v>10</v>
      </c>
      <c r="K472" t="str" cm="1">
        <f t="array" ref="K472">ADAPTAR(B472)&amp;"."&amp;ADAPTAR(D472)&amp;YEAR(F472)&amp;"@"&amp;VLOOKUP(J472,Dominios!$A$2:$B$30,2,FALSE)</f>
        <v>mariacamila.rodriguez1996@nascitur.com.co</v>
      </c>
      <c r="L472" s="13">
        <v>10</v>
      </c>
      <c r="M472">
        <f>VLOOKUP(L472,Celulares!$A$2:$B$30,2,FALSE)</f>
        <v>3115114385</v>
      </c>
    </row>
    <row r="473" spans="1:13" ht="15.75" customHeight="1" x14ac:dyDescent="0.25">
      <c r="A473" t="s">
        <v>1908</v>
      </c>
      <c r="B473" s="3" t="s">
        <v>35</v>
      </c>
      <c r="C473" s="3" t="s">
        <v>31</v>
      </c>
      <c r="D473" s="3" t="s">
        <v>56</v>
      </c>
      <c r="E473" s="3" t="s">
        <v>740</v>
      </c>
      <c r="F473" s="5">
        <v>35348</v>
      </c>
      <c r="G473" s="14">
        <f t="shared" ca="1" si="7"/>
        <v>24.745205479452054</v>
      </c>
      <c r="H473" s="3" t="s">
        <v>1292</v>
      </c>
      <c r="I473" t="str" cm="1">
        <f t="array" ref="I473">ADAPTAR(B473)&amp;ADAPTAR(C473)&amp;"_"&amp;ADAPTAR(E473)&amp;F473</f>
        <v>angelapaola_ortega35348</v>
      </c>
      <c r="J473" s="13">
        <v>11</v>
      </c>
      <c r="K473" t="str" cm="1">
        <f t="array" ref="K473">ADAPTAR(B473)&amp;"."&amp;ADAPTAR(D473)&amp;YEAR(F473)&amp;"@"&amp;VLOOKUP(J473,Dominios!$A$2:$B$30,2,FALSE)</f>
        <v>angela.rojas1996@nemesis.ml</v>
      </c>
      <c r="L473" s="13">
        <v>11</v>
      </c>
      <c r="M473">
        <f>VLOOKUP(L473,Celulares!$A$2:$B$30,2,FALSE)</f>
        <v>3115114360</v>
      </c>
    </row>
    <row r="474" spans="1:13" ht="15.75" customHeight="1" x14ac:dyDescent="0.25">
      <c r="A474" t="s">
        <v>1909</v>
      </c>
      <c r="B474" s="3" t="s">
        <v>165</v>
      </c>
      <c r="C474" s="3" t="s">
        <v>1077</v>
      </c>
      <c r="D474" s="3" t="s">
        <v>297</v>
      </c>
      <c r="E474" s="3" t="s">
        <v>522</v>
      </c>
      <c r="F474" s="5">
        <v>37189</v>
      </c>
      <c r="G474" s="14">
        <f t="shared" ca="1" si="7"/>
        <v>19.701369863013699</v>
      </c>
      <c r="H474" s="3" t="s">
        <v>1293</v>
      </c>
      <c r="I474" t="str" cm="1">
        <f t="array" ref="I474">ADAPTAR(B474)&amp;ADAPTAR(C474)&amp;"_"&amp;ADAPTAR(E474)&amp;F474</f>
        <v>marthadelfina_bonilla37189</v>
      </c>
      <c r="J474" s="13">
        <v>12</v>
      </c>
      <c r="K474" t="str" cm="1">
        <f t="array" ref="K474">ADAPTAR(B474)&amp;"."&amp;ADAPTAR(D474)&amp;YEAR(F474)&amp;"@"&amp;VLOOKUP(J474,Dominios!$A$2:$B$30,2,FALSE)</f>
        <v>martha.trujillo2001@nunquam.com.co</v>
      </c>
      <c r="L474" s="13">
        <v>12</v>
      </c>
      <c r="M474">
        <f>VLOOKUP(L474,Celulares!$A$2:$B$30,2,FALSE)</f>
        <v>3115093653</v>
      </c>
    </row>
    <row r="475" spans="1:13" ht="15.75" customHeight="1" x14ac:dyDescent="0.25">
      <c r="A475" t="s">
        <v>1910</v>
      </c>
      <c r="B475" s="3" t="s">
        <v>1078</v>
      </c>
      <c r="C475" s="3" t="s">
        <v>1057</v>
      </c>
      <c r="D475" s="3" t="s">
        <v>72</v>
      </c>
      <c r="E475" s="3" t="s">
        <v>840</v>
      </c>
      <c r="F475" s="5">
        <v>33751</v>
      </c>
      <c r="G475" s="14">
        <f t="shared" ca="1" si="7"/>
        <v>29.12054794520548</v>
      </c>
      <c r="H475" s="3" t="s">
        <v>1167</v>
      </c>
      <c r="I475" t="str" cm="1">
        <f t="array" ref="I475">ADAPTAR(B475)&amp;ADAPTAR(C475)&amp;"_"&amp;ADAPTAR(E475)&amp;F475</f>
        <v>aitanayuliet_duque33751</v>
      </c>
      <c r="J475" s="13">
        <v>13</v>
      </c>
      <c r="K475" t="str" cm="1">
        <f t="array" ref="K475">ADAPTAR(B475)&amp;"."&amp;ADAPTAR(D475)&amp;YEAR(F475)&amp;"@"&amp;VLOOKUP(J475,Dominios!$A$2:$B$30,2,FALSE)</f>
        <v>aitana.quiroga1992@sempiternam.co</v>
      </c>
      <c r="L475" s="13">
        <v>13</v>
      </c>
      <c r="M475">
        <f>VLOOKUP(L475,Celulares!$A$2:$B$30,2,FALSE)</f>
        <v>3115093598</v>
      </c>
    </row>
    <row r="476" spans="1:13" ht="15.75" customHeight="1" x14ac:dyDescent="0.25">
      <c r="A476" t="s">
        <v>1911</v>
      </c>
      <c r="B476" s="3" t="s">
        <v>1079</v>
      </c>
      <c r="C476" s="3" t="s">
        <v>628</v>
      </c>
      <c r="D476" s="3" t="s">
        <v>49</v>
      </c>
      <c r="E476" s="3" t="s">
        <v>677</v>
      </c>
      <c r="F476" s="5">
        <v>31058</v>
      </c>
      <c r="G476" s="14">
        <f t="shared" ca="1" si="7"/>
        <v>36.4986301369863</v>
      </c>
      <c r="H476" s="3" t="s">
        <v>1294</v>
      </c>
      <c r="I476" t="str" cm="1">
        <f t="array" ref="I476">ADAPTAR(B476)&amp;ADAPTAR(C476)&amp;"_"&amp;ADAPTAR(E476)&amp;F476</f>
        <v>stephaniedolores_sierra31058</v>
      </c>
      <c r="J476" s="13">
        <v>14</v>
      </c>
      <c r="K476" t="str" cm="1">
        <f t="array" ref="K476">ADAPTAR(B476)&amp;"."&amp;ADAPTAR(D476)&amp;YEAR(F476)&amp;"@"&amp;VLOOKUP(J476,Dominios!$A$2:$B$30,2,FALSE)</f>
        <v>stephanie.urdaneta1985@sk9.co</v>
      </c>
      <c r="L476" s="13">
        <v>14</v>
      </c>
      <c r="M476">
        <f>VLOOKUP(L476,Celulares!$A$2:$B$30,2,FALSE)</f>
        <v>3115093583</v>
      </c>
    </row>
    <row r="477" spans="1:13" ht="15.75" customHeight="1" x14ac:dyDescent="0.25">
      <c r="A477" t="s">
        <v>1912</v>
      </c>
      <c r="B477" s="3" t="s">
        <v>1080</v>
      </c>
      <c r="C477" s="3" t="s">
        <v>320</v>
      </c>
      <c r="D477" s="3" t="s">
        <v>191</v>
      </c>
      <c r="E477" s="3" t="s">
        <v>713</v>
      </c>
      <c r="F477" s="5">
        <v>37244</v>
      </c>
      <c r="G477" s="14">
        <f t="shared" ca="1" si="7"/>
        <v>19.550684931506851</v>
      </c>
      <c r="H477" s="3" t="s">
        <v>1295</v>
      </c>
      <c r="I477" t="str" cm="1">
        <f t="array" ref="I477">ADAPTAR(B477)&amp;ADAPTAR(C477)&amp;"_"&amp;ADAPTAR(E477)&amp;F477</f>
        <v>fatimaester_betancur37244</v>
      </c>
      <c r="J477" s="13">
        <v>15</v>
      </c>
      <c r="K477" t="str" cm="1">
        <f t="array" ref="K477">ADAPTAR(B477)&amp;"."&amp;ADAPTAR(D477)&amp;YEAR(F477)&amp;"@"&amp;VLOOKUP(J477,Dominios!$A$2:$B$30,2,FALSE)</f>
        <v>fatima.gutierrez2001@socialmediacolombia.com.co</v>
      </c>
      <c r="L477" s="13">
        <v>15</v>
      </c>
      <c r="M477">
        <f>VLOOKUP(L477,Celulares!$A$2:$B$30,2,FALSE)</f>
        <v>3115092386</v>
      </c>
    </row>
    <row r="478" spans="1:13" ht="15.75" customHeight="1" x14ac:dyDescent="0.25">
      <c r="A478" t="s">
        <v>1913</v>
      </c>
      <c r="B478" s="3" t="s">
        <v>300</v>
      </c>
      <c r="C478" s="3" t="s">
        <v>634</v>
      </c>
      <c r="D478" s="3" t="s">
        <v>61</v>
      </c>
      <c r="E478" s="3" t="s">
        <v>852</v>
      </c>
      <c r="F478" s="5">
        <v>27672</v>
      </c>
      <c r="G478" s="14">
        <f t="shared" ca="1" si="7"/>
        <v>45.775342465753425</v>
      </c>
      <c r="H478" s="3" t="s">
        <v>1296</v>
      </c>
      <c r="I478" t="str" cm="1">
        <f t="array" ref="I478">ADAPTAR(B478)&amp;ADAPTAR(C478)&amp;"_"&amp;ADAPTAR(E478)&amp;F478</f>
        <v>miriammanuela_hernandez27672</v>
      </c>
      <c r="J478" s="13">
        <v>16</v>
      </c>
      <c r="K478" t="str" cm="1">
        <f t="array" ref="K478">ADAPTAR(B478)&amp;"."&amp;ADAPTAR(D478)&amp;YEAR(F478)&amp;"@"&amp;VLOOKUP(J478,Dominios!$A$2:$B$30,2,FALSE)</f>
        <v>miriam.ruiz1975@tecnicoensistemas.com.co</v>
      </c>
      <c r="L478" s="13">
        <v>16</v>
      </c>
      <c r="M478">
        <f>VLOOKUP(L478,Celulares!$A$2:$B$30,2,FALSE)</f>
        <v>3115092375</v>
      </c>
    </row>
    <row r="479" spans="1:13" ht="15.75" customHeight="1" x14ac:dyDescent="0.25">
      <c r="A479" t="s">
        <v>1914</v>
      </c>
      <c r="B479" s="3" t="s">
        <v>939</v>
      </c>
      <c r="C479" s="3" t="s">
        <v>36</v>
      </c>
      <c r="D479" s="3" t="s">
        <v>94</v>
      </c>
      <c r="E479" s="3" t="s">
        <v>705</v>
      </c>
      <c r="F479" s="5">
        <v>26310</v>
      </c>
      <c r="G479" s="14">
        <f t="shared" ca="1" si="7"/>
        <v>49.506849315068493</v>
      </c>
      <c r="H479" s="3" t="s">
        <v>1297</v>
      </c>
      <c r="I479" t="str" cm="1">
        <f t="array" ref="I479">ADAPTAR(B479)&amp;ADAPTAR(C479)&amp;"_"&amp;ADAPTAR(E479)&amp;F479</f>
        <v>linaalexandra_cordoba26310</v>
      </c>
      <c r="J479" s="13">
        <v>17</v>
      </c>
      <c r="K479" t="str" cm="1">
        <f t="array" ref="K479">ADAPTAR(B479)&amp;"."&amp;ADAPTAR(D479)&amp;YEAR(F479)&amp;"@"&amp;VLOOKUP(J479,Dominios!$A$2:$B$30,2,FALSE)</f>
        <v>lina.gonzalez1972@totum.com.co</v>
      </c>
      <c r="L479" s="13">
        <v>17</v>
      </c>
      <c r="M479">
        <f>VLOOKUP(L479,Celulares!$A$2:$B$30,2,FALSE)</f>
        <v>3115092369</v>
      </c>
    </row>
    <row r="480" spans="1:13" ht="15.75" customHeight="1" x14ac:dyDescent="0.25">
      <c r="A480" t="s">
        <v>1915</v>
      </c>
      <c r="B480" s="3" t="s">
        <v>1081</v>
      </c>
      <c r="C480" s="3" t="s">
        <v>23</v>
      </c>
      <c r="D480" s="3" t="s">
        <v>147</v>
      </c>
      <c r="E480" s="3" t="s">
        <v>738</v>
      </c>
      <c r="F480" s="5">
        <v>27635</v>
      </c>
      <c r="G480" s="14">
        <f t="shared" ca="1" si="7"/>
        <v>45.876712328767127</v>
      </c>
      <c r="H480" s="3" t="s">
        <v>1298</v>
      </c>
      <c r="I480" t="str" cm="1">
        <f t="array" ref="I480">ADAPTAR(B480)&amp;ADAPTAR(C480)&amp;"_"&amp;ADAPTAR(E480)&amp;F480</f>
        <v>palomavanessa_polo27635</v>
      </c>
      <c r="J480" s="13">
        <v>18</v>
      </c>
      <c r="K480" t="str" cm="1">
        <f t="array" ref="K480">ADAPTAR(B480)&amp;"."&amp;ADAPTAR(D480)&amp;YEAR(F480)&amp;"@"&amp;VLOOKUP(J480,Dominios!$A$2:$B$30,2,FALSE)</f>
        <v>paloma.mera1975@voipcolombia.co</v>
      </c>
      <c r="L480" s="13">
        <v>18</v>
      </c>
      <c r="M480">
        <f>VLOOKUP(L480,Celulares!$A$2:$B$30,2,FALSE)</f>
        <v>3115092360</v>
      </c>
    </row>
    <row r="481" spans="1:13" ht="15.75" customHeight="1" x14ac:dyDescent="0.25">
      <c r="A481" t="s">
        <v>1916</v>
      </c>
      <c r="B481" s="3" t="s">
        <v>198</v>
      </c>
      <c r="C481" s="3" t="s">
        <v>1082</v>
      </c>
      <c r="D481" s="3" t="s">
        <v>86</v>
      </c>
      <c r="E481" s="3" t="s">
        <v>806</v>
      </c>
      <c r="F481" s="5">
        <v>30062</v>
      </c>
      <c r="G481" s="14">
        <f t="shared" ca="1" si="7"/>
        <v>39.227397260273975</v>
      </c>
      <c r="H481" s="3" t="s">
        <v>1299</v>
      </c>
      <c r="I481" t="str" cm="1">
        <f t="array" ref="I481">ADAPTAR(B481)&amp;ADAPTAR(C481)&amp;"_"&amp;ADAPTAR(E481)&amp;F481</f>
        <v>sandracandela_vanegas30062</v>
      </c>
      <c r="J481" s="13">
        <v>19</v>
      </c>
      <c r="K481" t="str" cm="1">
        <f t="array" ref="K481">ADAPTAR(B481)&amp;"."&amp;ADAPTAR(D481)&amp;YEAR(F481)&amp;"@"&amp;VLOOKUP(J481,Dominios!$A$2:$B$30,2,FALSE)</f>
        <v>sandra.sosa1982@vpncolombia.com.co</v>
      </c>
      <c r="L481" s="13">
        <v>19</v>
      </c>
      <c r="M481">
        <f>VLOOKUP(L481,Celulares!$A$2:$B$30,2,FALSE)</f>
        <v>3115092352</v>
      </c>
    </row>
    <row r="482" spans="1:13" ht="15.75" customHeight="1" x14ac:dyDescent="0.25">
      <c r="A482" t="s">
        <v>1917</v>
      </c>
      <c r="B482" s="3" t="s">
        <v>958</v>
      </c>
      <c r="C482" s="3" t="s">
        <v>1083</v>
      </c>
      <c r="D482" s="3" t="s">
        <v>84</v>
      </c>
      <c r="E482" s="3" t="s">
        <v>826</v>
      </c>
      <c r="F482" s="5">
        <v>25094</v>
      </c>
      <c r="G482" s="14">
        <f t="shared" ca="1" si="7"/>
        <v>52.838356164383562</v>
      </c>
      <c r="H482" s="3" t="s">
        <v>1300</v>
      </c>
      <c r="I482" t="str" cm="1">
        <f t="array" ref="I482">ADAPTAR(B482)&amp;ADAPTAR(C482)&amp;"_"&amp;ADAPTAR(E482)&amp;F482</f>
        <v>claragissell_mejia25094</v>
      </c>
      <c r="J482" s="13">
        <v>0</v>
      </c>
      <c r="K482" t="str" cm="1">
        <f t="array" ref="K482">ADAPTAR(B482)&amp;"."&amp;ADAPTAR(D482)&amp;YEAR(F482)&amp;"@"&amp;VLOOKUP(J482,Dominios!$A$2:$B$30,2,FALSE)</f>
        <v>clara.prada1968@auribus.com.co</v>
      </c>
      <c r="L482" s="13">
        <v>0</v>
      </c>
      <c r="M482">
        <f>VLOOKUP(L482,Celulares!$A$2:$B$30,2,FALSE)</f>
        <v>3115114930</v>
      </c>
    </row>
    <row r="483" spans="1:13" ht="15.75" customHeight="1" x14ac:dyDescent="0.25">
      <c r="A483" t="s">
        <v>1918</v>
      </c>
      <c r="B483" s="3" t="s">
        <v>24</v>
      </c>
      <c r="C483" s="3" t="s">
        <v>6</v>
      </c>
      <c r="D483" s="3" t="s">
        <v>713</v>
      </c>
      <c r="E483" s="3" t="s">
        <v>221</v>
      </c>
      <c r="F483" s="5">
        <v>37003</v>
      </c>
      <c r="G483" s="14">
        <f t="shared" ca="1" si="7"/>
        <v>20.210958904109589</v>
      </c>
      <c r="H483" s="3" t="s">
        <v>1301</v>
      </c>
      <c r="I483" t="str" cm="1">
        <f t="array" ref="I483">ADAPTAR(B483)&amp;ADAPTAR(C483)&amp;"_"&amp;ADAPTAR(E483)&amp;F483</f>
        <v>laurasofia_silva37003</v>
      </c>
      <c r="J483" s="13">
        <v>1</v>
      </c>
      <c r="K483" t="str" cm="1">
        <f t="array" ref="K483">ADAPTAR(B483)&amp;"."&amp;ADAPTAR(D483)&amp;YEAR(F483)&amp;"@"&amp;VLOOKUP(J483,Dominios!$A$2:$B$30,2,FALSE)</f>
        <v>laura.betancur2001@colamus.co</v>
      </c>
      <c r="L483" s="13">
        <v>1</v>
      </c>
      <c r="M483">
        <f>VLOOKUP(L483,Celulares!$A$2:$B$30,2,FALSE)</f>
        <v>3115114916</v>
      </c>
    </row>
    <row r="484" spans="1:13" ht="15.75" customHeight="1" x14ac:dyDescent="0.25">
      <c r="A484" t="s">
        <v>1919</v>
      </c>
      <c r="B484" s="3" t="s">
        <v>37</v>
      </c>
      <c r="C484" s="3" t="s">
        <v>146</v>
      </c>
      <c r="D484" s="3" t="s">
        <v>714</v>
      </c>
      <c r="E484" s="3" t="s">
        <v>768</v>
      </c>
      <c r="F484" s="5">
        <v>25407</v>
      </c>
      <c r="G484" s="14">
        <f t="shared" ca="1" si="7"/>
        <v>51.980821917808221</v>
      </c>
      <c r="H484" s="3" t="s">
        <v>1302</v>
      </c>
      <c r="I484" t="str" cm="1">
        <f t="array" ref="I484">ADAPTAR(B484)&amp;ADAPTAR(C484)&amp;"_"&amp;ADAPTAR(E484)&amp;F484</f>
        <v>dianamarcela_medina25407</v>
      </c>
      <c r="J484" s="13">
        <v>2</v>
      </c>
      <c r="K484" t="str" cm="1">
        <f t="array" ref="K484">ADAPTAR(B484)&amp;"."&amp;ADAPTAR(D484)&amp;YEAR(F484)&amp;"@"&amp;VLOOKUP(J484,Dominios!$A$2:$B$30,2,FALSE)</f>
        <v>diana.diaz1969@colombiamail.co</v>
      </c>
      <c r="L484" s="13">
        <v>2</v>
      </c>
      <c r="M484">
        <f>VLOOKUP(L484,Celulares!$A$2:$B$30,2,FALSE)</f>
        <v>3115114911</v>
      </c>
    </row>
    <row r="485" spans="1:13" ht="15.75" customHeight="1" x14ac:dyDescent="0.25">
      <c r="A485" t="s">
        <v>1920</v>
      </c>
      <c r="B485" s="3" t="s">
        <v>20</v>
      </c>
      <c r="C485" s="3" t="s">
        <v>319</v>
      </c>
      <c r="D485" s="3" t="s">
        <v>715</v>
      </c>
      <c r="E485" s="3" t="s">
        <v>679</v>
      </c>
      <c r="F485" s="5">
        <v>31267</v>
      </c>
      <c r="G485" s="14">
        <f t="shared" ca="1" si="7"/>
        <v>35.926027397260277</v>
      </c>
      <c r="H485" s="3" t="s">
        <v>1303</v>
      </c>
      <c r="I485" t="str" cm="1">
        <f t="array" ref="I485">ADAPTAR(B485)&amp;ADAPTAR(C485)&amp;"_"&amp;ADAPTAR(E485)&amp;F485</f>
        <v>anageraldine_ospina31267</v>
      </c>
      <c r="J485" s="13">
        <v>3</v>
      </c>
      <c r="K485" t="str" cm="1">
        <f t="array" ref="K485">ADAPTAR(B485)&amp;"."&amp;ADAPTAR(D485)&amp;YEAR(F485)&amp;"@"&amp;VLOOKUP(J485,Dominios!$A$2:$B$30,2,FALSE)</f>
        <v>ana.garcia1985@diabunter.co</v>
      </c>
      <c r="L485" s="13">
        <v>3</v>
      </c>
      <c r="M485">
        <f>VLOOKUP(L485,Celulares!$A$2:$B$30,2,FALSE)</f>
        <v>3115114910</v>
      </c>
    </row>
    <row r="486" spans="1:13" ht="15.75" customHeight="1" x14ac:dyDescent="0.25">
      <c r="A486" t="s">
        <v>1921</v>
      </c>
      <c r="B486" s="3" t="s">
        <v>16</v>
      </c>
      <c r="C486" s="3" t="s">
        <v>17</v>
      </c>
      <c r="D486" s="3" t="s">
        <v>716</v>
      </c>
      <c r="E486" s="3" t="s">
        <v>225</v>
      </c>
      <c r="F486" s="5">
        <v>36153</v>
      </c>
      <c r="G486" s="14">
        <f t="shared" ca="1" si="7"/>
        <v>22.539726027397261</v>
      </c>
      <c r="H486" s="3" t="s">
        <v>1304</v>
      </c>
      <c r="I486" t="str" cm="1">
        <f t="array" ref="I486">ADAPTAR(B486)&amp;ADAPTAR(C486)&amp;"_"&amp;ADAPTAR(E486)&amp;F486</f>
        <v>mariafernanda_vargas36153</v>
      </c>
      <c r="J486" s="13">
        <v>4</v>
      </c>
      <c r="K486" t="str" cm="1">
        <f t="array" ref="K486">ADAPTAR(B486)&amp;"."&amp;ADAPTAR(D486)&amp;YEAR(F486)&amp;"@"&amp;VLOOKUP(J486,Dominios!$A$2:$B$30,2,FALSE)</f>
        <v>maria.vergara1998@ebrietas.co</v>
      </c>
      <c r="L486" s="13">
        <v>4</v>
      </c>
      <c r="M486">
        <f>VLOOKUP(L486,Celulares!$A$2:$B$30,2,FALSE)</f>
        <v>3115114909</v>
      </c>
    </row>
    <row r="487" spans="1:13" ht="15.75" customHeight="1" x14ac:dyDescent="0.25">
      <c r="A487" t="s">
        <v>1922</v>
      </c>
      <c r="B487" s="3" t="s">
        <v>996</v>
      </c>
      <c r="C487" s="3" t="s">
        <v>167</v>
      </c>
      <c r="D487" s="3" t="s">
        <v>704</v>
      </c>
      <c r="E487" s="3" t="s">
        <v>788</v>
      </c>
      <c r="F487" s="5">
        <v>27841</v>
      </c>
      <c r="G487" s="14">
        <f t="shared" ca="1" si="7"/>
        <v>45.31232876712329</v>
      </c>
      <c r="H487" s="3" t="s">
        <v>1305</v>
      </c>
      <c r="I487" t="str" cm="1">
        <f t="array" ref="I487">ADAPTAR(B487)&amp;ADAPTAR(C487)&amp;"_"&amp;ADAPTAR(E487)&amp;F487</f>
        <v>guadaluperocio_ordonez27841</v>
      </c>
      <c r="J487" s="13">
        <v>5</v>
      </c>
      <c r="K487" t="str" cm="1">
        <f t="array" ref="K487">ADAPTAR(B487)&amp;"."&amp;ADAPTAR(D487)&amp;YEAR(F487)&amp;"@"&amp;VLOOKUP(J487,Dominios!$A$2:$B$30,2,FALSE)</f>
        <v>guadalupe.patino1976@elsinsonte.co</v>
      </c>
      <c r="L487" s="13">
        <v>5</v>
      </c>
      <c r="M487">
        <f>VLOOKUP(L487,Celulares!$A$2:$B$30,2,FALSE)</f>
        <v>3115060130</v>
      </c>
    </row>
    <row r="488" spans="1:13" ht="15.75" customHeight="1" x14ac:dyDescent="0.25">
      <c r="A488" t="s">
        <v>1923</v>
      </c>
      <c r="B488" s="3" t="s">
        <v>1084</v>
      </c>
      <c r="C488" s="3" t="s">
        <v>1045</v>
      </c>
      <c r="D488" s="3" t="s">
        <v>717</v>
      </c>
      <c r="E488" s="3" t="s">
        <v>769</v>
      </c>
      <c r="F488" s="5">
        <v>31280</v>
      </c>
      <c r="G488" s="14">
        <f t="shared" ca="1" si="7"/>
        <v>35.890410958904113</v>
      </c>
      <c r="H488" s="3" t="s">
        <v>1306</v>
      </c>
      <c r="I488" t="str" cm="1">
        <f t="array" ref="I488">ADAPTAR(B488)&amp;ADAPTAR(C488)&amp;"_"&amp;ADAPTAR(E488)&amp;F488</f>
        <v>barbarafrancisca_angulo31280</v>
      </c>
      <c r="J488" s="13">
        <v>6</v>
      </c>
      <c r="K488" t="str" cm="1">
        <f t="array" ref="K488">ADAPTAR(B488)&amp;"."&amp;ADAPTAR(D488)&amp;YEAR(F488)&amp;"@"&amp;VLOOKUP(J488,Dominios!$A$2:$B$30,2,FALSE)</f>
        <v>barbara.vasquez1985@enigmaserver.co</v>
      </c>
      <c r="L488" s="13">
        <v>6</v>
      </c>
      <c r="M488">
        <f>VLOOKUP(L488,Celulares!$A$2:$B$30,2,FALSE)</f>
        <v>3115060125</v>
      </c>
    </row>
    <row r="489" spans="1:13" ht="15.75" customHeight="1" x14ac:dyDescent="0.25">
      <c r="A489" t="s">
        <v>1924</v>
      </c>
      <c r="B489" s="3" t="s">
        <v>1085</v>
      </c>
      <c r="C489" s="3" t="s">
        <v>967</v>
      </c>
      <c r="D489" s="3" t="s">
        <v>681</v>
      </c>
      <c r="E489" s="3" t="s">
        <v>676</v>
      </c>
      <c r="F489" s="5">
        <v>32175</v>
      </c>
      <c r="G489" s="14">
        <f t="shared" ca="1" si="7"/>
        <v>33.438356164383563</v>
      </c>
      <c r="H489" s="3" t="s">
        <v>1307</v>
      </c>
      <c r="I489" t="str" cm="1">
        <f t="array" ref="I489">ADAPTAR(B489)&amp;ADAPTAR(C489)&amp;"_"&amp;ADAPTAR(E489)&amp;F489</f>
        <v>biancavaleria_rios32175</v>
      </c>
      <c r="J489" s="13">
        <v>7</v>
      </c>
      <c r="K489" t="str" cm="1">
        <f t="array" ref="K489">ADAPTAR(B489)&amp;"."&amp;ADAPTAR(D489)&amp;YEAR(F489)&amp;"@"&amp;VLOOKUP(J489,Dominios!$A$2:$B$30,2,FALSE)</f>
        <v>bianca.reyes1988@hocknas.co</v>
      </c>
      <c r="L489" s="13">
        <v>7</v>
      </c>
      <c r="M489">
        <f>VLOOKUP(L489,Celulares!$A$2:$B$30,2,FALSE)</f>
        <v>3115060110</v>
      </c>
    </row>
    <row r="490" spans="1:13" ht="15.75" customHeight="1" x14ac:dyDescent="0.25">
      <c r="A490" t="s">
        <v>1925</v>
      </c>
      <c r="B490" s="3" t="s">
        <v>1086</v>
      </c>
      <c r="C490" s="3" t="s">
        <v>1087</v>
      </c>
      <c r="D490" s="3" t="s">
        <v>718</v>
      </c>
      <c r="E490" s="3" t="s">
        <v>796</v>
      </c>
      <c r="F490" s="5">
        <v>36749</v>
      </c>
      <c r="G490" s="14">
        <f t="shared" ca="1" si="7"/>
        <v>20.906849315068492</v>
      </c>
      <c r="H490" s="3" t="s">
        <v>1308</v>
      </c>
      <c r="I490" t="str" cm="1">
        <f t="array" ref="I490">ADAPTAR(B490)&amp;ADAPTAR(C490)&amp;"_"&amp;ADAPTAR(E490)&amp;F490</f>
        <v>mirandayineth_arboleda36749</v>
      </c>
      <c r="J490" s="13">
        <v>8</v>
      </c>
      <c r="K490" t="str" cm="1">
        <f t="array" ref="K490">ADAPTAR(B490)&amp;"."&amp;ADAPTAR(D490)&amp;YEAR(F490)&amp;"@"&amp;VLOOKUP(J490,Dominios!$A$2:$B$30,2,FALSE)</f>
        <v>miranda.mercado2000@hostedoceri.co</v>
      </c>
      <c r="L490" s="13">
        <v>8</v>
      </c>
      <c r="M490">
        <f>VLOOKUP(L490,Celulares!$A$2:$B$30,2,FALSE)</f>
        <v>3115060091</v>
      </c>
    </row>
    <row r="491" spans="1:13" ht="15.75" customHeight="1" x14ac:dyDescent="0.25">
      <c r="A491" t="s">
        <v>1926</v>
      </c>
      <c r="B491" s="3" t="s">
        <v>1088</v>
      </c>
      <c r="C491" s="3" t="s">
        <v>1089</v>
      </c>
      <c r="D491" s="3" t="s">
        <v>719</v>
      </c>
      <c r="E491" s="3" t="s">
        <v>748</v>
      </c>
      <c r="F491" s="5">
        <v>27741</v>
      </c>
      <c r="G491" s="14">
        <f t="shared" ca="1" si="7"/>
        <v>45.586301369863016</v>
      </c>
      <c r="H491" s="3" t="s">
        <v>1207</v>
      </c>
      <c r="I491" t="str" cm="1">
        <f t="array" ref="I491">ADAPTAR(B491)&amp;ADAPTAR(C491)&amp;"_"&amp;ADAPTAR(E491)&amp;F491</f>
        <v>sabrinaofelia_gutierrez27741</v>
      </c>
      <c r="J491" s="13">
        <v>9</v>
      </c>
      <c r="K491" t="str" cm="1">
        <f t="array" ref="K491">ADAPTAR(B491)&amp;"."&amp;ADAPTAR(D491)&amp;YEAR(F491)&amp;"@"&amp;VLOOKUP(J491,Dominios!$A$2:$B$30,2,FALSE)</f>
        <v>sabrina.suarez1975@libertas.com.co</v>
      </c>
      <c r="L491" s="13">
        <v>9</v>
      </c>
      <c r="M491">
        <f>VLOOKUP(L491,Celulares!$A$2:$B$30,2,FALSE)</f>
        <v>3115060080</v>
      </c>
    </row>
    <row r="492" spans="1:13" ht="15.75" customHeight="1" x14ac:dyDescent="0.25">
      <c r="A492" t="s">
        <v>1927</v>
      </c>
      <c r="B492" s="3" t="s">
        <v>630</v>
      </c>
      <c r="C492" s="3" t="s">
        <v>23</v>
      </c>
      <c r="D492" s="3" t="s">
        <v>297</v>
      </c>
      <c r="E492" s="3" t="s">
        <v>822</v>
      </c>
      <c r="F492" s="5">
        <v>27570</v>
      </c>
      <c r="G492" s="14">
        <f t="shared" ca="1" si="7"/>
        <v>46.054794520547944</v>
      </c>
      <c r="H492" s="3" t="s">
        <v>544</v>
      </c>
      <c r="I492" t="str" cm="1">
        <f t="array" ref="I492">ADAPTAR(B492)&amp;ADAPTAR(C492)&amp;"_"&amp;ADAPTAR(E492)&amp;F492</f>
        <v>pilarvanessa_monsalve27570</v>
      </c>
      <c r="J492" s="13">
        <v>10</v>
      </c>
      <c r="K492" t="str" cm="1">
        <f t="array" ref="K492">ADAPTAR(B492)&amp;"."&amp;ADAPTAR(D492)&amp;YEAR(F492)&amp;"@"&amp;VLOOKUP(J492,Dominios!$A$2:$B$30,2,FALSE)</f>
        <v>pilar.trujillo1975@nascitur.com.co</v>
      </c>
      <c r="L492" s="13">
        <v>10</v>
      </c>
      <c r="M492">
        <f>VLOOKUP(L492,Celulares!$A$2:$B$30,2,FALSE)</f>
        <v>3115114385</v>
      </c>
    </row>
    <row r="493" spans="1:13" ht="15.75" customHeight="1" x14ac:dyDescent="0.25">
      <c r="A493" t="s">
        <v>1928</v>
      </c>
      <c r="B493" s="3" t="s">
        <v>20</v>
      </c>
      <c r="C493" s="3" t="s">
        <v>16</v>
      </c>
      <c r="D493" s="3" t="s">
        <v>720</v>
      </c>
      <c r="E493" s="3" t="s">
        <v>471</v>
      </c>
      <c r="F493" s="5">
        <v>33371</v>
      </c>
      <c r="G493" s="14">
        <f t="shared" ca="1" si="7"/>
        <v>30.161643835616438</v>
      </c>
      <c r="H493" s="3" t="s">
        <v>1174</v>
      </c>
      <c r="I493" t="str" cm="1">
        <f t="array" ref="I493">ADAPTAR(B493)&amp;ADAPTAR(C493)&amp;"_"&amp;ADAPTAR(E493)&amp;F493</f>
        <v>anamaria_fernandez33371</v>
      </c>
      <c r="J493" s="13">
        <v>11</v>
      </c>
      <c r="K493" t="str" cm="1">
        <f t="array" ref="K493">ADAPTAR(B493)&amp;"."&amp;ADAPTAR(D493)&amp;YEAR(F493)&amp;"@"&amp;VLOOKUP(J493,Dominios!$A$2:$B$30,2,FALSE)</f>
        <v>ana.herrera1991@nemesis.ml</v>
      </c>
      <c r="L493" s="13">
        <v>11</v>
      </c>
      <c r="M493">
        <f>VLOOKUP(L493,Celulares!$A$2:$B$30,2,FALSE)</f>
        <v>3115114360</v>
      </c>
    </row>
    <row r="494" spans="1:13" ht="15.75" customHeight="1" x14ac:dyDescent="0.25">
      <c r="A494" t="s">
        <v>1929</v>
      </c>
      <c r="B494" s="3" t="s">
        <v>1090</v>
      </c>
      <c r="C494" s="3" t="s">
        <v>76</v>
      </c>
      <c r="D494" s="3" t="s">
        <v>239</v>
      </c>
      <c r="E494" s="3" t="s">
        <v>760</v>
      </c>
      <c r="F494" s="5">
        <v>26860</v>
      </c>
      <c r="G494" s="14">
        <f t="shared" ca="1" si="7"/>
        <v>48</v>
      </c>
      <c r="H494" s="3" t="s">
        <v>1309</v>
      </c>
      <c r="I494" t="str" cm="1">
        <f t="array" ref="I494">ADAPTAR(B494)&amp;ADAPTAR(C494)&amp;"_"&amp;ADAPTAR(E494)&amp;F494</f>
        <v>martacecilia_alzate26860</v>
      </c>
      <c r="J494" s="13">
        <v>12</v>
      </c>
      <c r="K494" t="str" cm="1">
        <f t="array" ref="K494">ADAPTAR(B494)&amp;"."&amp;ADAPTAR(D494)&amp;YEAR(F494)&amp;"@"&amp;VLOOKUP(J494,Dominios!$A$2:$B$30,2,FALSE)</f>
        <v>marta.salazar1973@nunquam.com.co</v>
      </c>
      <c r="L494" s="13">
        <v>12</v>
      </c>
      <c r="M494">
        <f>VLOOKUP(L494,Celulares!$A$2:$B$30,2,FALSE)</f>
        <v>3115093653</v>
      </c>
    </row>
    <row r="495" spans="1:13" ht="15.75" customHeight="1" x14ac:dyDescent="0.25">
      <c r="A495" t="s">
        <v>1930</v>
      </c>
      <c r="B495" s="3" t="s">
        <v>20</v>
      </c>
      <c r="C495" s="3" t="s">
        <v>174</v>
      </c>
      <c r="D495" s="3" t="s">
        <v>721</v>
      </c>
      <c r="E495" s="3" t="s">
        <v>722</v>
      </c>
      <c r="F495" s="5">
        <v>31500</v>
      </c>
      <c r="G495" s="14">
        <f t="shared" ca="1" si="7"/>
        <v>35.287671232876711</v>
      </c>
      <c r="H495" s="3" t="s">
        <v>1310</v>
      </c>
      <c r="I495" t="str" cm="1">
        <f t="array" ref="I495">ADAPTAR(B495)&amp;ADAPTAR(C495)&amp;"_"&amp;ADAPTAR(E495)&amp;F495</f>
        <v>anamilena_barrera31500</v>
      </c>
      <c r="J495" s="13">
        <v>13</v>
      </c>
      <c r="K495" t="str" cm="1">
        <f t="array" ref="K495">ADAPTAR(B495)&amp;"."&amp;ADAPTAR(D495)&amp;YEAR(F495)&amp;"@"&amp;VLOOKUP(J495,Dominios!$A$2:$B$30,2,FALSE)</f>
        <v>ana.aguilar1986@sempiternam.co</v>
      </c>
      <c r="L495" s="13">
        <v>13</v>
      </c>
      <c r="M495">
        <f>VLOOKUP(L495,Celulares!$A$2:$B$30,2,FALSE)</f>
        <v>3115093598</v>
      </c>
    </row>
    <row r="496" spans="1:13" ht="15.75" customHeight="1" x14ac:dyDescent="0.25">
      <c r="A496" t="s">
        <v>1931</v>
      </c>
      <c r="B496" s="3" t="s">
        <v>1091</v>
      </c>
      <c r="C496" s="3" t="s">
        <v>9</v>
      </c>
      <c r="D496" s="3" t="s">
        <v>722</v>
      </c>
      <c r="E496" s="3" t="s">
        <v>476</v>
      </c>
      <c r="F496" s="5">
        <v>34916</v>
      </c>
      <c r="G496" s="14">
        <f t="shared" ca="1" si="7"/>
        <v>25.92876712328767</v>
      </c>
      <c r="H496" s="3" t="s">
        <v>1311</v>
      </c>
      <c r="I496" t="str" cm="1">
        <f t="array" ref="I496">ADAPTAR(B496)&amp;ADAPTAR(C496)&amp;"_"&amp;ADAPTAR(E496)&amp;F496</f>
        <v>genesisdaniela_prieto34916</v>
      </c>
      <c r="J496" s="13">
        <v>14</v>
      </c>
      <c r="K496" t="str" cm="1">
        <f t="array" ref="K496">ADAPTAR(B496)&amp;"."&amp;ADAPTAR(D496)&amp;YEAR(F496)&amp;"@"&amp;VLOOKUP(J496,Dominios!$A$2:$B$30,2,FALSE)</f>
        <v>genesis.barrera1995@sk9.co</v>
      </c>
      <c r="L496" s="13">
        <v>14</v>
      </c>
      <c r="M496">
        <f>VLOOKUP(L496,Celulares!$A$2:$B$30,2,FALSE)</f>
        <v>3115093583</v>
      </c>
    </row>
    <row r="497" spans="1:13" ht="15.75" customHeight="1" x14ac:dyDescent="0.25">
      <c r="A497" t="s">
        <v>1932</v>
      </c>
      <c r="B497" s="3" t="s">
        <v>159</v>
      </c>
      <c r="C497" s="3" t="s">
        <v>1415</v>
      </c>
      <c r="D497" s="3" t="s">
        <v>730</v>
      </c>
      <c r="E497" s="3" t="s">
        <v>692</v>
      </c>
      <c r="F497" s="5">
        <v>33780</v>
      </c>
      <c r="G497" s="14">
        <f t="shared" ca="1" si="7"/>
        <v>29.041095890410958</v>
      </c>
      <c r="H497" s="3" t="s">
        <v>1312</v>
      </c>
      <c r="I497" t="str" cm="1">
        <f t="array" ref="I497">ADAPTAR(B497)&amp;ADAPTAR(C497)&amp;"_"&amp;ADAPTAR(E497)&amp;F497</f>
        <v>teresafelicia_hurtado33780</v>
      </c>
      <c r="J497" s="13">
        <v>15</v>
      </c>
      <c r="K497" t="str" cm="1">
        <f t="array" ref="K497">ADAPTAR(B497)&amp;"."&amp;ADAPTAR(D497)&amp;YEAR(F497)&amp;"@"&amp;VLOOKUP(J497,Dominios!$A$2:$B$30,2,FALSE)</f>
        <v>teresa.perez1992@socialmediacolombia.com.co</v>
      </c>
      <c r="L497" s="13">
        <v>15</v>
      </c>
      <c r="M497">
        <f>VLOOKUP(L497,Celulares!$A$2:$B$30,2,FALSE)</f>
        <v>3115092386</v>
      </c>
    </row>
    <row r="498" spans="1:13" ht="15.75" customHeight="1" x14ac:dyDescent="0.25">
      <c r="A498" t="s">
        <v>1933</v>
      </c>
      <c r="B498" s="3" t="s">
        <v>620</v>
      </c>
      <c r="C498" s="3" t="s">
        <v>897</v>
      </c>
      <c r="D498" s="3" t="s">
        <v>803</v>
      </c>
      <c r="E498" s="3" t="s">
        <v>795</v>
      </c>
      <c r="F498" s="5">
        <v>36375</v>
      </c>
      <c r="G498" s="14">
        <f t="shared" ca="1" si="7"/>
        <v>21.931506849315067</v>
      </c>
      <c r="H498" s="3" t="s">
        <v>1313</v>
      </c>
      <c r="I498" t="str" cm="1">
        <f t="array" ref="I498">ADAPTAR(B498)&amp;ADAPTAR(C498)&amp;"_"&amp;ADAPTAR(E498)&amp;F498</f>
        <v>victoriamargarita_hoyos36375</v>
      </c>
      <c r="J498" s="13">
        <v>16</v>
      </c>
      <c r="K498" t="str" cm="1">
        <f t="array" ref="K498">ADAPTAR(B498)&amp;"."&amp;ADAPTAR(D498)&amp;YEAR(F498)&amp;"@"&amp;VLOOKUP(J498,Dominios!$A$2:$B$30,2,FALSE)</f>
        <v>victoria.marin1999@tecnicoensistemas.com.co</v>
      </c>
      <c r="L498" s="13">
        <v>16</v>
      </c>
      <c r="M498">
        <f>VLOOKUP(L498,Celulares!$A$2:$B$30,2,FALSE)</f>
        <v>3115092375</v>
      </c>
    </row>
    <row r="499" spans="1:13" ht="15.75" customHeight="1" x14ac:dyDescent="0.25">
      <c r="A499" t="s">
        <v>1934</v>
      </c>
      <c r="B499" s="3" t="s">
        <v>25</v>
      </c>
      <c r="C499" s="3" t="s">
        <v>6</v>
      </c>
      <c r="D499" s="3" t="s">
        <v>756</v>
      </c>
      <c r="E499" s="3" t="s">
        <v>802</v>
      </c>
      <c r="F499" s="5">
        <v>31483</v>
      </c>
      <c r="G499" s="14">
        <f t="shared" ca="1" si="7"/>
        <v>35.334246575342469</v>
      </c>
      <c r="H499" s="3" t="s">
        <v>1233</v>
      </c>
      <c r="I499" t="str" cm="1">
        <f t="array" ref="I499">ADAPTAR(B499)&amp;ADAPTAR(C499)&amp;"_"&amp;ADAPTAR(E499)&amp;F499</f>
        <v>isabelsofia_castro31483</v>
      </c>
      <c r="J499" s="13">
        <v>17</v>
      </c>
      <c r="K499" t="str" cm="1">
        <f t="array" ref="K499">ADAPTAR(B499)&amp;"."&amp;ADAPTAR(D499)&amp;YEAR(F499)&amp;"@"&amp;VLOOKUP(J499,Dominios!$A$2:$B$30,2,FALSE)</f>
        <v>isabel.perdomo1986@totum.com.co</v>
      </c>
      <c r="L499" s="13">
        <v>17</v>
      </c>
      <c r="M499">
        <f>VLOOKUP(L499,Celulares!$A$2:$B$30,2,FALSE)</f>
        <v>3115092369</v>
      </c>
    </row>
    <row r="500" spans="1:13" ht="15.75" customHeight="1" x14ac:dyDescent="0.25">
      <c r="A500" t="s">
        <v>1935</v>
      </c>
      <c r="B500" s="3" t="s">
        <v>931</v>
      </c>
      <c r="C500" s="3" t="s">
        <v>16</v>
      </c>
      <c r="D500" s="3" t="s">
        <v>824</v>
      </c>
      <c r="E500" s="3" t="s">
        <v>742</v>
      </c>
      <c r="F500" s="5">
        <v>24654</v>
      </c>
      <c r="G500" s="14">
        <f t="shared" ca="1" si="7"/>
        <v>54.043835616438358</v>
      </c>
      <c r="H500" s="3" t="s">
        <v>1314</v>
      </c>
      <c r="I500" t="str" cm="1">
        <f t="array" ref="I500">ADAPTAR(B500)&amp;ADAPTAR(C500)&amp;"_"&amp;ADAPTAR(E500)&amp;F500</f>
        <v>dulcemaria_florez24654</v>
      </c>
      <c r="J500" s="13">
        <v>18</v>
      </c>
      <c r="K500" t="str" cm="1">
        <f t="array" ref="K500">ADAPTAR(B500)&amp;"."&amp;ADAPTAR(D500)&amp;YEAR(F500)&amp;"@"&amp;VLOOKUP(J500,Dominios!$A$2:$B$30,2,FALSE)</f>
        <v>dulce.jaramillo1967@voipcolombia.co</v>
      </c>
      <c r="L500" s="13">
        <v>18</v>
      </c>
      <c r="M500">
        <f>VLOOKUP(L500,Celulares!$A$2:$B$30,2,FALSE)</f>
        <v>3115092360</v>
      </c>
    </row>
    <row r="501" spans="1:13" ht="15.75" customHeight="1" x14ac:dyDescent="0.25">
      <c r="A501" t="s">
        <v>1936</v>
      </c>
      <c r="B501" s="3" t="s">
        <v>14</v>
      </c>
      <c r="C501" s="3" t="s">
        <v>8</v>
      </c>
      <c r="D501" s="3" t="s">
        <v>522</v>
      </c>
      <c r="E501" s="3" t="s">
        <v>747</v>
      </c>
      <c r="F501" s="5">
        <v>29711</v>
      </c>
      <c r="G501" s="14">
        <f t="shared" ca="1" si="7"/>
        <v>40.18904109589041</v>
      </c>
      <c r="H501" s="3" t="s">
        <v>1315</v>
      </c>
      <c r="I501" t="str" cm="1">
        <f t="array" ref="I501">ADAPTAR(B501)&amp;ADAPTAR(C501)&amp;"_"&amp;ADAPTAR(E501)&amp;F501</f>
        <v>nataliavalentina_rojas29711</v>
      </c>
      <c r="J501" s="13">
        <v>19</v>
      </c>
      <c r="K501" t="str" cm="1">
        <f t="array" ref="K501">ADAPTAR(B501)&amp;"."&amp;ADAPTAR(D501)&amp;YEAR(F501)&amp;"@"&amp;VLOOKUP(J501,Dominios!$A$2:$B$30,2,FALSE)</f>
        <v>natalia.bonilla1981@vpncolombia.com.co</v>
      </c>
      <c r="L501" s="13">
        <v>19</v>
      </c>
      <c r="M501">
        <f>VLOOKUP(L501,Celulares!$A$2:$B$30,2,FALSE)</f>
        <v>3115092352</v>
      </c>
    </row>
    <row r="502" spans="1:13" ht="15.75" customHeight="1" x14ac:dyDescent="0.25">
      <c r="A502" t="s">
        <v>1937</v>
      </c>
      <c r="B502" s="3" t="s">
        <v>20</v>
      </c>
      <c r="C502" s="3" t="s">
        <v>16</v>
      </c>
      <c r="D502" s="3" t="s">
        <v>297</v>
      </c>
      <c r="E502" s="3" t="s">
        <v>768</v>
      </c>
      <c r="F502" s="5">
        <v>33740</v>
      </c>
      <c r="G502" s="14">
        <f t="shared" ca="1" si="7"/>
        <v>29.150684931506849</v>
      </c>
      <c r="H502" s="3" t="s">
        <v>1316</v>
      </c>
      <c r="I502" t="str" cm="1">
        <f t="array" ref="I502">ADAPTAR(B502)&amp;ADAPTAR(C502)&amp;"_"&amp;ADAPTAR(E502)&amp;F502</f>
        <v>anamaria_medina33740</v>
      </c>
      <c r="J502" s="13">
        <v>0</v>
      </c>
      <c r="K502" t="str" cm="1">
        <f t="array" ref="K502">ADAPTAR(B502)&amp;"."&amp;ADAPTAR(D502)&amp;YEAR(F502)&amp;"@"&amp;VLOOKUP(J502,Dominios!$A$2:$B$30,2,FALSE)</f>
        <v>ana.trujillo1992@auribus.com.co</v>
      </c>
      <c r="L502" s="13">
        <v>0</v>
      </c>
      <c r="M502">
        <f>VLOOKUP(L502,Celulares!$A$2:$B$30,2,FALSE)</f>
        <v>3115114930</v>
      </c>
    </row>
    <row r="503" spans="1:13" ht="15.75" customHeight="1" x14ac:dyDescent="0.25">
      <c r="A503" t="s">
        <v>1938</v>
      </c>
      <c r="B503" s="3" t="s">
        <v>20</v>
      </c>
      <c r="C503" s="3" t="s">
        <v>19</v>
      </c>
      <c r="D503" s="3" t="s">
        <v>738</v>
      </c>
      <c r="E503" s="3" t="s">
        <v>752</v>
      </c>
      <c r="F503" s="5">
        <v>30882</v>
      </c>
      <c r="G503" s="14">
        <f t="shared" ca="1" si="7"/>
        <v>36.980821917808221</v>
      </c>
      <c r="H503" s="3" t="s">
        <v>1317</v>
      </c>
      <c r="I503" t="str" cm="1">
        <f t="array" ref="I503">ADAPTAR(B503)&amp;ADAPTAR(C503)&amp;"_"&amp;ADAPTAR(E503)&amp;F503</f>
        <v>anapaula_serna30882</v>
      </c>
      <c r="J503" s="13">
        <v>1</v>
      </c>
      <c r="K503" t="str" cm="1">
        <f t="array" ref="K503">ADAPTAR(B503)&amp;"."&amp;ADAPTAR(D503)&amp;YEAR(F503)&amp;"@"&amp;VLOOKUP(J503,Dominios!$A$2:$B$30,2,FALSE)</f>
        <v>ana.polo1984@colamus.co</v>
      </c>
      <c r="L503" s="13">
        <v>1</v>
      </c>
      <c r="M503">
        <f>VLOOKUP(L503,Celulares!$A$2:$B$30,2,FALSE)</f>
        <v>3115114916</v>
      </c>
    </row>
    <row r="504" spans="1:13" ht="15.75" customHeight="1" x14ac:dyDescent="0.25">
      <c r="A504" t="s">
        <v>1939</v>
      </c>
      <c r="B504" s="3" t="s">
        <v>324</v>
      </c>
      <c r="C504" s="3" t="s">
        <v>6</v>
      </c>
      <c r="D504" s="3" t="s">
        <v>837</v>
      </c>
      <c r="E504" s="3" t="s">
        <v>851</v>
      </c>
      <c r="F504" s="5">
        <v>28321</v>
      </c>
      <c r="G504" s="14">
        <f t="shared" ca="1" si="7"/>
        <v>43.9972602739726</v>
      </c>
      <c r="H504" s="3" t="s">
        <v>1318</v>
      </c>
      <c r="I504" t="str" cm="1">
        <f t="array" ref="I504">ADAPTAR(B504)&amp;ADAPTAR(C504)&amp;"_"&amp;ADAPTAR(E504)&amp;F504</f>
        <v>sarasofia_benitez28321</v>
      </c>
      <c r="J504" s="13">
        <v>2</v>
      </c>
      <c r="K504" t="str" cm="1">
        <f t="array" ref="K504">ADAPTAR(B504)&amp;"."&amp;ADAPTAR(D504)&amp;YEAR(F504)&amp;"@"&amp;VLOOKUP(J504,Dominios!$A$2:$B$30,2,FALSE)</f>
        <v>sara.sanchez1977@colombiamail.co</v>
      </c>
      <c r="L504" s="13">
        <v>2</v>
      </c>
      <c r="M504">
        <f>VLOOKUP(L504,Celulares!$A$2:$B$30,2,FALSE)</f>
        <v>3115114911</v>
      </c>
    </row>
    <row r="505" spans="1:13" ht="15.75" customHeight="1" x14ac:dyDescent="0.25">
      <c r="A505" t="s">
        <v>1940</v>
      </c>
      <c r="B505" s="3" t="s">
        <v>143</v>
      </c>
      <c r="C505" s="3" t="s">
        <v>32</v>
      </c>
      <c r="D505" s="3" t="s">
        <v>722</v>
      </c>
      <c r="E505" s="3" t="s">
        <v>817</v>
      </c>
      <c r="F505" s="5">
        <v>28930</v>
      </c>
      <c r="G505" s="14">
        <f t="shared" ca="1" si="7"/>
        <v>42.328767123287669</v>
      </c>
      <c r="H505" s="3" t="s">
        <v>1319</v>
      </c>
      <c r="I505" t="str" cm="1">
        <f t="array" ref="I505">ADAPTAR(B505)&amp;ADAPTAR(C505)&amp;"_"&amp;ADAPTAR(E505)&amp;F505</f>
        <v>luzelena_castillo28930</v>
      </c>
      <c r="J505" s="13">
        <v>3</v>
      </c>
      <c r="K505" t="str" cm="1">
        <f t="array" ref="K505">ADAPTAR(B505)&amp;"."&amp;ADAPTAR(D505)&amp;YEAR(F505)&amp;"@"&amp;VLOOKUP(J505,Dominios!$A$2:$B$30,2,FALSE)</f>
        <v>luz.barrera1979@diabunter.co</v>
      </c>
      <c r="L505" s="13">
        <v>3</v>
      </c>
      <c r="M505">
        <f>VLOOKUP(L505,Celulares!$A$2:$B$30,2,FALSE)</f>
        <v>3115114910</v>
      </c>
    </row>
    <row r="506" spans="1:13" ht="15.75" customHeight="1" x14ac:dyDescent="0.25">
      <c r="A506" t="s">
        <v>1941</v>
      </c>
      <c r="B506" s="3" t="s">
        <v>10</v>
      </c>
      <c r="C506" s="3" t="s">
        <v>1416</v>
      </c>
      <c r="D506" s="3" t="s">
        <v>820</v>
      </c>
      <c r="E506" s="3" t="s">
        <v>844</v>
      </c>
      <c r="F506" s="5">
        <v>29221</v>
      </c>
      <c r="G506" s="14">
        <f t="shared" ca="1" si="7"/>
        <v>41.531506849315072</v>
      </c>
      <c r="H506" s="3" t="s">
        <v>1320</v>
      </c>
      <c r="I506" t="str" cm="1">
        <f t="array" ref="I506">ADAPTAR(B506)&amp;ADAPTAR(C506)&amp;"_"&amp;ADAPTAR(E506)&amp;F506</f>
        <v>marianajosefina_acevedo29221</v>
      </c>
      <c r="J506" s="13">
        <v>4</v>
      </c>
      <c r="K506" t="str" cm="1">
        <f t="array" ref="K506">ADAPTAR(B506)&amp;"."&amp;ADAPTAR(D506)&amp;YEAR(F506)&amp;"@"&amp;VLOOKUP(J506,Dominios!$A$2:$B$30,2,FALSE)</f>
        <v>mariana.duarte1980@ebrietas.co</v>
      </c>
      <c r="L506" s="13">
        <v>4</v>
      </c>
      <c r="M506">
        <f>VLOOKUP(L506,Celulares!$A$2:$B$30,2,FALSE)</f>
        <v>3115114909</v>
      </c>
    </row>
    <row r="507" spans="1:13" ht="15.75" customHeight="1" x14ac:dyDescent="0.25">
      <c r="A507" t="s">
        <v>1942</v>
      </c>
      <c r="B507" s="3" t="s">
        <v>140</v>
      </c>
      <c r="C507" s="3" t="s">
        <v>17</v>
      </c>
      <c r="D507" s="3" t="s">
        <v>712</v>
      </c>
      <c r="E507" s="3" t="s">
        <v>813</v>
      </c>
      <c r="F507" s="5">
        <v>27085</v>
      </c>
      <c r="G507" s="14">
        <f t="shared" ca="1" si="7"/>
        <v>47.38356164383562</v>
      </c>
      <c r="H507" s="3" t="s">
        <v>1321</v>
      </c>
      <c r="I507" t="str" cm="1">
        <f t="array" ref="I507">ADAPTAR(B507)&amp;ADAPTAR(C507)&amp;"_"&amp;ADAPTAR(E507)&amp;F507</f>
        <v>luisafernanda_galindo27085</v>
      </c>
      <c r="J507" s="13">
        <v>5</v>
      </c>
      <c r="K507" t="str" cm="1">
        <f t="array" ref="K507">ADAPTAR(B507)&amp;"."&amp;ADAPTAR(D507)&amp;YEAR(F507)&amp;"@"&amp;VLOOKUP(J507,Dominios!$A$2:$B$30,2,FALSE)</f>
        <v>luisa.padilla1974@elsinsonte.co</v>
      </c>
      <c r="L507" s="13">
        <v>5</v>
      </c>
      <c r="M507">
        <f>VLOOKUP(L507,Celulares!$A$2:$B$30,2,FALSE)</f>
        <v>3115060130</v>
      </c>
    </row>
    <row r="508" spans="1:13" ht="15.75" customHeight="1" x14ac:dyDescent="0.25">
      <c r="A508" t="s">
        <v>1943</v>
      </c>
      <c r="B508" s="3" t="s">
        <v>31</v>
      </c>
      <c r="C508" s="3" t="s">
        <v>893</v>
      </c>
      <c r="D508" s="3" t="s">
        <v>707</v>
      </c>
      <c r="E508" s="3" t="s">
        <v>809</v>
      </c>
      <c r="F508" s="5">
        <v>36658</v>
      </c>
      <c r="G508" s="14">
        <f t="shared" ca="1" si="7"/>
        <v>21.156164383561645</v>
      </c>
      <c r="H508" s="3" t="s">
        <v>1322</v>
      </c>
      <c r="I508" t="str" cm="1">
        <f t="array" ref="I508">ADAPTAR(B508)&amp;ADAPTAR(C508)&amp;"_"&amp;ADAPTAR(E508)&amp;F508</f>
        <v>paolaesther_ardila36658</v>
      </c>
      <c r="J508" s="13">
        <v>6</v>
      </c>
      <c r="K508" t="str" cm="1">
        <f t="array" ref="K508">ADAPTAR(B508)&amp;"."&amp;ADAPTAR(D508)&amp;YEAR(F508)&amp;"@"&amp;VLOOKUP(J508,Dominios!$A$2:$B$30,2,FALSE)</f>
        <v>paola.pineda2000@enigmaserver.co</v>
      </c>
      <c r="L508" s="13">
        <v>6</v>
      </c>
      <c r="M508">
        <f>VLOOKUP(L508,Celulares!$A$2:$B$30,2,FALSE)</f>
        <v>3115060125</v>
      </c>
    </row>
    <row r="509" spans="1:13" ht="15.75" customHeight="1" x14ac:dyDescent="0.25">
      <c r="A509" t="s">
        <v>1944</v>
      </c>
      <c r="B509" s="3" t="s">
        <v>198</v>
      </c>
      <c r="C509" s="3" t="s">
        <v>6</v>
      </c>
      <c r="D509" s="3" t="s">
        <v>673</v>
      </c>
      <c r="E509" s="3" t="s">
        <v>740</v>
      </c>
      <c r="F509" s="5">
        <v>24508</v>
      </c>
      <c r="G509" s="14">
        <f t="shared" ca="1" si="7"/>
        <v>54.443835616438356</v>
      </c>
      <c r="H509" s="3" t="s">
        <v>1323</v>
      </c>
      <c r="I509" t="str" cm="1">
        <f t="array" ref="I509">ADAPTAR(B509)&amp;ADAPTAR(C509)&amp;"_"&amp;ADAPTAR(E509)&amp;F509</f>
        <v>sandrasofia_ortega24508</v>
      </c>
      <c r="J509" s="13">
        <v>7</v>
      </c>
      <c r="K509" t="str" cm="1">
        <f t="array" ref="K509">ADAPTAR(B509)&amp;"."&amp;ADAPTAR(D509)&amp;YEAR(F509)&amp;"@"&amp;VLOOKUP(J509,Dominios!$A$2:$B$30,2,FALSE)</f>
        <v>sandra.molina1967@hocknas.co</v>
      </c>
      <c r="L509" s="13">
        <v>7</v>
      </c>
      <c r="M509">
        <f>VLOOKUP(L509,Celulares!$A$2:$B$30,2,FALSE)</f>
        <v>3115060110</v>
      </c>
    </row>
    <row r="510" spans="1:13" ht="15.75" customHeight="1" x14ac:dyDescent="0.25">
      <c r="A510" t="s">
        <v>1945</v>
      </c>
      <c r="B510" s="3" t="s">
        <v>935</v>
      </c>
      <c r="C510" s="3" t="s">
        <v>18</v>
      </c>
      <c r="D510" s="3" t="s">
        <v>774</v>
      </c>
      <c r="E510" s="3" t="s">
        <v>750</v>
      </c>
      <c r="F510" s="5">
        <v>33222</v>
      </c>
      <c r="G510" s="14">
        <f t="shared" ca="1" si="7"/>
        <v>30.56986301369863</v>
      </c>
      <c r="H510" s="3" t="s">
        <v>1324</v>
      </c>
      <c r="I510" t="str" cm="1">
        <f t="array" ref="I510">ADAPTAR(B510)&amp;ADAPTAR(C510)&amp;"_"&amp;ADAPTAR(E510)&amp;F510</f>
        <v>orianaalejandra_cardona33222</v>
      </c>
      <c r="J510" s="13">
        <v>8</v>
      </c>
      <c r="K510" t="str" cm="1">
        <f t="array" ref="K510">ADAPTAR(B510)&amp;"."&amp;ADAPTAR(D510)&amp;YEAR(F510)&amp;"@"&amp;VLOOKUP(J510,Dominios!$A$2:$B$30,2,FALSE)</f>
        <v>oriana.rueda1990@hostedoceri.co</v>
      </c>
      <c r="L510" s="13">
        <v>8</v>
      </c>
      <c r="M510">
        <f>VLOOKUP(L510,Celulares!$A$2:$B$30,2,FALSE)</f>
        <v>3115060091</v>
      </c>
    </row>
    <row r="511" spans="1:13" ht="15.75" customHeight="1" x14ac:dyDescent="0.25">
      <c r="A511" t="s">
        <v>1946</v>
      </c>
      <c r="B511" s="3" t="s">
        <v>301</v>
      </c>
      <c r="C511" s="3" t="s">
        <v>9</v>
      </c>
      <c r="D511" s="3" t="s">
        <v>701</v>
      </c>
      <c r="E511" s="3" t="s">
        <v>676</v>
      </c>
      <c r="F511" s="5">
        <v>26801</v>
      </c>
      <c r="G511" s="14">
        <f t="shared" ca="1" si="7"/>
        <v>48.161643835616438</v>
      </c>
      <c r="H511" s="3" t="s">
        <v>1325</v>
      </c>
      <c r="I511" t="str" cm="1">
        <f t="array" ref="I511">ADAPTAR(B511)&amp;ADAPTAR(C511)&amp;"_"&amp;ADAPTAR(E511)&amp;F511</f>
        <v>jessicadaniela_rios26801</v>
      </c>
      <c r="J511" s="13">
        <v>9</v>
      </c>
      <c r="K511" t="str" cm="1">
        <f t="array" ref="K511">ADAPTAR(B511)&amp;"."&amp;ADAPTAR(D511)&amp;YEAR(F511)&amp;"@"&amp;VLOOKUP(J511,Dominios!$A$2:$B$30,2,FALSE)</f>
        <v>jessica.vega1973@libertas.com.co</v>
      </c>
      <c r="L511" s="13">
        <v>9</v>
      </c>
      <c r="M511">
        <f>VLOOKUP(L511,Celulares!$A$2:$B$30,2,FALSE)</f>
        <v>3115060080</v>
      </c>
    </row>
    <row r="512" spans="1:13" ht="15.75" customHeight="1" x14ac:dyDescent="0.25">
      <c r="A512" t="s">
        <v>1947</v>
      </c>
      <c r="B512" s="3" t="s">
        <v>988</v>
      </c>
      <c r="C512" s="3" t="s">
        <v>31</v>
      </c>
      <c r="D512" s="3" t="s">
        <v>754</v>
      </c>
      <c r="E512" s="3" t="s">
        <v>751</v>
      </c>
      <c r="F512" s="5">
        <v>34341</v>
      </c>
      <c r="G512" s="14">
        <f t="shared" ca="1" si="7"/>
        <v>27.504109589041096</v>
      </c>
      <c r="H512" s="3" t="s">
        <v>1326</v>
      </c>
      <c r="I512" t="str" cm="1">
        <f t="array" ref="I512">ADAPTAR(B512)&amp;ADAPTAR(C512)&amp;"_"&amp;ADAPTAR(E512)&amp;F512</f>
        <v>gisellepaola_figueroa34341</v>
      </c>
      <c r="J512" s="13">
        <v>10</v>
      </c>
      <c r="K512" t="str" cm="1">
        <f t="array" ref="K512">ADAPTAR(B512)&amp;"."&amp;ADAPTAR(D512)&amp;YEAR(F512)&amp;"@"&amp;VLOOKUP(J512,Dominios!$A$2:$B$30,2,FALSE)</f>
        <v>giselle.soto1994@nascitur.com.co</v>
      </c>
      <c r="L512" s="13">
        <v>10</v>
      </c>
      <c r="M512">
        <f>VLOOKUP(L512,Celulares!$A$2:$B$30,2,FALSE)</f>
        <v>3115114385</v>
      </c>
    </row>
    <row r="513" spans="1:13" ht="15.75" customHeight="1" x14ac:dyDescent="0.25">
      <c r="A513" t="s">
        <v>1948</v>
      </c>
      <c r="B513" s="3" t="s">
        <v>140</v>
      </c>
      <c r="C513" s="3" t="s">
        <v>1417</v>
      </c>
      <c r="D513" s="3" t="s">
        <v>841</v>
      </c>
      <c r="E513" s="3" t="s">
        <v>762</v>
      </c>
      <c r="F513" s="5">
        <v>27720</v>
      </c>
      <c r="G513" s="14">
        <f t="shared" ca="1" si="7"/>
        <v>45.643835616438359</v>
      </c>
      <c r="H513" s="3" t="s">
        <v>1261</v>
      </c>
      <c r="I513" t="str" cm="1">
        <f t="array" ref="I513">ADAPTAR(B513)&amp;ADAPTAR(C513)&amp;"_"&amp;ADAPTAR(E513)&amp;F513</f>
        <v>luisaestafania_restrepo27720</v>
      </c>
      <c r="J513" s="13">
        <v>11</v>
      </c>
      <c r="K513" t="str" cm="1">
        <f t="array" ref="K513">ADAPTAR(B513)&amp;"."&amp;ADAPTAR(D513)&amp;YEAR(F513)&amp;"@"&amp;VLOOKUP(J513,Dominios!$A$2:$B$30,2,FALSE)</f>
        <v>luisa.galvis1975@nemesis.ml</v>
      </c>
      <c r="L513" s="13">
        <v>11</v>
      </c>
      <c r="M513">
        <f>VLOOKUP(L513,Celulares!$A$2:$B$30,2,FALSE)</f>
        <v>3115114360</v>
      </c>
    </row>
    <row r="514" spans="1:13" ht="15.75" customHeight="1" x14ac:dyDescent="0.25">
      <c r="A514" t="s">
        <v>1949</v>
      </c>
      <c r="B514" s="3" t="s">
        <v>1418</v>
      </c>
      <c r="C514" s="3" t="s">
        <v>32</v>
      </c>
      <c r="D514" s="3" t="s">
        <v>831</v>
      </c>
      <c r="E514" s="3" t="s">
        <v>835</v>
      </c>
      <c r="F514" s="5">
        <v>35742</v>
      </c>
      <c r="G514" s="14">
        <f t="shared" ca="1" si="7"/>
        <v>23.665753424657535</v>
      </c>
      <c r="H514" s="3" t="s">
        <v>1327</v>
      </c>
      <c r="I514" t="str" cm="1">
        <f t="array" ref="I514">ADAPTAR(B514)&amp;ADAPTAR(C514)&amp;"_"&amp;ADAPTAR(E514)&amp;F514</f>
        <v>ciliaelena_henao35742</v>
      </c>
      <c r="J514" s="13">
        <v>12</v>
      </c>
      <c r="K514" t="str" cm="1">
        <f t="array" ref="K514">ADAPTAR(B514)&amp;"."&amp;ADAPTAR(D514)&amp;YEAR(F514)&amp;"@"&amp;VLOOKUP(J514,Dominios!$A$2:$B$30,2,FALSE)</f>
        <v>cilia.arrieta1997@nunquam.com.co</v>
      </c>
      <c r="L514" s="13">
        <v>12</v>
      </c>
      <c r="M514">
        <f>VLOOKUP(L514,Celulares!$A$2:$B$30,2,FALSE)</f>
        <v>3115093653</v>
      </c>
    </row>
    <row r="515" spans="1:13" ht="15.75" customHeight="1" x14ac:dyDescent="0.25">
      <c r="A515" t="s">
        <v>1950</v>
      </c>
      <c r="B515" s="3" t="s">
        <v>926</v>
      </c>
      <c r="C515" s="3" t="s">
        <v>936</v>
      </c>
      <c r="D515" s="3" t="s">
        <v>825</v>
      </c>
      <c r="E515" s="3" t="s">
        <v>732</v>
      </c>
      <c r="F515" s="5">
        <v>31502</v>
      </c>
      <c r="G515" s="14">
        <f t="shared" ref="G515:G543" ca="1" si="8">(TODAY()-F515)/365</f>
        <v>35.282191780821918</v>
      </c>
      <c r="H515" s="3" t="s">
        <v>1328</v>
      </c>
      <c r="I515" t="str" cm="1">
        <f t="array" ref="I515">ADAPTAR(B515)&amp;ADAPTAR(C515)&amp;"_"&amp;ADAPTAR(E515)&amp;F515</f>
        <v>dorajosefina_pinzon31502</v>
      </c>
      <c r="J515" s="13">
        <v>13</v>
      </c>
      <c r="K515" t="str" cm="1">
        <f t="array" ref="K515">ADAPTAR(B515)&amp;"."&amp;ADAPTAR(D515)&amp;YEAR(F515)&amp;"@"&amp;VLOOKUP(J515,Dominios!$A$2:$B$30,2,FALSE)</f>
        <v>dora.moreno1986@sempiternam.co</v>
      </c>
      <c r="L515" s="13">
        <v>13</v>
      </c>
      <c r="M515">
        <f>VLOOKUP(L515,Celulares!$A$2:$B$30,2,FALSE)</f>
        <v>3115093598</v>
      </c>
    </row>
    <row r="516" spans="1:13" ht="15.75" customHeight="1" x14ac:dyDescent="0.25">
      <c r="A516" t="s">
        <v>1951</v>
      </c>
      <c r="B516" s="3" t="s">
        <v>9</v>
      </c>
      <c r="C516" s="3" t="s">
        <v>1419</v>
      </c>
      <c r="D516" s="3" t="s">
        <v>680</v>
      </c>
      <c r="E516" s="3" t="s">
        <v>836</v>
      </c>
      <c r="F516" s="5">
        <v>36453</v>
      </c>
      <c r="G516" s="14">
        <f t="shared" ca="1" si="8"/>
        <v>21.717808219178082</v>
      </c>
      <c r="H516" s="3" t="s">
        <v>1311</v>
      </c>
      <c r="I516" t="str" cm="1">
        <f t="array" ref="I516">ADAPTAR(B516)&amp;ADAPTAR(C516)&amp;"_"&amp;ADAPTAR(E516)&amp;F516</f>
        <v>danielaalessandra_jimenez36453</v>
      </c>
      <c r="J516" s="13">
        <v>14</v>
      </c>
      <c r="K516" t="str" cm="1">
        <f t="array" ref="K516">ADAPTAR(B516)&amp;"."&amp;ADAPTAR(D516)&amp;YEAR(F516)&amp;"@"&amp;VLOOKUP(J516,Dominios!$A$2:$B$30,2,FALSE)</f>
        <v>daniela.garzon1999@sk9.co</v>
      </c>
      <c r="L516" s="13">
        <v>14</v>
      </c>
      <c r="M516">
        <f>VLOOKUP(L516,Celulares!$A$2:$B$30,2,FALSE)</f>
        <v>3115093583</v>
      </c>
    </row>
    <row r="517" spans="1:13" ht="15.75" customHeight="1" x14ac:dyDescent="0.25">
      <c r="A517" t="s">
        <v>1952</v>
      </c>
      <c r="B517" s="3" t="s">
        <v>1086</v>
      </c>
      <c r="C517" s="3" t="s">
        <v>9</v>
      </c>
      <c r="D517" s="3" t="s">
        <v>710</v>
      </c>
      <c r="E517" s="3" t="s">
        <v>790</v>
      </c>
      <c r="F517" s="5">
        <v>25585</v>
      </c>
      <c r="G517" s="14">
        <f t="shared" ca="1" si="8"/>
        <v>51.493150684931507</v>
      </c>
      <c r="H517" s="3" t="s">
        <v>1329</v>
      </c>
      <c r="I517" t="str" cm="1">
        <f t="array" ref="I517">ADAPTAR(B517)&amp;ADAPTAR(C517)&amp;"_"&amp;ADAPTAR(E517)&amp;F517</f>
        <v>mirandadaniela_gil25585</v>
      </c>
      <c r="J517" s="13">
        <v>15</v>
      </c>
      <c r="K517" t="str" cm="1">
        <f t="array" ref="K517">ADAPTAR(B517)&amp;"."&amp;ADAPTAR(D517)&amp;YEAR(F517)&amp;"@"&amp;VLOOKUP(J517,Dominios!$A$2:$B$30,2,FALSE)</f>
        <v>miranda.franco1970@socialmediacolombia.com.co</v>
      </c>
      <c r="L517" s="13">
        <v>15</v>
      </c>
      <c r="M517">
        <f>VLOOKUP(L517,Celulares!$A$2:$B$30,2,FALSE)</f>
        <v>3115092386</v>
      </c>
    </row>
    <row r="518" spans="1:13" ht="15.75" customHeight="1" x14ac:dyDescent="0.25">
      <c r="A518" t="s">
        <v>1953</v>
      </c>
      <c r="B518" s="3" t="s">
        <v>937</v>
      </c>
      <c r="C518" s="3" t="s">
        <v>22</v>
      </c>
      <c r="D518" s="3" t="s">
        <v>744</v>
      </c>
      <c r="E518" s="3" t="s">
        <v>812</v>
      </c>
      <c r="F518" s="5">
        <v>27892</v>
      </c>
      <c r="G518" s="14">
        <f t="shared" ca="1" si="8"/>
        <v>45.172602739726024</v>
      </c>
      <c r="H518" s="3" t="s">
        <v>1330</v>
      </c>
      <c r="I518" t="str" cm="1">
        <f t="array" ref="I518">ADAPTAR(B518)&amp;ADAPTAR(C518)&amp;"_"&amp;ADAPTAR(E518)&amp;F518</f>
        <v>olivajazmin_sepulveda27892</v>
      </c>
      <c r="J518" s="13">
        <v>16</v>
      </c>
      <c r="K518" t="str" cm="1">
        <f t="array" ref="K518">ADAPTAR(B518)&amp;"."&amp;ADAPTAR(D518)&amp;YEAR(F518)&amp;"@"&amp;VLOOKUP(J518,Dominios!$A$2:$B$30,2,FALSE)</f>
        <v>oliva.pacheco1976@tecnicoensistemas.com.co</v>
      </c>
      <c r="L518" s="13">
        <v>16</v>
      </c>
      <c r="M518">
        <f>VLOOKUP(L518,Celulares!$A$2:$B$30,2,FALSE)</f>
        <v>3115092375</v>
      </c>
    </row>
    <row r="519" spans="1:13" ht="15.75" customHeight="1" x14ac:dyDescent="0.25">
      <c r="A519" t="s">
        <v>1954</v>
      </c>
      <c r="B519" s="3" t="s">
        <v>939</v>
      </c>
      <c r="C519" s="3" t="s">
        <v>1420</v>
      </c>
      <c r="D519" s="3" t="s">
        <v>834</v>
      </c>
      <c r="E519" s="3" t="s">
        <v>244</v>
      </c>
      <c r="F519" s="5">
        <v>27316</v>
      </c>
      <c r="G519" s="14">
        <f t="shared" ca="1" si="8"/>
        <v>46.750684931506846</v>
      </c>
      <c r="H519" s="3" t="s">
        <v>1331</v>
      </c>
      <c r="I519" t="str" cm="1">
        <f t="array" ref="I519">ADAPTAR(B519)&amp;ADAPTAR(C519)&amp;"_"&amp;ADAPTAR(E519)&amp;F519</f>
        <v>linabelen_correa27316</v>
      </c>
      <c r="J519" s="13">
        <v>17</v>
      </c>
      <c r="K519" t="str" cm="1">
        <f t="array" ref="K519">ADAPTAR(B519)&amp;"."&amp;ADAPTAR(D519)&amp;YEAR(F519)&amp;"@"&amp;VLOOKUP(J519,Dominios!$A$2:$B$30,2,FALSE)</f>
        <v>lina.rosero1974@totum.com.co</v>
      </c>
      <c r="L519" s="13">
        <v>17</v>
      </c>
      <c r="M519">
        <f>VLOOKUP(L519,Celulares!$A$2:$B$30,2,FALSE)</f>
        <v>3115092369</v>
      </c>
    </row>
    <row r="520" spans="1:13" ht="15.75" customHeight="1" x14ac:dyDescent="0.25">
      <c r="A520" t="s">
        <v>1955</v>
      </c>
      <c r="B520" s="3" t="s">
        <v>941</v>
      </c>
      <c r="C520" s="3" t="s">
        <v>218</v>
      </c>
      <c r="D520" s="3" t="s">
        <v>670</v>
      </c>
      <c r="E520" s="3" t="s">
        <v>780</v>
      </c>
      <c r="F520" s="5">
        <v>24551</v>
      </c>
      <c r="G520" s="14">
        <f t="shared" ca="1" si="8"/>
        <v>54.326027397260276</v>
      </c>
      <c r="H520" s="3" t="s">
        <v>1180</v>
      </c>
      <c r="I520" t="str" cm="1">
        <f t="array" ref="I520">ADAPTAR(B520)&amp;ADAPTAR(C520)&amp;"_"&amp;ADAPTAR(E520)&amp;F520</f>
        <v>nadiacristina_amaya24551</v>
      </c>
      <c r="J520" s="13">
        <v>18</v>
      </c>
      <c r="K520" t="str" cm="1">
        <f t="array" ref="K520">ADAPTAR(B520)&amp;"."&amp;ADAPTAR(D520)&amp;YEAR(F520)&amp;"@"&amp;VLOOKUP(J520,Dominios!$A$2:$B$30,2,FALSE)</f>
        <v>nadia.acosta1967@voipcolombia.co</v>
      </c>
      <c r="L520" s="13">
        <v>18</v>
      </c>
      <c r="M520">
        <f>VLOOKUP(L520,Celulares!$A$2:$B$30,2,FALSE)</f>
        <v>3115092360</v>
      </c>
    </row>
    <row r="521" spans="1:13" ht="15.75" customHeight="1" x14ac:dyDescent="0.25">
      <c r="A521" t="s">
        <v>1956</v>
      </c>
      <c r="B521" s="3" t="s">
        <v>1023</v>
      </c>
      <c r="C521" s="3" t="s">
        <v>626</v>
      </c>
      <c r="D521" s="3" t="s">
        <v>772</v>
      </c>
      <c r="E521" s="3" t="s">
        <v>785</v>
      </c>
      <c r="F521" s="5">
        <v>26530</v>
      </c>
      <c r="G521" s="14">
        <f t="shared" ca="1" si="8"/>
        <v>48.904109589041099</v>
      </c>
      <c r="H521" s="3" t="s">
        <v>1177</v>
      </c>
      <c r="I521" t="str" cm="1">
        <f t="array" ref="I521">ADAPTAR(B521)&amp;ADAPTAR(C521)&amp;"_"&amp;ADAPTAR(E521)&amp;F521</f>
        <v>evamartina_cano26530</v>
      </c>
      <c r="J521" s="13">
        <v>19</v>
      </c>
      <c r="K521" t="str" cm="1">
        <f t="array" ref="K521">ADAPTAR(B521)&amp;"."&amp;ADAPTAR(D521)&amp;YEAR(F521)&amp;"@"&amp;VLOOKUP(J521,Dominios!$A$2:$B$30,2,FALSE)</f>
        <v>eva.morales1972@vpncolombia.com.co</v>
      </c>
      <c r="L521" s="13">
        <v>19</v>
      </c>
      <c r="M521">
        <f>VLOOKUP(L521,Celulares!$A$2:$B$30,2,FALSE)</f>
        <v>3115092352</v>
      </c>
    </row>
    <row r="522" spans="1:13" ht="15.75" customHeight="1" x14ac:dyDescent="0.25">
      <c r="A522" t="s">
        <v>1957</v>
      </c>
      <c r="B522" s="3" t="s">
        <v>931</v>
      </c>
      <c r="C522" s="3" t="s">
        <v>7</v>
      </c>
      <c r="D522" s="3" t="s">
        <v>702</v>
      </c>
      <c r="E522" s="3" t="s">
        <v>225</v>
      </c>
      <c r="F522" s="5">
        <v>35104</v>
      </c>
      <c r="G522" s="14">
        <f t="shared" ca="1" si="8"/>
        <v>25.413698630136988</v>
      </c>
      <c r="H522" s="3" t="s">
        <v>1165</v>
      </c>
      <c r="I522" t="str" cm="1">
        <f t="array" ref="I522">ADAPTAR(B522)&amp;ADAPTAR(C522)&amp;"_"&amp;ADAPTAR(E522)&amp;F522</f>
        <v>dulcecamila_vargas35104</v>
      </c>
      <c r="J522" s="13">
        <v>0</v>
      </c>
      <c r="K522" t="str" cm="1">
        <f t="array" ref="K522">ADAPTAR(B522)&amp;"."&amp;ADAPTAR(D522)&amp;YEAR(F522)&amp;"@"&amp;VLOOKUP(J522,Dominios!$A$2:$B$30,2,FALSE)</f>
        <v>dulce.mendez1996@auribus.com.co</v>
      </c>
      <c r="L522" s="13">
        <v>0</v>
      </c>
      <c r="M522">
        <f>VLOOKUP(L522,Celulares!$A$2:$B$30,2,FALSE)</f>
        <v>3115114930</v>
      </c>
    </row>
    <row r="523" spans="1:13" ht="15.75" customHeight="1" x14ac:dyDescent="0.25">
      <c r="A523" t="s">
        <v>1958</v>
      </c>
      <c r="B523" s="3" t="s">
        <v>935</v>
      </c>
      <c r="C523" s="3" t="s">
        <v>18</v>
      </c>
      <c r="D523" s="3" t="s">
        <v>833</v>
      </c>
      <c r="E523" s="3" t="s">
        <v>681</v>
      </c>
      <c r="F523" s="5">
        <v>32046</v>
      </c>
      <c r="G523" s="14">
        <f t="shared" ca="1" si="8"/>
        <v>33.791780821917811</v>
      </c>
      <c r="H523" s="3" t="s">
        <v>1332</v>
      </c>
      <c r="I523" t="str" cm="1">
        <f t="array" ref="I523">ADAPTAR(B523)&amp;ADAPTAR(C523)&amp;"_"&amp;ADAPTAR(E523)&amp;F523</f>
        <v>orianaalejandra_reyes32046</v>
      </c>
      <c r="J523" s="13">
        <v>1</v>
      </c>
      <c r="K523" t="str" cm="1">
        <f t="array" ref="K523">ADAPTAR(B523)&amp;"."&amp;ADAPTAR(D523)&amp;YEAR(F523)&amp;"@"&amp;VLOOKUP(J523,Dominios!$A$2:$B$30,2,FALSE)</f>
        <v>oriana.loaiza1987@colamus.co</v>
      </c>
      <c r="L523" s="13">
        <v>1</v>
      </c>
      <c r="M523">
        <f>VLOOKUP(L523,Celulares!$A$2:$B$30,2,FALSE)</f>
        <v>3115114916</v>
      </c>
    </row>
    <row r="524" spans="1:13" ht="15.75" customHeight="1" x14ac:dyDescent="0.25">
      <c r="A524" t="s">
        <v>1959</v>
      </c>
      <c r="B524" s="3" t="s">
        <v>907</v>
      </c>
      <c r="C524" s="3" t="s">
        <v>7</v>
      </c>
      <c r="D524" s="3" t="s">
        <v>708</v>
      </c>
      <c r="E524" s="3" t="s">
        <v>456</v>
      </c>
      <c r="F524" s="5">
        <v>27041</v>
      </c>
      <c r="G524" s="14">
        <f t="shared" ca="1" si="8"/>
        <v>47.504109589041093</v>
      </c>
      <c r="H524" s="3" t="s">
        <v>1333</v>
      </c>
      <c r="I524" t="str" cm="1">
        <f t="array" ref="I524">ADAPTAR(B524)&amp;ADAPTAR(C524)&amp;"_"&amp;ADAPTAR(E524)&amp;F524</f>
        <v>miacamila_alvarez27041</v>
      </c>
      <c r="J524" s="13">
        <v>2</v>
      </c>
      <c r="K524" t="str" cm="1">
        <f t="array" ref="K524">ADAPTAR(B524)&amp;"."&amp;ADAPTAR(D524)&amp;YEAR(F524)&amp;"@"&amp;VLOOKUP(J524,Dominios!$A$2:$B$30,2,FALSE)</f>
        <v>mia.arango1974@colombiamail.co</v>
      </c>
      <c r="L524" s="13">
        <v>2</v>
      </c>
      <c r="M524">
        <f>VLOOKUP(L524,Celulares!$A$2:$B$30,2,FALSE)</f>
        <v>3115114911</v>
      </c>
    </row>
    <row r="525" spans="1:13" ht="15.75" customHeight="1" x14ac:dyDescent="0.25">
      <c r="A525" t="s">
        <v>1960</v>
      </c>
      <c r="B525" s="3" t="s">
        <v>149</v>
      </c>
      <c r="C525" s="3" t="s">
        <v>1421</v>
      </c>
      <c r="D525" s="3" t="s">
        <v>475</v>
      </c>
      <c r="E525" s="3" t="s">
        <v>840</v>
      </c>
      <c r="F525" s="5">
        <v>29319</v>
      </c>
      <c r="G525" s="14">
        <f t="shared" ca="1" si="8"/>
        <v>41.263013698630139</v>
      </c>
      <c r="H525" s="3" t="s">
        <v>1334</v>
      </c>
      <c r="I525" t="str" cm="1">
        <f t="array" ref="I525">ADAPTAR(B525)&amp;ADAPTAR(C525)&amp;"_"&amp;ADAPTAR(E525)&amp;F525</f>
        <v>aliciamarian_duque29319</v>
      </c>
      <c r="J525" s="13">
        <v>3</v>
      </c>
      <c r="K525" t="str" cm="1">
        <f t="array" ref="K525">ADAPTAR(B525)&amp;"."&amp;ADAPTAR(D525)&amp;YEAR(F525)&amp;"@"&amp;VLOOKUP(J525,Dominios!$A$2:$B$30,2,FALSE)</f>
        <v>alicia.caicedo1980@diabunter.co</v>
      </c>
      <c r="L525" s="13">
        <v>3</v>
      </c>
      <c r="M525">
        <f>VLOOKUP(L525,Celulares!$A$2:$B$30,2,FALSE)</f>
        <v>3115114910</v>
      </c>
    </row>
    <row r="526" spans="1:13" ht="15.75" customHeight="1" x14ac:dyDescent="0.25">
      <c r="A526" t="s">
        <v>1961</v>
      </c>
      <c r="B526" s="3" t="s">
        <v>943</v>
      </c>
      <c r="C526" s="3" t="s">
        <v>1422</v>
      </c>
      <c r="D526" s="3" t="s">
        <v>818</v>
      </c>
      <c r="E526" s="3" t="s">
        <v>247</v>
      </c>
      <c r="F526" s="5">
        <v>25996</v>
      </c>
      <c r="G526" s="14">
        <f t="shared" ca="1" si="8"/>
        <v>50.367123287671234</v>
      </c>
      <c r="H526" s="3" t="s">
        <v>1335</v>
      </c>
      <c r="I526" t="str" cm="1">
        <f t="array" ref="I526">ADAPTAR(B526)&amp;ADAPTAR(C526)&amp;"_"&amp;ADAPTAR(E526)&amp;F526</f>
        <v>juanafilomena_zapata25996</v>
      </c>
      <c r="J526" s="13">
        <v>4</v>
      </c>
      <c r="K526" t="str" cm="1">
        <f t="array" ref="K526">ADAPTAR(B526)&amp;"."&amp;ADAPTAR(D526)&amp;YEAR(F526)&amp;"@"&amp;VLOOKUP(J526,Dominios!$A$2:$B$30,2,FALSE)</f>
        <v>juana.castano1971@ebrietas.co</v>
      </c>
      <c r="L526" s="13">
        <v>4</v>
      </c>
      <c r="M526">
        <f>VLOOKUP(L526,Celulares!$A$2:$B$30,2,FALSE)</f>
        <v>3115114909</v>
      </c>
    </row>
    <row r="527" spans="1:13" ht="15.75" customHeight="1" x14ac:dyDescent="0.25">
      <c r="A527" t="s">
        <v>1962</v>
      </c>
      <c r="B527" s="3" t="s">
        <v>20</v>
      </c>
      <c r="C527" s="3" t="s">
        <v>955</v>
      </c>
      <c r="D527" s="3" t="s">
        <v>704</v>
      </c>
      <c r="E527" s="3" t="s">
        <v>733</v>
      </c>
      <c r="F527" s="5">
        <v>31005</v>
      </c>
      <c r="G527" s="14">
        <f t="shared" ca="1" si="8"/>
        <v>36.643835616438359</v>
      </c>
      <c r="H527" s="3" t="s">
        <v>1336</v>
      </c>
      <c r="I527" t="str" cm="1">
        <f t="array" ref="I527">ADAPTAR(B527)&amp;ADAPTAR(C527)&amp;"_"&amp;ADAPTAR(E527)&amp;F527</f>
        <v>anamercedes_meneses31005</v>
      </c>
      <c r="J527" s="13">
        <v>5</v>
      </c>
      <c r="K527" t="str" cm="1">
        <f t="array" ref="K527">ADAPTAR(B527)&amp;"."&amp;ADAPTAR(D527)&amp;YEAR(F527)&amp;"@"&amp;VLOOKUP(J527,Dominios!$A$2:$B$30,2,FALSE)</f>
        <v>ana.patino1984@elsinsonte.co</v>
      </c>
      <c r="L527" s="13">
        <v>5</v>
      </c>
      <c r="M527">
        <f>VLOOKUP(L527,Celulares!$A$2:$B$30,2,FALSE)</f>
        <v>3115060130</v>
      </c>
    </row>
    <row r="528" spans="1:13" ht="15.75" customHeight="1" x14ac:dyDescent="0.25">
      <c r="A528" t="s">
        <v>1963</v>
      </c>
      <c r="B528" s="3" t="s">
        <v>993</v>
      </c>
      <c r="C528" s="3" t="s">
        <v>894</v>
      </c>
      <c r="D528" s="3" t="s">
        <v>720</v>
      </c>
      <c r="E528" s="3" t="s">
        <v>721</v>
      </c>
      <c r="F528" s="5">
        <v>36169</v>
      </c>
      <c r="G528" s="14">
        <f t="shared" ca="1" si="8"/>
        <v>22.495890410958904</v>
      </c>
      <c r="H528" s="3" t="s">
        <v>1337</v>
      </c>
      <c r="I528" t="str" cm="1">
        <f t="array" ref="I528">ADAPTAR(B528)&amp;ADAPTAR(C528)&amp;"_"&amp;ADAPTAR(E528)&amp;F528</f>
        <v>agustinaignacia_aguilar36169</v>
      </c>
      <c r="J528" s="13">
        <v>6</v>
      </c>
      <c r="K528" t="str" cm="1">
        <f t="array" ref="K528">ADAPTAR(B528)&amp;"."&amp;ADAPTAR(D528)&amp;YEAR(F528)&amp;"@"&amp;VLOOKUP(J528,Dominios!$A$2:$B$30,2,FALSE)</f>
        <v>agustina.herrera1999@enigmaserver.co</v>
      </c>
      <c r="L528" s="13">
        <v>6</v>
      </c>
      <c r="M528">
        <f>VLOOKUP(L528,Celulares!$A$2:$B$30,2,FALSE)</f>
        <v>3115060125</v>
      </c>
    </row>
    <row r="529" spans="1:13" ht="15.75" customHeight="1" x14ac:dyDescent="0.25">
      <c r="A529" t="s">
        <v>1964</v>
      </c>
      <c r="B529" s="3" t="s">
        <v>944</v>
      </c>
      <c r="C529" s="3" t="s">
        <v>82</v>
      </c>
      <c r="D529" s="3" t="s">
        <v>221</v>
      </c>
      <c r="E529" s="3" t="s">
        <v>705</v>
      </c>
      <c r="F529" s="5">
        <v>34512</v>
      </c>
      <c r="G529" s="14">
        <f t="shared" ca="1" si="8"/>
        <v>27.035616438356165</v>
      </c>
      <c r="H529" s="3" t="s">
        <v>1338</v>
      </c>
      <c r="I529" t="str" cm="1">
        <f t="array" ref="I529">ADAPTAR(B529)&amp;ADAPTAR(C529)&amp;"_"&amp;ADAPTAR(E529)&amp;F529</f>
        <v>piedadclemencia_cordoba34512</v>
      </c>
      <c r="J529" s="13">
        <v>7</v>
      </c>
      <c r="K529" t="str" cm="1">
        <f t="array" ref="K529">ADAPTAR(B529)&amp;"."&amp;ADAPTAR(D529)&amp;YEAR(F529)&amp;"@"&amp;VLOOKUP(J529,Dominios!$A$2:$B$30,2,FALSE)</f>
        <v>piedad.silva1994@hocknas.co</v>
      </c>
      <c r="L529" s="13">
        <v>7</v>
      </c>
      <c r="M529">
        <f>VLOOKUP(L529,Celulares!$A$2:$B$30,2,FALSE)</f>
        <v>3115060110</v>
      </c>
    </row>
    <row r="530" spans="1:13" ht="15.75" customHeight="1" x14ac:dyDescent="0.25">
      <c r="A530" t="s">
        <v>1965</v>
      </c>
      <c r="B530" s="3" t="s">
        <v>1423</v>
      </c>
      <c r="C530" s="3" t="s">
        <v>1420</v>
      </c>
      <c r="D530" s="3" t="s">
        <v>839</v>
      </c>
      <c r="E530" s="3" t="s">
        <v>753</v>
      </c>
      <c r="F530" s="5">
        <v>28666</v>
      </c>
      <c r="G530" s="14">
        <f t="shared" ca="1" si="8"/>
        <v>43.052054794520551</v>
      </c>
      <c r="H530" s="3" t="s">
        <v>1236</v>
      </c>
      <c r="I530" t="str" cm="1">
        <f t="array" ref="I530">ADAPTAR(B530)&amp;ADAPTAR(C530)&amp;"_"&amp;ADAPTAR(E530)&amp;F530</f>
        <v>flaviabelen_guevara28666</v>
      </c>
      <c r="J530" s="13">
        <v>8</v>
      </c>
      <c r="K530" t="str" cm="1">
        <f t="array" ref="K530">ADAPTAR(B530)&amp;"."&amp;ADAPTAR(D530)&amp;YEAR(F530)&amp;"@"&amp;VLOOKUP(J530,Dominios!$A$2:$B$30,2,FALSE)</f>
        <v>flavia.parra1978@hostedoceri.co</v>
      </c>
      <c r="L530" s="13">
        <v>8</v>
      </c>
      <c r="M530">
        <f>VLOOKUP(L530,Celulares!$A$2:$B$30,2,FALSE)</f>
        <v>3115060091</v>
      </c>
    </row>
    <row r="531" spans="1:13" ht="15.75" customHeight="1" x14ac:dyDescent="0.25">
      <c r="A531" t="s">
        <v>1966</v>
      </c>
      <c r="B531" s="3" t="s">
        <v>956</v>
      </c>
      <c r="C531" s="3" t="s">
        <v>6</v>
      </c>
      <c r="D531" s="3" t="s">
        <v>727</v>
      </c>
      <c r="E531" s="3" t="s">
        <v>781</v>
      </c>
      <c r="F531" s="5">
        <v>35607</v>
      </c>
      <c r="G531" s="14">
        <f t="shared" ca="1" si="8"/>
        <v>24.035616438356165</v>
      </c>
      <c r="H531" s="3" t="s">
        <v>1339</v>
      </c>
      <c r="I531" t="str" cm="1">
        <f t="array" ref="I531">ADAPTAR(B531)&amp;ADAPTAR(C531)&amp;"_"&amp;ADAPTAR(E531)&amp;F531</f>
        <v>fridasofia_guerra35607</v>
      </c>
      <c r="J531" s="13">
        <v>9</v>
      </c>
      <c r="K531" t="str" cm="1">
        <f t="array" ref="K531">ADAPTAR(B531)&amp;"."&amp;ADAPTAR(D531)&amp;YEAR(F531)&amp;"@"&amp;VLOOKUP(J531,Dominios!$A$2:$B$30,2,FALSE)</f>
        <v>frida.nunez1997@libertas.com.co</v>
      </c>
      <c r="L531" s="13">
        <v>9</v>
      </c>
      <c r="M531">
        <f>VLOOKUP(L531,Celulares!$A$2:$B$30,2,FALSE)</f>
        <v>3115060080</v>
      </c>
    </row>
    <row r="532" spans="1:13" ht="15.75" customHeight="1" x14ac:dyDescent="0.25">
      <c r="A532" t="s">
        <v>1967</v>
      </c>
      <c r="B532" s="3" t="s">
        <v>625</v>
      </c>
      <c r="C532" s="3" t="s">
        <v>957</v>
      </c>
      <c r="D532" s="3" t="s">
        <v>42</v>
      </c>
      <c r="E532" s="3" t="s">
        <v>816</v>
      </c>
      <c r="F532" s="5">
        <v>32625</v>
      </c>
      <c r="G532" s="14">
        <f t="shared" ca="1" si="8"/>
        <v>32.205479452054796</v>
      </c>
      <c r="H532" s="3" t="s">
        <v>1340</v>
      </c>
      <c r="I532" t="str" cm="1">
        <f t="array" ref="I532">ADAPTAR(B532)&amp;ADAPTAR(C532)&amp;"_"&amp;ADAPTAR(E532)&amp;F532</f>
        <v>olgaaleida_camargo32625</v>
      </c>
      <c r="J532" s="13">
        <v>10</v>
      </c>
      <c r="K532" t="str" cm="1">
        <f t="array" ref="K532">ADAPTAR(B532)&amp;"."&amp;ADAPTAR(D532)&amp;YEAR(F532)&amp;"@"&amp;VLOOKUP(J532,Dominios!$A$2:$B$30,2,FALSE)</f>
        <v>olga.buitrago1989@nascitur.com.co</v>
      </c>
      <c r="L532" s="13">
        <v>10</v>
      </c>
      <c r="M532">
        <f>VLOOKUP(L532,Celulares!$A$2:$B$30,2,FALSE)</f>
        <v>3115114385</v>
      </c>
    </row>
    <row r="533" spans="1:13" ht="15.75" customHeight="1" x14ac:dyDescent="0.25">
      <c r="A533" t="s">
        <v>1968</v>
      </c>
      <c r="B533" s="3" t="s">
        <v>307</v>
      </c>
      <c r="C533" s="3" t="s">
        <v>897</v>
      </c>
      <c r="D533" s="3" t="s">
        <v>767</v>
      </c>
      <c r="E533" s="3" t="s">
        <v>807</v>
      </c>
      <c r="F533" s="5">
        <v>33563</v>
      </c>
      <c r="G533" s="14">
        <f t="shared" ca="1" si="8"/>
        <v>29.635616438356163</v>
      </c>
      <c r="H533" s="3" t="s">
        <v>1341</v>
      </c>
      <c r="I533" t="str" cm="1">
        <f t="array" ref="I533">ADAPTAR(B533)&amp;ADAPTAR(C533)&amp;"_"&amp;ADAPTAR(E533)&amp;F533</f>
        <v>omairamargarita_ariza33563</v>
      </c>
      <c r="J533" s="13">
        <v>11</v>
      </c>
      <c r="K533" t="str" cm="1">
        <f t="array" ref="K533">ADAPTAR(B533)&amp;"."&amp;ADAPTAR(D533)&amp;YEAR(F533)&amp;"@"&amp;VLOOKUP(J533,Dominios!$A$2:$B$30,2,FALSE)</f>
        <v>omaira.toro1991@nemesis.ml</v>
      </c>
      <c r="L533" s="13">
        <v>11</v>
      </c>
      <c r="M533">
        <f>VLOOKUP(L533,Celulares!$A$2:$B$30,2,FALSE)</f>
        <v>3115114360</v>
      </c>
    </row>
    <row r="534" spans="1:13" ht="15.75" customHeight="1" x14ac:dyDescent="0.25">
      <c r="A534" t="s">
        <v>1969</v>
      </c>
      <c r="B534" s="3" t="s">
        <v>946</v>
      </c>
      <c r="C534" s="3" t="s">
        <v>18</v>
      </c>
      <c r="D534" s="3" t="s">
        <v>474</v>
      </c>
      <c r="E534" s="3" t="s">
        <v>829</v>
      </c>
      <c r="F534" s="5">
        <v>29931</v>
      </c>
      <c r="G534" s="14">
        <f t="shared" ca="1" si="8"/>
        <v>39.586301369863016</v>
      </c>
      <c r="H534" s="3" t="s">
        <v>1342</v>
      </c>
      <c r="I534" t="str" cm="1">
        <f t="array" ref="I534">ADAPTAR(B534)&amp;ADAPTAR(C534)&amp;"_"&amp;ADAPTAR(E534)&amp;F534</f>
        <v>carolalejandra_palacio29931</v>
      </c>
      <c r="J534" s="13">
        <v>12</v>
      </c>
      <c r="K534" t="str" cm="1">
        <f t="array" ref="K534">ADAPTAR(B534)&amp;"."&amp;ADAPTAR(D534)&amp;YEAR(F534)&amp;"@"&amp;VLOOKUP(J534,Dominios!$A$2:$B$30,2,FALSE)</f>
        <v>carol.villa1981@nunquam.com.co</v>
      </c>
      <c r="L534" s="13">
        <v>12</v>
      </c>
      <c r="M534">
        <f>VLOOKUP(L534,Celulares!$A$2:$B$30,2,FALSE)</f>
        <v>3115093653</v>
      </c>
    </row>
    <row r="535" spans="1:13" ht="15.75" customHeight="1" x14ac:dyDescent="0.25">
      <c r="A535" t="s">
        <v>1970</v>
      </c>
      <c r="B535" s="3" t="s">
        <v>1084</v>
      </c>
      <c r="C535" s="3" t="s">
        <v>98</v>
      </c>
      <c r="D535" s="3" t="s">
        <v>804</v>
      </c>
      <c r="E535" s="3" t="s">
        <v>679</v>
      </c>
      <c r="F535" s="5">
        <v>24686</v>
      </c>
      <c r="G535" s="14">
        <f t="shared" ca="1" si="8"/>
        <v>53.956164383561642</v>
      </c>
      <c r="H535" s="3" t="s">
        <v>1343</v>
      </c>
      <c r="I535" t="str" cm="1">
        <f t="array" ref="I535">ADAPTAR(B535)&amp;ADAPTAR(C535)&amp;"_"&amp;ADAPTAR(E535)&amp;F535</f>
        <v>barbaraelizabeth_ospina24686</v>
      </c>
      <c r="J535" s="13">
        <v>13</v>
      </c>
      <c r="K535" t="str" cm="1">
        <f t="array" ref="K535">ADAPTAR(B535)&amp;"."&amp;ADAPTAR(D535)&amp;YEAR(F535)&amp;"@"&amp;VLOOKUP(J535,Dominios!$A$2:$B$30,2,FALSE)</f>
        <v>barbara.miranda1967@sempiternam.co</v>
      </c>
      <c r="L535" s="13">
        <v>13</v>
      </c>
      <c r="M535">
        <f>VLOOKUP(L535,Celulares!$A$2:$B$30,2,FALSE)</f>
        <v>3115093598</v>
      </c>
    </row>
    <row r="536" spans="1:13" ht="15.75" customHeight="1" x14ac:dyDescent="0.25">
      <c r="A536" t="s">
        <v>1971</v>
      </c>
      <c r="B536" s="3" t="s">
        <v>67</v>
      </c>
      <c r="C536" s="3" t="s">
        <v>1424</v>
      </c>
      <c r="D536" s="3" t="s">
        <v>793</v>
      </c>
      <c r="E536" s="3" t="s">
        <v>743</v>
      </c>
      <c r="F536" s="5">
        <v>35170</v>
      </c>
      <c r="G536" s="14">
        <f t="shared" ca="1" si="8"/>
        <v>25.232876712328768</v>
      </c>
      <c r="H536" s="3" t="s">
        <v>1344</v>
      </c>
      <c r="I536" t="str" cm="1">
        <f t="array" ref="I536">ADAPTAR(B536)&amp;ADAPTAR(C536)&amp;"_"&amp;ADAPTAR(E536)&amp;F536</f>
        <v>carmentereza_salcedo35170</v>
      </c>
      <c r="J536" s="13">
        <v>14</v>
      </c>
      <c r="K536" t="str" cm="1">
        <f t="array" ref="K536">ADAPTAR(B536)&amp;"."&amp;ADAPTAR(D536)&amp;YEAR(F536)&amp;"@"&amp;VLOOKUP(J536,Dominios!$A$2:$B$30,2,FALSE)</f>
        <v>carmen.ramos1996@sk9.co</v>
      </c>
      <c r="L536" s="13">
        <v>14</v>
      </c>
      <c r="M536">
        <f>VLOOKUP(L536,Celulares!$A$2:$B$30,2,FALSE)</f>
        <v>3115093583</v>
      </c>
    </row>
    <row r="537" spans="1:13" ht="15.75" customHeight="1" x14ac:dyDescent="0.25">
      <c r="A537" t="s">
        <v>1972</v>
      </c>
      <c r="B537" s="3" t="s">
        <v>67</v>
      </c>
      <c r="C537" s="3" t="s">
        <v>620</v>
      </c>
      <c r="D537" s="3" t="s">
        <v>759</v>
      </c>
      <c r="E537" s="3" t="s">
        <v>458</v>
      </c>
      <c r="F537" s="5">
        <v>35716</v>
      </c>
      <c r="G537" s="14">
        <f t="shared" ca="1" si="8"/>
        <v>23.736986301369864</v>
      </c>
      <c r="H537" s="3" t="s">
        <v>1345</v>
      </c>
      <c r="I537" t="str" cm="1">
        <f t="array" ref="I537">ADAPTAR(B537)&amp;ADAPTAR(C537)&amp;"_"&amp;ADAPTAR(E537)&amp;F537</f>
        <v>carmenvictoria_bravo35716</v>
      </c>
      <c r="J537" s="13">
        <v>15</v>
      </c>
      <c r="K537" t="str" cm="1">
        <f t="array" ref="K537">ADAPTAR(B537)&amp;"."&amp;ADAPTAR(D537)&amp;YEAR(F537)&amp;"@"&amp;VLOOKUP(J537,Dominios!$A$2:$B$30,2,FALSE)</f>
        <v>carmen.ortiz1997@socialmediacolombia.com.co</v>
      </c>
      <c r="L537" s="13">
        <v>15</v>
      </c>
      <c r="M537">
        <f>VLOOKUP(L537,Celulares!$A$2:$B$30,2,FALSE)</f>
        <v>3115092386</v>
      </c>
    </row>
    <row r="538" spans="1:13" ht="15.75" customHeight="1" x14ac:dyDescent="0.25">
      <c r="A538" t="s">
        <v>1973</v>
      </c>
      <c r="B538" s="3" t="s">
        <v>1425</v>
      </c>
      <c r="C538" s="3" t="s">
        <v>17</v>
      </c>
      <c r="D538" s="3" t="s">
        <v>693</v>
      </c>
      <c r="E538" s="3" t="s">
        <v>699</v>
      </c>
      <c r="F538" s="5">
        <v>31923</v>
      </c>
      <c r="G538" s="14">
        <f t="shared" ca="1" si="8"/>
        <v>34.128767123287673</v>
      </c>
      <c r="H538" s="3" t="s">
        <v>1346</v>
      </c>
      <c r="I538" t="str" cm="1">
        <f t="array" ref="I538">ADAPTAR(B538)&amp;ADAPTAR(C538)&amp;"_"&amp;ADAPTAR(E538)&amp;F538</f>
        <v>davilethfernanda_murillo31923</v>
      </c>
      <c r="J538" s="13">
        <v>16</v>
      </c>
      <c r="K538" t="str" cm="1">
        <f t="array" ref="K538">ADAPTAR(B538)&amp;"."&amp;ADAPTAR(D538)&amp;YEAR(F538)&amp;"@"&amp;VLOOKUP(J538,Dominios!$A$2:$B$30,2,FALSE)</f>
        <v>davileth.delgado1987@tecnicoensistemas.com.co</v>
      </c>
      <c r="L538" s="13">
        <v>16</v>
      </c>
      <c r="M538">
        <f>VLOOKUP(L538,Celulares!$A$2:$B$30,2,FALSE)</f>
        <v>3115092375</v>
      </c>
    </row>
    <row r="539" spans="1:13" ht="15.75" customHeight="1" x14ac:dyDescent="0.25">
      <c r="A539" t="s">
        <v>1974</v>
      </c>
      <c r="B539" s="3" t="s">
        <v>1426</v>
      </c>
      <c r="C539" s="3" t="s">
        <v>204</v>
      </c>
      <c r="D539" s="3" t="s">
        <v>470</v>
      </c>
      <c r="E539" s="3" t="s">
        <v>715</v>
      </c>
      <c r="F539" s="5">
        <v>28321</v>
      </c>
      <c r="G539" s="14">
        <f t="shared" ca="1" si="8"/>
        <v>43.9972602739726</v>
      </c>
      <c r="H539" s="3" t="s">
        <v>1347</v>
      </c>
      <c r="I539" t="str" cm="1">
        <f t="array" ref="I539">ADAPTAR(B539)&amp;ADAPTAR(C539)&amp;"_"&amp;ADAPTAR(E539)&amp;F539</f>
        <v>angelatatiana_garcia28321</v>
      </c>
      <c r="J539" s="13">
        <v>17</v>
      </c>
      <c r="K539" t="str" cm="1">
        <f t="array" ref="K539">ADAPTAR(B539)&amp;"."&amp;ADAPTAR(D539)&amp;YEAR(F539)&amp;"@"&amp;VLOOKUP(J539,Dominios!$A$2:$B$30,2,FALSE)</f>
        <v>angela.ocampo1977@totum.com.co</v>
      </c>
      <c r="L539" s="13">
        <v>17</v>
      </c>
      <c r="M539">
        <f>VLOOKUP(L539,Celulares!$A$2:$B$30,2,FALSE)</f>
        <v>3115092369</v>
      </c>
    </row>
    <row r="540" spans="1:13" ht="15.75" customHeight="1" x14ac:dyDescent="0.25">
      <c r="A540" t="s">
        <v>1975</v>
      </c>
      <c r="B540" s="3" t="s">
        <v>926</v>
      </c>
      <c r="C540" s="3" t="s">
        <v>1427</v>
      </c>
      <c r="D540" s="3" t="s">
        <v>749</v>
      </c>
      <c r="E540" s="3" t="s">
        <v>846</v>
      </c>
      <c r="F540" s="5">
        <v>28930</v>
      </c>
      <c r="G540" s="14">
        <f t="shared" ca="1" si="8"/>
        <v>42.328767123287669</v>
      </c>
      <c r="H540" s="3" t="s">
        <v>1182</v>
      </c>
      <c r="I540" t="str" cm="1">
        <f t="array" ref="I540">ADAPTAR(B540)&amp;ADAPTAR(C540)&amp;"_"&amp;ADAPTAR(E540)&amp;F540</f>
        <v>doraotilia_navarro28930</v>
      </c>
      <c r="J540" s="13">
        <v>18</v>
      </c>
      <c r="K540" t="str" cm="1">
        <f t="array" ref="K540">ADAPTAR(B540)&amp;"."&amp;ADAPTAR(D540)&amp;YEAR(F540)&amp;"@"&amp;VLOOKUP(J540,Dominios!$A$2:$B$30,2,FALSE)</f>
        <v>dora.lopez1979@voipcolombia.co</v>
      </c>
      <c r="L540" s="13">
        <v>18</v>
      </c>
      <c r="M540">
        <f>VLOOKUP(L540,Celulares!$A$2:$B$30,2,FALSE)</f>
        <v>3115092360</v>
      </c>
    </row>
    <row r="541" spans="1:13" ht="15.75" customHeight="1" x14ac:dyDescent="0.25">
      <c r="A541" t="s">
        <v>1976</v>
      </c>
      <c r="B541" s="3" t="s">
        <v>958</v>
      </c>
      <c r="C541" s="3" t="s">
        <v>959</v>
      </c>
      <c r="D541" s="3" t="s">
        <v>235</v>
      </c>
      <c r="E541" s="3" t="s">
        <v>687</v>
      </c>
      <c r="F541" s="5">
        <v>29221</v>
      </c>
      <c r="G541" s="14">
        <f t="shared" ca="1" si="8"/>
        <v>41.531506849315072</v>
      </c>
      <c r="H541" s="3" t="s">
        <v>1348</v>
      </c>
      <c r="I541" t="str" cm="1">
        <f t="array" ref="I541">ADAPTAR(B541)&amp;ADAPTAR(C541)&amp;"_"&amp;ADAPTAR(E541)&amp;F541</f>
        <v>claraelisa_leon29221</v>
      </c>
      <c r="J541" s="13">
        <v>19</v>
      </c>
      <c r="K541" t="str" cm="1">
        <f t="array" ref="K541">ADAPTAR(B541)&amp;"."&amp;ADAPTAR(D541)&amp;YEAR(F541)&amp;"@"&amp;VLOOKUP(J541,Dominios!$A$2:$B$30,2,FALSE)</f>
        <v>clara.giraldo1980@vpncolombia.com.co</v>
      </c>
      <c r="L541" s="13">
        <v>19</v>
      </c>
      <c r="M541">
        <f>VLOOKUP(L541,Celulares!$A$2:$B$30,2,FALSE)</f>
        <v>3115092352</v>
      </c>
    </row>
    <row r="542" spans="1:13" ht="15.75" customHeight="1" x14ac:dyDescent="0.25">
      <c r="A542" t="s">
        <v>1977</v>
      </c>
      <c r="B542" s="3" t="s">
        <v>1428</v>
      </c>
      <c r="C542" s="3" t="s">
        <v>195</v>
      </c>
      <c r="D542" s="3" t="s">
        <v>737</v>
      </c>
      <c r="E542" s="3" t="s">
        <v>2476</v>
      </c>
      <c r="F542" s="5">
        <v>27085</v>
      </c>
      <c r="G542" s="14">
        <f t="shared" ca="1" si="8"/>
        <v>47.38356164383562</v>
      </c>
      <c r="H542" s="3" t="s">
        <v>1349</v>
      </c>
      <c r="I542" t="str" cm="1">
        <f t="array" ref="I542">ADAPTAR(B542)&amp;ADAPTAR(C542)&amp;"_"&amp;ADAPTAR(E542)&amp;F542</f>
        <v>sandrapatricia_mesa27085</v>
      </c>
      <c r="J542" s="13">
        <v>0</v>
      </c>
      <c r="K542" t="str" cm="1">
        <f t="array" ref="K542">ADAPTAR(B542)&amp;"."&amp;ADAPTAR(D542)&amp;YEAR(F542)&amp;"@"&amp;VLOOKUP(J542,Dominios!$A$2:$B$30,2,FALSE)</f>
        <v>sandra.campo1974@auribus.com.co</v>
      </c>
      <c r="L542" s="13">
        <v>0</v>
      </c>
      <c r="M542">
        <f>VLOOKUP(L542,Celulares!$A$2:$B$30,2,FALSE)</f>
        <v>3115114930</v>
      </c>
    </row>
    <row r="543" spans="1:13" s="7" customFormat="1" ht="15.75" customHeight="1" x14ac:dyDescent="0.25">
      <c r="A543" s="7" t="s">
        <v>1978</v>
      </c>
      <c r="B543" s="10" t="s">
        <v>129</v>
      </c>
      <c r="C543" s="10" t="s">
        <v>1049</v>
      </c>
      <c r="D543" s="10" t="s">
        <v>784</v>
      </c>
      <c r="E543" s="10" t="s">
        <v>851</v>
      </c>
      <c r="F543" s="11">
        <v>36658</v>
      </c>
      <c r="G543" s="15">
        <f t="shared" ca="1" si="8"/>
        <v>21.156164383561645</v>
      </c>
      <c r="H543" s="10" t="s">
        <v>1350</v>
      </c>
      <c r="I543" t="str" cm="1">
        <f t="array" ref="I543">ADAPTAR(B543)&amp;ADAPTAR(C543)&amp;"_"&amp;ADAPTAR(E543)&amp;F543</f>
        <v>kellyjhonana_benitez36658</v>
      </c>
      <c r="J543" s="13">
        <v>1</v>
      </c>
      <c r="K543" t="str" cm="1">
        <f t="array" ref="K543">ADAPTAR(B543)&amp;"."&amp;ADAPTAR(D543)&amp;YEAR(F543)&amp;"@"&amp;VLOOKUP(J543,Dominios!$A$2:$B$30,2,FALSE)</f>
        <v>kelly.torres2000@colamus.co</v>
      </c>
      <c r="L543" s="13">
        <v>1</v>
      </c>
      <c r="M543">
        <f>VLOOKUP(L543,Celulares!$A$2:$B$30,2,FALSE)</f>
        <v>3115114916</v>
      </c>
    </row>
    <row r="544" spans="1:13" ht="15.75" customHeight="1" x14ac:dyDescent="0.25">
      <c r="D544" s="4"/>
    </row>
  </sheetData>
  <autoFilter ref="A1:M543" xr:uid="{00000000-0009-0000-0000-000001000000}"/>
  <phoneticPr fontId="6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E31"/>
  <sheetViews>
    <sheetView zoomScaleNormal="100" workbookViewId="0">
      <selection activeCell="D8" sqref="D8"/>
    </sheetView>
  </sheetViews>
  <sheetFormatPr baseColWidth="10" defaultRowHeight="13.2" x14ac:dyDescent="0.25"/>
  <cols>
    <col min="1" max="1" width="5.6640625" customWidth="1"/>
    <col min="2" max="2" width="26.88671875" customWidth="1"/>
    <col min="5" max="5" width="12.33203125" bestFit="1" customWidth="1"/>
  </cols>
  <sheetData>
    <row r="1" spans="1:5" x14ac:dyDescent="0.25">
      <c r="A1" s="1" t="s">
        <v>1436</v>
      </c>
      <c r="B1" s="1" t="s">
        <v>2478</v>
      </c>
      <c r="C1" s="1" t="s">
        <v>2503</v>
      </c>
      <c r="D1" s="1" t="s">
        <v>2504</v>
      </c>
      <c r="E1" s="1" t="s">
        <v>2505</v>
      </c>
    </row>
    <row r="2" spans="1:5" x14ac:dyDescent="0.25">
      <c r="A2">
        <v>0</v>
      </c>
      <c r="B2" s="12" t="s">
        <v>2481</v>
      </c>
      <c r="C2">
        <f>COUNTIF(Hombres!J:J,A2)</f>
        <v>25</v>
      </c>
      <c r="D2">
        <f>COUNTIF(Mujeres!J:J,A2)</f>
        <v>28</v>
      </c>
      <c r="E2">
        <f>SUM(C2:D2)</f>
        <v>53</v>
      </c>
    </row>
    <row r="3" spans="1:5" x14ac:dyDescent="0.25">
      <c r="A3">
        <v>1</v>
      </c>
      <c r="B3" s="12" t="s">
        <v>2485</v>
      </c>
      <c r="C3">
        <f>COUNTIF(Hombres!J:J,A3)</f>
        <v>25</v>
      </c>
      <c r="D3">
        <f>COUNTIF(Mujeres!J:J,A3)</f>
        <v>28</v>
      </c>
      <c r="E3">
        <f t="shared" ref="E3:E21" si="0">SUM(C3:D3)</f>
        <v>53</v>
      </c>
    </row>
    <row r="4" spans="1:5" x14ac:dyDescent="0.25">
      <c r="A4">
        <v>2</v>
      </c>
      <c r="B4" s="12" t="s">
        <v>2492</v>
      </c>
      <c r="C4">
        <f>COUNTIF(Hombres!J:J,A4)</f>
        <v>25</v>
      </c>
      <c r="D4">
        <f>COUNTIF(Mujeres!J:J,A4)</f>
        <v>27</v>
      </c>
      <c r="E4">
        <f t="shared" si="0"/>
        <v>52</v>
      </c>
    </row>
    <row r="5" spans="1:5" x14ac:dyDescent="0.25">
      <c r="A5">
        <v>3</v>
      </c>
      <c r="B5" s="12" t="s">
        <v>2483</v>
      </c>
      <c r="C5">
        <f>COUNTIF(Hombres!J:J,A5)</f>
        <v>25</v>
      </c>
      <c r="D5">
        <f>COUNTIF(Mujeres!J:J,A5)</f>
        <v>27</v>
      </c>
      <c r="E5">
        <f t="shared" si="0"/>
        <v>52</v>
      </c>
    </row>
    <row r="6" spans="1:5" x14ac:dyDescent="0.25">
      <c r="A6">
        <v>4</v>
      </c>
      <c r="B6" s="12" t="s">
        <v>2489</v>
      </c>
      <c r="C6">
        <f>COUNTIF(Hombres!J:J,A6)</f>
        <v>25</v>
      </c>
      <c r="D6">
        <f>COUNTIF(Mujeres!J:J,A6)</f>
        <v>27</v>
      </c>
      <c r="E6">
        <f t="shared" si="0"/>
        <v>52</v>
      </c>
    </row>
    <row r="7" spans="1:5" x14ac:dyDescent="0.25">
      <c r="A7">
        <v>5</v>
      </c>
      <c r="B7" s="12" t="s">
        <v>2494</v>
      </c>
      <c r="C7">
        <f>COUNTIF(Hombres!J:J,A7)</f>
        <v>24</v>
      </c>
      <c r="D7">
        <f>COUNTIF(Mujeres!J:J,A7)</f>
        <v>27</v>
      </c>
      <c r="E7">
        <f t="shared" si="0"/>
        <v>51</v>
      </c>
    </row>
    <row r="8" spans="1:5" x14ac:dyDescent="0.25">
      <c r="A8">
        <v>6</v>
      </c>
      <c r="B8" s="12" t="s">
        <v>2499</v>
      </c>
      <c r="C8">
        <f>COUNTIF(Hombres!J:J,A8)</f>
        <v>24</v>
      </c>
      <c r="D8">
        <f>COUNTIF(Mujeres!J:J,A8)</f>
        <v>27</v>
      </c>
      <c r="E8">
        <f t="shared" si="0"/>
        <v>51</v>
      </c>
    </row>
    <row r="9" spans="1:5" x14ac:dyDescent="0.25">
      <c r="A9">
        <v>7</v>
      </c>
      <c r="B9" s="12" t="s">
        <v>2495</v>
      </c>
      <c r="C9">
        <f>COUNTIF(Hombres!J:J,A9)</f>
        <v>24</v>
      </c>
      <c r="D9">
        <f>COUNTIF(Mujeres!J:J,A9)</f>
        <v>27</v>
      </c>
      <c r="E9">
        <f t="shared" si="0"/>
        <v>51</v>
      </c>
    </row>
    <row r="10" spans="1:5" x14ac:dyDescent="0.25">
      <c r="A10">
        <v>8</v>
      </c>
      <c r="B10" s="12" t="s">
        <v>2488</v>
      </c>
      <c r="C10">
        <f>COUNTIF(Hombres!J:J,A10)</f>
        <v>24</v>
      </c>
      <c r="D10">
        <f>COUNTIF(Mujeres!J:J,A10)</f>
        <v>27</v>
      </c>
      <c r="E10">
        <f t="shared" si="0"/>
        <v>51</v>
      </c>
    </row>
    <row r="11" spans="1:5" x14ac:dyDescent="0.25">
      <c r="A11">
        <v>9</v>
      </c>
      <c r="B11" s="12" t="s">
        <v>2490</v>
      </c>
      <c r="C11">
        <f>COUNTIF(Hombres!J:J,A11)</f>
        <v>24</v>
      </c>
      <c r="D11">
        <f>COUNTIF(Mujeres!J:J,A11)</f>
        <v>27</v>
      </c>
      <c r="E11">
        <f t="shared" si="0"/>
        <v>51</v>
      </c>
    </row>
    <row r="12" spans="1:5" x14ac:dyDescent="0.25">
      <c r="A12">
        <v>10</v>
      </c>
      <c r="B12" s="12" t="s">
        <v>2486</v>
      </c>
      <c r="C12">
        <f>COUNTIF(Hombres!J:J,A12)</f>
        <v>24</v>
      </c>
      <c r="D12">
        <f>COUNTIF(Mujeres!J:J,A12)</f>
        <v>27</v>
      </c>
      <c r="E12">
        <f t="shared" si="0"/>
        <v>51</v>
      </c>
    </row>
    <row r="13" spans="1:5" x14ac:dyDescent="0.25">
      <c r="A13">
        <v>11</v>
      </c>
      <c r="B13" s="12" t="s">
        <v>2500</v>
      </c>
      <c r="C13">
        <f>COUNTIF(Hombres!J:J,A13)</f>
        <v>24</v>
      </c>
      <c r="D13">
        <f>COUNTIF(Mujeres!J:J,A13)</f>
        <v>27</v>
      </c>
      <c r="E13">
        <f t="shared" si="0"/>
        <v>51</v>
      </c>
    </row>
    <row r="14" spans="1:5" x14ac:dyDescent="0.25">
      <c r="A14">
        <v>12</v>
      </c>
      <c r="B14" s="12" t="s">
        <v>2484</v>
      </c>
      <c r="C14">
        <f>COUNTIF(Hombres!J:J,A14)</f>
        <v>24</v>
      </c>
      <c r="D14">
        <f>COUNTIF(Mujeres!J:J,A14)</f>
        <v>27</v>
      </c>
      <c r="E14">
        <f t="shared" si="0"/>
        <v>51</v>
      </c>
    </row>
    <row r="15" spans="1:5" x14ac:dyDescent="0.25">
      <c r="A15">
        <v>13</v>
      </c>
      <c r="B15" s="12" t="s">
        <v>2482</v>
      </c>
      <c r="C15">
        <f>COUNTIF(Hombres!J:J,A15)</f>
        <v>24</v>
      </c>
      <c r="D15">
        <f>COUNTIF(Mujeres!J:J,A15)</f>
        <v>27</v>
      </c>
      <c r="E15">
        <f t="shared" si="0"/>
        <v>51</v>
      </c>
    </row>
    <row r="16" spans="1:5" x14ac:dyDescent="0.25">
      <c r="A16">
        <v>14</v>
      </c>
      <c r="B16" s="12" t="s">
        <v>2498</v>
      </c>
      <c r="C16">
        <f>COUNTIF(Hombres!J:J,A16)</f>
        <v>24</v>
      </c>
      <c r="D16">
        <f>COUNTIF(Mujeres!J:J,A16)</f>
        <v>27</v>
      </c>
      <c r="E16">
        <f t="shared" si="0"/>
        <v>51</v>
      </c>
    </row>
    <row r="17" spans="1:5" x14ac:dyDescent="0.25">
      <c r="A17">
        <v>15</v>
      </c>
      <c r="B17" s="12" t="s">
        <v>2493</v>
      </c>
      <c r="C17">
        <f>COUNTIF(Hombres!J:J,A17)</f>
        <v>24</v>
      </c>
      <c r="D17">
        <f>COUNTIF(Mujeres!J:J,A17)</f>
        <v>27</v>
      </c>
      <c r="E17">
        <f t="shared" si="0"/>
        <v>51</v>
      </c>
    </row>
    <row r="18" spans="1:5" x14ac:dyDescent="0.25">
      <c r="A18">
        <v>16</v>
      </c>
      <c r="B18" s="12" t="s">
        <v>2496</v>
      </c>
      <c r="C18">
        <f>COUNTIF(Hombres!J:J,A18)</f>
        <v>24</v>
      </c>
      <c r="D18">
        <f>COUNTIF(Mujeres!J:J,A18)</f>
        <v>27</v>
      </c>
      <c r="E18">
        <f t="shared" si="0"/>
        <v>51</v>
      </c>
    </row>
    <row r="19" spans="1:5" x14ac:dyDescent="0.25">
      <c r="A19">
        <v>17</v>
      </c>
      <c r="B19" s="12" t="s">
        <v>2487</v>
      </c>
      <c r="C19">
        <f>COUNTIF(Hombres!J:J,A19)</f>
        <v>24</v>
      </c>
      <c r="D19">
        <f>COUNTIF(Mujeres!J:J,A19)</f>
        <v>27</v>
      </c>
      <c r="E19">
        <f t="shared" si="0"/>
        <v>51</v>
      </c>
    </row>
    <row r="20" spans="1:5" x14ac:dyDescent="0.25">
      <c r="A20">
        <v>18</v>
      </c>
      <c r="B20" s="12" t="s">
        <v>2491</v>
      </c>
      <c r="C20">
        <f>COUNTIF(Hombres!J:J,A20)</f>
        <v>24</v>
      </c>
      <c r="D20">
        <f>COUNTIF(Mujeres!J:J,A20)</f>
        <v>27</v>
      </c>
      <c r="E20">
        <f t="shared" si="0"/>
        <v>51</v>
      </c>
    </row>
    <row r="21" spans="1:5" x14ac:dyDescent="0.25">
      <c r="A21">
        <v>19</v>
      </c>
      <c r="B21" s="12" t="s">
        <v>2497</v>
      </c>
      <c r="C21">
        <f>COUNTIF(Hombres!J:J,A21)</f>
        <v>24</v>
      </c>
      <c r="D21">
        <f>COUNTIF(Mujeres!J:J,A21)</f>
        <v>27</v>
      </c>
      <c r="E21">
        <f t="shared" si="0"/>
        <v>51</v>
      </c>
    </row>
    <row r="31" spans="1:5" x14ac:dyDescent="0.25">
      <c r="C31" s="23" t="s">
        <v>2505</v>
      </c>
      <c r="D31" s="23"/>
      <c r="E31">
        <f>SUM(E2:E30)</f>
        <v>1027</v>
      </c>
    </row>
  </sheetData>
  <mergeCells count="1">
    <mergeCell ref="C31:D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E31"/>
  <sheetViews>
    <sheetView workbookViewId="0">
      <selection activeCell="A22" sqref="A22"/>
    </sheetView>
  </sheetViews>
  <sheetFormatPr baseColWidth="10" defaultRowHeight="13.2" x14ac:dyDescent="0.25"/>
  <cols>
    <col min="1" max="1" width="7.33203125" customWidth="1"/>
    <col min="2" max="2" width="24.44140625" customWidth="1"/>
  </cols>
  <sheetData>
    <row r="1" spans="1:5" x14ac:dyDescent="0.25">
      <c r="A1" s="18" t="s">
        <v>1436</v>
      </c>
      <c r="B1" s="18" t="s">
        <v>2480</v>
      </c>
      <c r="C1" s="18" t="s">
        <v>2503</v>
      </c>
      <c r="D1" s="18" t="s">
        <v>2504</v>
      </c>
      <c r="E1" s="18" t="s">
        <v>2505</v>
      </c>
    </row>
    <row r="2" spans="1:5" x14ac:dyDescent="0.25">
      <c r="A2">
        <v>0</v>
      </c>
      <c r="B2" s="12">
        <v>3115114930</v>
      </c>
      <c r="C2">
        <f>COUNTIF(Hombres!L:L,Celulares!A2)</f>
        <v>25</v>
      </c>
      <c r="D2">
        <f>COUNTIF(Mujeres!L:L,A2)</f>
        <v>28</v>
      </c>
      <c r="E2">
        <f>SUM(C2:D2)</f>
        <v>53</v>
      </c>
    </row>
    <row r="3" spans="1:5" x14ac:dyDescent="0.25">
      <c r="A3">
        <v>1</v>
      </c>
      <c r="B3" s="12">
        <v>3115114916</v>
      </c>
      <c r="C3">
        <f>COUNTIF(Hombres!L:L,Celulares!A3)</f>
        <v>25</v>
      </c>
      <c r="D3">
        <f>COUNTIF(Mujeres!L:L,A3)</f>
        <v>28</v>
      </c>
      <c r="E3">
        <f t="shared" ref="E3:E21" si="0">SUM(C3:D3)</f>
        <v>53</v>
      </c>
    </row>
    <row r="4" spans="1:5" x14ac:dyDescent="0.25">
      <c r="A4">
        <v>2</v>
      </c>
      <c r="B4" s="12">
        <v>3115114911</v>
      </c>
      <c r="C4">
        <f>COUNTIF(Hombres!L:L,Celulares!A4)</f>
        <v>25</v>
      </c>
      <c r="D4">
        <f>COUNTIF(Mujeres!L:L,A4)</f>
        <v>27</v>
      </c>
      <c r="E4">
        <f t="shared" si="0"/>
        <v>52</v>
      </c>
    </row>
    <row r="5" spans="1:5" x14ac:dyDescent="0.25">
      <c r="A5">
        <v>3</v>
      </c>
      <c r="B5" s="12">
        <v>3115114910</v>
      </c>
      <c r="C5">
        <f>COUNTIF(Hombres!L:L,Celulares!A5)</f>
        <v>25</v>
      </c>
      <c r="D5">
        <f>COUNTIF(Mujeres!L:L,A5)</f>
        <v>27</v>
      </c>
      <c r="E5">
        <f t="shared" si="0"/>
        <v>52</v>
      </c>
    </row>
    <row r="6" spans="1:5" x14ac:dyDescent="0.25">
      <c r="A6">
        <v>4</v>
      </c>
      <c r="B6" s="12">
        <v>3115114909</v>
      </c>
      <c r="C6">
        <f>COUNTIF(Hombres!L:L,Celulares!A6)</f>
        <v>25</v>
      </c>
      <c r="D6">
        <f>COUNTIF(Mujeres!L:L,A6)</f>
        <v>27</v>
      </c>
      <c r="E6">
        <f t="shared" si="0"/>
        <v>52</v>
      </c>
    </row>
    <row r="7" spans="1:5" x14ac:dyDescent="0.25">
      <c r="A7">
        <v>5</v>
      </c>
      <c r="B7" s="12">
        <v>3115060130</v>
      </c>
      <c r="C7">
        <f>COUNTIF(Hombres!L:L,Celulares!A7)</f>
        <v>24</v>
      </c>
      <c r="D7">
        <f>COUNTIF(Mujeres!L:L,A7)</f>
        <v>27</v>
      </c>
      <c r="E7">
        <f t="shared" si="0"/>
        <v>51</v>
      </c>
    </row>
    <row r="8" spans="1:5" x14ac:dyDescent="0.25">
      <c r="A8">
        <v>6</v>
      </c>
      <c r="B8" s="12">
        <v>3115060125</v>
      </c>
      <c r="C8">
        <f>COUNTIF(Hombres!L:L,Celulares!A8)</f>
        <v>24</v>
      </c>
      <c r="D8">
        <f>COUNTIF(Mujeres!L:L,A8)</f>
        <v>27</v>
      </c>
      <c r="E8">
        <f t="shared" si="0"/>
        <v>51</v>
      </c>
    </row>
    <row r="9" spans="1:5" x14ac:dyDescent="0.25">
      <c r="A9">
        <v>7</v>
      </c>
      <c r="B9" s="12">
        <v>3115060110</v>
      </c>
      <c r="C9">
        <f>COUNTIF(Hombres!L:L,Celulares!A9)</f>
        <v>24</v>
      </c>
      <c r="D9">
        <f>COUNTIF(Mujeres!L:L,A9)</f>
        <v>27</v>
      </c>
      <c r="E9">
        <f t="shared" si="0"/>
        <v>51</v>
      </c>
    </row>
    <row r="10" spans="1:5" x14ac:dyDescent="0.25">
      <c r="A10">
        <v>8</v>
      </c>
      <c r="B10" s="12">
        <v>3115060091</v>
      </c>
      <c r="C10">
        <f>COUNTIF(Hombres!L:L,Celulares!A10)</f>
        <v>24</v>
      </c>
      <c r="D10">
        <f>COUNTIF(Mujeres!L:L,A10)</f>
        <v>27</v>
      </c>
      <c r="E10">
        <f t="shared" si="0"/>
        <v>51</v>
      </c>
    </row>
    <row r="11" spans="1:5" x14ac:dyDescent="0.25">
      <c r="A11">
        <v>9</v>
      </c>
      <c r="B11" s="12">
        <v>3115060080</v>
      </c>
      <c r="C11">
        <f>COUNTIF(Hombres!L:L,Celulares!A11)</f>
        <v>24</v>
      </c>
      <c r="D11">
        <f>COUNTIF(Mujeres!L:L,A11)</f>
        <v>27</v>
      </c>
      <c r="E11">
        <f t="shared" si="0"/>
        <v>51</v>
      </c>
    </row>
    <row r="12" spans="1:5" x14ac:dyDescent="0.25">
      <c r="A12">
        <v>10</v>
      </c>
      <c r="B12" s="12">
        <v>3115114385</v>
      </c>
      <c r="C12">
        <f>COUNTIF(Hombres!L:L,Celulares!A12)</f>
        <v>24</v>
      </c>
      <c r="D12">
        <f>COUNTIF(Mujeres!L:L,A12)</f>
        <v>27</v>
      </c>
      <c r="E12">
        <f t="shared" si="0"/>
        <v>51</v>
      </c>
    </row>
    <row r="13" spans="1:5" x14ac:dyDescent="0.25">
      <c r="A13">
        <v>11</v>
      </c>
      <c r="B13" s="12">
        <v>3115114360</v>
      </c>
      <c r="C13">
        <f>COUNTIF(Hombres!L:L,Celulares!A13)</f>
        <v>24</v>
      </c>
      <c r="D13">
        <f>COUNTIF(Mujeres!L:L,A13)</f>
        <v>27</v>
      </c>
      <c r="E13">
        <f t="shared" si="0"/>
        <v>51</v>
      </c>
    </row>
    <row r="14" spans="1:5" x14ac:dyDescent="0.25">
      <c r="A14">
        <v>12</v>
      </c>
      <c r="B14" s="12">
        <v>3115093653</v>
      </c>
      <c r="C14">
        <f>COUNTIF(Hombres!L:L,Celulares!A14)</f>
        <v>24</v>
      </c>
      <c r="D14">
        <f>COUNTIF(Mujeres!L:L,A14)</f>
        <v>27</v>
      </c>
      <c r="E14">
        <f t="shared" si="0"/>
        <v>51</v>
      </c>
    </row>
    <row r="15" spans="1:5" x14ac:dyDescent="0.25">
      <c r="A15">
        <v>13</v>
      </c>
      <c r="B15" s="12">
        <v>3115093598</v>
      </c>
      <c r="C15">
        <f>COUNTIF(Hombres!L:L,Celulares!A15)</f>
        <v>24</v>
      </c>
      <c r="D15">
        <f>COUNTIF(Mujeres!L:L,A15)</f>
        <v>27</v>
      </c>
      <c r="E15">
        <f t="shared" si="0"/>
        <v>51</v>
      </c>
    </row>
    <row r="16" spans="1:5" x14ac:dyDescent="0.25">
      <c r="A16">
        <v>14</v>
      </c>
      <c r="B16" s="12">
        <v>3115093583</v>
      </c>
      <c r="C16">
        <f>COUNTIF(Hombres!L:L,Celulares!A16)</f>
        <v>24</v>
      </c>
      <c r="D16">
        <f>COUNTIF(Mujeres!L:L,A16)</f>
        <v>27</v>
      </c>
      <c r="E16">
        <f t="shared" si="0"/>
        <v>51</v>
      </c>
    </row>
    <row r="17" spans="1:5" x14ac:dyDescent="0.25">
      <c r="A17">
        <v>15</v>
      </c>
      <c r="B17" s="12">
        <v>3115092386</v>
      </c>
      <c r="C17">
        <f>COUNTIF(Hombres!L:L,Celulares!A17)</f>
        <v>24</v>
      </c>
      <c r="D17">
        <f>COUNTIF(Mujeres!L:L,A17)</f>
        <v>27</v>
      </c>
      <c r="E17">
        <f t="shared" si="0"/>
        <v>51</v>
      </c>
    </row>
    <row r="18" spans="1:5" x14ac:dyDescent="0.25">
      <c r="A18">
        <v>16</v>
      </c>
      <c r="B18" s="12">
        <v>3115092375</v>
      </c>
      <c r="C18">
        <f>COUNTIF(Hombres!L:L,Celulares!A18)</f>
        <v>24</v>
      </c>
      <c r="D18">
        <f>COUNTIF(Mujeres!L:L,A18)</f>
        <v>27</v>
      </c>
      <c r="E18">
        <f t="shared" si="0"/>
        <v>51</v>
      </c>
    </row>
    <row r="19" spans="1:5" x14ac:dyDescent="0.25">
      <c r="A19">
        <v>17</v>
      </c>
      <c r="B19" s="12">
        <v>3115092369</v>
      </c>
      <c r="C19">
        <f>COUNTIF(Hombres!L:L,Celulares!A19)</f>
        <v>24</v>
      </c>
      <c r="D19">
        <f>COUNTIF(Mujeres!L:L,A19)</f>
        <v>27</v>
      </c>
      <c r="E19">
        <f t="shared" si="0"/>
        <v>51</v>
      </c>
    </row>
    <row r="20" spans="1:5" x14ac:dyDescent="0.25">
      <c r="A20">
        <v>18</v>
      </c>
      <c r="B20" s="12">
        <v>3115092360</v>
      </c>
      <c r="C20">
        <f>COUNTIF(Hombres!L:L,Celulares!A20)</f>
        <v>24</v>
      </c>
      <c r="D20">
        <f>COUNTIF(Mujeres!L:L,A20)</f>
        <v>27</v>
      </c>
      <c r="E20">
        <f t="shared" si="0"/>
        <v>51</v>
      </c>
    </row>
    <row r="21" spans="1:5" x14ac:dyDescent="0.25">
      <c r="A21">
        <v>19</v>
      </c>
      <c r="B21" s="20">
        <v>3115092352</v>
      </c>
      <c r="C21">
        <f>COUNTIF(Hombres!L:L,Celulares!A21)</f>
        <v>24</v>
      </c>
      <c r="D21">
        <f>COUNTIF(Mujeres!L:L,A21)</f>
        <v>27</v>
      </c>
      <c r="E21">
        <f t="shared" si="0"/>
        <v>51</v>
      </c>
    </row>
    <row r="31" spans="1:5" x14ac:dyDescent="0.25">
      <c r="C31" s="23" t="s">
        <v>2505</v>
      </c>
      <c r="D31" s="23"/>
      <c r="E31">
        <f>SUM(E2:E30)</f>
        <v>1027</v>
      </c>
    </row>
  </sheetData>
  <mergeCells count="1">
    <mergeCell ref="C31:D3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outlinePr summaryBelow="0" summaryRight="0"/>
  </sheetPr>
  <dimension ref="A1"/>
  <sheetViews>
    <sheetView workbookViewId="0">
      <selection activeCell="D20" sqref="D20"/>
    </sheetView>
  </sheetViews>
  <sheetFormatPr baseColWidth="10" defaultColWidth="14.44140625" defaultRowHeight="15.75" customHeight="1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BOT</vt:lpstr>
      <vt:lpstr>Hombres</vt:lpstr>
      <vt:lpstr>Mujeres</vt:lpstr>
      <vt:lpstr>Dominios</vt:lpstr>
      <vt:lpstr>Celulares</vt:lpstr>
      <vt:lpstr>Frases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Oscar</cp:lastModifiedBy>
  <dcterms:created xsi:type="dcterms:W3CDTF">2021-06-27T02:27:44Z</dcterms:created>
  <dcterms:modified xsi:type="dcterms:W3CDTF">2021-07-04T03:22:37Z</dcterms:modified>
</cp:coreProperties>
</file>